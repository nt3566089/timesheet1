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730" codeName="{3D1A710C-6663-3D7B-7F91-EC182F24A4BC}"/>
  <workbookPr codeName="ThisWorkbook"/>
  <mc:AlternateContent xmlns:mc="http://schemas.openxmlformats.org/markup-compatibility/2006">
    <mc:Choice Requires="x15">
      <x15ac:absPath xmlns:x15ac="http://schemas.microsoft.com/office/spreadsheetml/2010/11/ac" url="X:\nomura_work\IOTFF\greif\"/>
    </mc:Choice>
  </mc:AlternateContent>
  <xr:revisionPtr revIDLastSave="0" documentId="13_ncr:1_{AE21F0B1-8600-40B8-8D63-17B9B32D5F20}" xr6:coauthVersionLast="36" xr6:coauthVersionMax="36" xr10:uidLastSave="{00000000-0000-0000-0000-000000000000}"/>
  <bookViews>
    <workbookView xWindow="0" yWindow="0" windowWidth="28800" windowHeight="12945" xr2:uid="{00000000-000D-0000-FFFF-FFFF00000000}"/>
  </bookViews>
  <sheets>
    <sheet name="表紙" sheetId="1" r:id="rId1"/>
    <sheet name="目次" sheetId="67" r:id="rId2"/>
    <sheet name="2.1._x0009_IOTの種類" sheetId="69" r:id="rId3"/>
    <sheet name="2.2.2. 標準構成とオプション(1)" sheetId="58" r:id="rId4"/>
    <sheet name="2.2.2. 標準構成とオプション(2)" sheetId="60" r:id="rId5"/>
    <sheet name="2.2.3. トレイおよびオプション装着検知" sheetId="59" r:id="rId6"/>
    <sheet name="2.2.4. オプションの故障と機能制限" sheetId="61" r:id="rId7"/>
    <sheet name="2.5 機能一覧" sheetId="66" r:id="rId8"/>
    <sheet name="3.4.1. 排出先指定" sheetId="13" r:id="rId9"/>
    <sheet name="3.4.4. Staple指定" sheetId="64" state="hidden" r:id="rId10"/>
    <sheet name="3.4.8. 中綴じ指定" sheetId="65" state="hidden" r:id="rId11"/>
    <sheet name="3.6.4. 用紙トレイの状態" sheetId="62" r:id="rId12"/>
    <sheet name=" 3.6.5. 排出トレイ、出力装置の状態" sheetId="63" r:id="rId13"/>
    <sheet name="変更履歴" sheetId="7" r:id="rId14"/>
    <sheet name="対応表" sheetId="19" state="hidden" r:id="rId15"/>
  </sheets>
  <functionGroups builtInGroupCount="19"/>
  <definedNames>
    <definedName name="_xlnm._FilterDatabase" localSheetId="4" hidden="1">'2.2.2. 標準構成とオプション(2)'!$B$3:$H$61</definedName>
    <definedName name="_Ref8704870" localSheetId="9">'3.4.4. Staple指定'!#REF!</definedName>
    <definedName name="_Ref8704870" localSheetId="10">'3.4.8. 中綴じ指定'!#REF!</definedName>
    <definedName name="_xlnm.Print_Area" localSheetId="0">表紙!$A$1:$C$57</definedName>
    <definedName name="紙質bgn" localSheetId="10">#REF!</definedName>
    <definedName name="紙質bgn">#REF!</definedName>
    <definedName name="紙質cls" localSheetId="10">#REF!</definedName>
    <definedName name="紙質cls">#REF!</definedName>
    <definedName name="紙質nam" localSheetId="10">#REF!</definedName>
    <definedName name="紙質nam">#REF!</definedName>
    <definedName name="紙質sym" localSheetId="10">#REF!</definedName>
    <definedName name="紙質sym">#REF!</definedName>
    <definedName name="対応表サイズ範囲">対応表!$E$2:$E$62</definedName>
    <definedName name="対応表紙質範囲">対応表!$A$2:$A$162</definedName>
    <definedName name="対応表方向範囲">対応表!$H$2:$H$3</definedName>
    <definedName name="坪量クラス行" localSheetId="10">#REF!</definedName>
    <definedName name="坪量クラス行">#REF!</definedName>
    <definedName name="坪量クラス表中身" localSheetId="10">#REF!</definedName>
    <definedName name="坪量クラス表中身">#REF!</definedName>
    <definedName name="坪量クラス列" localSheetId="10">#REF!</definedName>
    <definedName name="坪量クラス列">#REF!</definedName>
    <definedName name="定型bgn" localSheetId="10">#REF!</definedName>
    <definedName name="定型bgn">#REF!</definedName>
    <definedName name="定型cls" localSheetId="10">#REF!</definedName>
    <definedName name="定型cls">#REF!</definedName>
    <definedName name="定型dir" localSheetId="10">#REF!</definedName>
    <definedName name="定型dir">#REF!</definedName>
    <definedName name="定型nam" localSheetId="10">#REF!</definedName>
    <definedName name="定型nam">#REF!</definedName>
    <definedName name="定型sym" localSheetId="10">#REF!</definedName>
    <definedName name="定型sym">#REF!</definedName>
    <definedName name="変更履歴bgn">変更履歴!$A$2</definedName>
    <definedName name="優先順位bgn" localSheetId="10">#REF!</definedName>
    <definedName name="優先順位bgn">#REF!</definedName>
    <definedName name="優先順位nam" localSheetId="10">#REF!</definedName>
    <definedName name="優先順位nam">#REF!</definedName>
    <definedName name="優先順位sym" localSheetId="10">#REF!</definedName>
    <definedName name="優先順位sym">#REF!</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H98" i="59" l="1"/>
  <c r="J98" i="59"/>
  <c r="I92" i="59"/>
  <c r="P98" i="59"/>
  <c r="O92" i="59"/>
  <c r="I99" i="59"/>
  <c r="H99" i="59" s="1"/>
  <c r="I98" i="59"/>
  <c r="I97" i="59"/>
  <c r="O99" i="59"/>
  <c r="O98" i="59"/>
  <c r="O97" i="59"/>
  <c r="H97" i="59"/>
  <c r="O96" i="59"/>
  <c r="O95" i="59"/>
  <c r="I96" i="59"/>
  <c r="H96" i="59" s="1"/>
  <c r="I95" i="59"/>
  <c r="H95" i="59"/>
  <c r="I94" i="59"/>
  <c r="H94" i="59" s="1"/>
  <c r="I93" i="59"/>
  <c r="O94" i="59"/>
  <c r="O93" i="59"/>
  <c r="H93" i="59"/>
  <c r="H92" i="59"/>
  <c r="I91" i="59"/>
  <c r="H91" i="59" s="1"/>
  <c r="O91" i="59"/>
  <c r="I90" i="59"/>
  <c r="H90" i="59" s="1"/>
  <c r="O90" i="59"/>
  <c r="I89" i="59"/>
  <c r="H89" i="59" s="1"/>
  <c r="O89" i="59"/>
  <c r="J88" i="59"/>
  <c r="I88" i="59"/>
  <c r="H88" i="59" s="1"/>
  <c r="I87" i="59"/>
  <c r="P88" i="59"/>
  <c r="O88" i="59"/>
  <c r="L87" i="59"/>
  <c r="K87" i="59"/>
  <c r="J87" i="59"/>
  <c r="J86" i="59"/>
  <c r="I86" i="59"/>
  <c r="R87" i="59"/>
  <c r="Q87" i="59"/>
  <c r="P87" i="59"/>
  <c r="P86" i="59"/>
  <c r="O87" i="59"/>
  <c r="O86" i="59"/>
  <c r="H86" i="59"/>
  <c r="I85" i="59"/>
  <c r="H85" i="59" s="1"/>
  <c r="O85" i="59"/>
  <c r="I84" i="59"/>
  <c r="H84" i="59" s="1"/>
  <c r="H4" i="59"/>
  <c r="H5" i="59"/>
  <c r="H6" i="59"/>
  <c r="H7" i="59"/>
  <c r="H8" i="59"/>
  <c r="H9" i="59"/>
  <c r="H10" i="59"/>
  <c r="H11" i="59"/>
  <c r="H12" i="59"/>
  <c r="H13" i="59"/>
  <c r="H14" i="59"/>
  <c r="H15" i="59"/>
  <c r="H16" i="59"/>
  <c r="H17" i="59"/>
  <c r="H18" i="59"/>
  <c r="H19" i="59"/>
  <c r="H20" i="59"/>
  <c r="H21" i="59"/>
  <c r="H22" i="59"/>
  <c r="H23" i="59"/>
  <c r="H24" i="59"/>
  <c r="H25" i="59"/>
  <c r="H26" i="59"/>
  <c r="H27" i="59"/>
  <c r="H28" i="59"/>
  <c r="H29" i="59"/>
  <c r="H30" i="59"/>
  <c r="H31" i="59"/>
  <c r="H32" i="59"/>
  <c r="H33" i="59"/>
  <c r="H34" i="59"/>
  <c r="H35" i="59"/>
  <c r="H36" i="59"/>
  <c r="H37" i="59"/>
  <c r="H38" i="59"/>
  <c r="H39" i="59"/>
  <c r="H40" i="59"/>
  <c r="H41" i="59"/>
  <c r="H42" i="59"/>
  <c r="H43" i="59"/>
  <c r="H44" i="59"/>
  <c r="H45" i="59"/>
  <c r="H46" i="59"/>
  <c r="H47" i="59"/>
  <c r="H48" i="59"/>
  <c r="H49" i="59"/>
  <c r="H50" i="59"/>
  <c r="H51" i="59"/>
  <c r="H52" i="59"/>
  <c r="H53" i="59"/>
  <c r="H54" i="59"/>
  <c r="H55" i="59"/>
  <c r="H56" i="59"/>
  <c r="H57" i="59"/>
  <c r="H58" i="59"/>
  <c r="H59" i="59"/>
  <c r="H60" i="59"/>
  <c r="H61" i="59"/>
  <c r="O84" i="59"/>
  <c r="O44" i="59"/>
  <c r="P44" i="59"/>
  <c r="P42" i="59"/>
  <c r="O42" i="59"/>
  <c r="H3" i="59"/>
  <c r="K44" i="59"/>
  <c r="H87" i="59" l="1"/>
  <c r="O23" i="59" l="1"/>
  <c r="I23" i="59"/>
  <c r="J58" i="59" l="1"/>
  <c r="J44" i="59"/>
  <c r="I44" i="59"/>
  <c r="I50" i="59"/>
  <c r="I61" i="59"/>
  <c r="I58" i="59"/>
  <c r="J42" i="59"/>
  <c r="I42" i="59"/>
  <c r="I33" i="59"/>
  <c r="I32" i="59"/>
  <c r="J60" i="59"/>
  <c r="I60" i="59"/>
  <c r="I59" i="59"/>
  <c r="T51" i="13" s="1"/>
  <c r="I57" i="59"/>
  <c r="T47" i="13" s="1"/>
  <c r="J56" i="59"/>
  <c r="I56" i="59"/>
  <c r="J55" i="59"/>
  <c r="O6" i="59"/>
  <c r="O5" i="59"/>
  <c r="I55" i="59"/>
  <c r="O22" i="59"/>
  <c r="O4" i="59"/>
  <c r="O3" i="59"/>
  <c r="O12" i="59"/>
  <c r="O61" i="59"/>
  <c r="O57" i="59"/>
  <c r="P56" i="59"/>
  <c r="O56" i="59"/>
  <c r="O58" i="59"/>
  <c r="P58" i="59"/>
  <c r="O60" i="59"/>
  <c r="O59" i="59"/>
  <c r="P60" i="59"/>
  <c r="Q44" i="59"/>
  <c r="P55" i="59"/>
  <c r="O55" i="59"/>
  <c r="I54" i="59"/>
  <c r="O54" i="59"/>
  <c r="I53" i="59"/>
  <c r="I51" i="59"/>
  <c r="I49" i="59"/>
  <c r="T42" i="13" s="1"/>
  <c r="I47" i="59"/>
  <c r="I46" i="59"/>
  <c r="I34" i="59"/>
  <c r="I26" i="59"/>
  <c r="T34" i="13" s="1"/>
  <c r="I25" i="59"/>
  <c r="I24" i="59"/>
  <c r="I22" i="59"/>
  <c r="I21" i="59"/>
  <c r="I20" i="59"/>
  <c r="I19" i="59"/>
  <c r="O26" i="59"/>
  <c r="O25" i="59"/>
  <c r="O13" i="59"/>
  <c r="I13" i="59"/>
  <c r="I17" i="59"/>
  <c r="I18" i="59"/>
  <c r="O17" i="59"/>
  <c r="O18" i="59"/>
  <c r="O19" i="59"/>
  <c r="O20" i="59"/>
  <c r="O21" i="59"/>
  <c r="O24" i="59"/>
  <c r="O32" i="59"/>
  <c r="O33" i="59"/>
  <c r="O34" i="59"/>
  <c r="O46" i="59"/>
  <c r="O47" i="59"/>
  <c r="O49" i="59"/>
  <c r="O50" i="59"/>
  <c r="O51" i="59"/>
  <c r="O63" i="59"/>
  <c r="O53" i="59"/>
  <c r="O65" i="59"/>
  <c r="O66" i="59"/>
  <c r="O67" i="59"/>
  <c r="O68" i="59"/>
  <c r="O69" i="59"/>
  <c r="O70" i="59"/>
  <c r="O71" i="59"/>
  <c r="O72" i="59"/>
  <c r="O73" i="59"/>
  <c r="I12" i="59"/>
  <c r="T33" i="13" s="1"/>
  <c r="I6" i="59"/>
  <c r="I5" i="59"/>
  <c r="I4" i="59"/>
  <c r="I3" i="59"/>
  <c r="I7" i="59" l="1"/>
  <c r="I8" i="59"/>
  <c r="I9" i="59"/>
  <c r="T45" i="13"/>
  <c r="I10" i="59"/>
  <c r="T46" i="13"/>
  <c r="T41" i="13"/>
  <c r="T48" i="13"/>
  <c r="T43" i="13" l="1"/>
  <c r="T44" i="13"/>
  <c r="T49" i="13"/>
  <c r="T50"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桜井隆行</author>
  </authors>
  <commentList>
    <comment ref="A126" authorId="0" shapeId="0" xr:uid="{00000000-0006-0000-0B00-000004000000}">
      <text>
        <r>
          <rPr>
            <b/>
            <sz val="8"/>
            <color indexed="81"/>
            <rFont val="ＭＳ Ｐゴシック"/>
            <family val="3"/>
            <charset val="128"/>
          </rPr>
          <t>画質制御分類用のみに存在する</t>
        </r>
        <r>
          <rPr>
            <sz val="8"/>
            <color indexed="81"/>
            <rFont val="ＭＳ Ｐゴシック"/>
            <family val="3"/>
            <charset val="128"/>
          </rPr>
          <t xml:space="preserve">
</t>
        </r>
      </text>
    </comment>
    <comment ref="A127" authorId="0" shapeId="0" xr:uid="{00000000-0006-0000-0B00-000005000000}">
      <text>
        <r>
          <rPr>
            <b/>
            <sz val="8"/>
            <color indexed="81"/>
            <rFont val="ＭＳ Ｐゴシック"/>
            <family val="3"/>
            <charset val="128"/>
          </rPr>
          <t>画質制御分類用のみに存在する</t>
        </r>
      </text>
    </comment>
  </commentList>
</comments>
</file>

<file path=xl/sharedStrings.xml><?xml version="1.0" encoding="utf-8"?>
<sst xmlns="http://schemas.openxmlformats.org/spreadsheetml/2006/main" count="4665" uniqueCount="1301">
  <si>
    <t>×</t>
  </si>
  <si>
    <t>○</t>
  </si>
  <si>
    <t>B5</t>
  </si>
  <si>
    <t>B4</t>
  </si>
  <si>
    <t>往復はがき</t>
  </si>
  <si>
    <t>用紙種類</t>
  </si>
  <si>
    <t>普通紙</t>
  </si>
  <si>
    <t>再生紙</t>
  </si>
  <si>
    <t>用紙サイズ</t>
  </si>
  <si>
    <t>日付</t>
    <rPh sb="0" eb="2">
      <t>ヒヅケ</t>
    </rPh>
    <phoneticPr fontId="8"/>
  </si>
  <si>
    <t>更新者</t>
    <rPh sb="0" eb="3">
      <t>コウシンシャ</t>
    </rPh>
    <phoneticPr fontId="8"/>
  </si>
  <si>
    <t>変更詳細</t>
    <rPh sb="0" eb="2">
      <t>ヘンコウ</t>
    </rPh>
    <rPh sb="2" eb="4">
      <t>ショウサイ</t>
    </rPh>
    <phoneticPr fontId="8"/>
  </si>
  <si>
    <t>バージョン</t>
    <phoneticPr fontId="8"/>
  </si>
  <si>
    <t>上質紙</t>
  </si>
  <si>
    <t>STATIONARY</t>
  </si>
  <si>
    <t>USER1</t>
  </si>
  <si>
    <t>USER2</t>
  </si>
  <si>
    <t>USER3</t>
  </si>
  <si>
    <t>USER4</t>
  </si>
  <si>
    <t>USER5</t>
  </si>
  <si>
    <t>PREPUNCHED</t>
  </si>
  <si>
    <t>USED</t>
  </si>
  <si>
    <t>TRANSPARENCY</t>
  </si>
  <si>
    <t>THICK1</t>
  </si>
  <si>
    <t>THICK2</t>
  </si>
  <si>
    <t>THICK1_FINISHER</t>
  </si>
  <si>
    <t>COATING1</t>
  </si>
  <si>
    <t>COATING2</t>
  </si>
  <si>
    <t>ラベル紙</t>
  </si>
  <si>
    <t>LABEL</t>
  </si>
  <si>
    <t>THICK1_REV</t>
  </si>
  <si>
    <t>THICK2_REV</t>
  </si>
  <si>
    <t>COATING1_REV</t>
  </si>
  <si>
    <t>COATING2_REV</t>
  </si>
  <si>
    <t>○</t>
    <phoneticPr fontId="8"/>
  </si>
  <si>
    <t>×</t>
    <phoneticPr fontId="8"/>
  </si>
  <si>
    <t>LEF</t>
    <phoneticPr fontId="8"/>
  </si>
  <si>
    <r>
      <t>Features</t>
    </r>
    <r>
      <rPr>
        <b/>
        <i/>
        <shadow/>
        <sz val="18"/>
        <rFont val="ＭＳ Ｐゴシック"/>
        <family val="3"/>
        <charset val="128"/>
      </rPr>
      <t>＆</t>
    </r>
    <r>
      <rPr>
        <b/>
        <i/>
        <shadow/>
        <sz val="18"/>
        <rFont val="Arial"/>
        <family val="2"/>
      </rPr>
      <t>Functions</t>
    </r>
    <r>
      <rPr>
        <b/>
        <i/>
        <shadow/>
        <sz val="18"/>
        <rFont val="ＭＳ Ｐゴシック"/>
        <family val="3"/>
        <charset val="128"/>
      </rPr>
      <t>（</t>
    </r>
    <r>
      <rPr>
        <b/>
        <i/>
        <shadow/>
        <sz val="18"/>
        <rFont val="Arial"/>
        <family val="2"/>
      </rPr>
      <t>I : Device Function</t>
    </r>
    <r>
      <rPr>
        <b/>
        <i/>
        <shadow/>
        <sz val="18"/>
        <rFont val="ＭＳ Ｐゴシック"/>
        <family val="3"/>
        <charset val="128"/>
      </rPr>
      <t>）編</t>
    </r>
  </si>
  <si>
    <t>方向</t>
    <rPh sb="0" eb="2">
      <t>ホウコウ</t>
    </rPh>
    <phoneticPr fontId="8"/>
  </si>
  <si>
    <t>THICK1_B</t>
  </si>
  <si>
    <t>THICK1_C</t>
  </si>
  <si>
    <t>THICK1_S</t>
  </si>
  <si>
    <t>THICK2_A</t>
  </si>
  <si>
    <t>THICK2_B</t>
  </si>
  <si>
    <t>THICK2_C</t>
  </si>
  <si>
    <t>THICK2_D</t>
  </si>
  <si>
    <t>THICK2_S</t>
  </si>
  <si>
    <t>THICK1_A</t>
  </si>
  <si>
    <t>THICK1_FINISHER_B</t>
  </si>
  <si>
    <t>THICK1_FINISHER_C</t>
  </si>
  <si>
    <t>THICK1_FINISHER_S</t>
  </si>
  <si>
    <t>THICK1_FINISHER_A</t>
  </si>
  <si>
    <t>うす紙</t>
  </si>
  <si>
    <t>タックフィルム</t>
  </si>
  <si>
    <t>YOUKEI_3</t>
  </si>
  <si>
    <t>YOUKEI_4</t>
  </si>
  <si>
    <t xml:space="preserve">5.5×8.5(Statement) </t>
  </si>
  <si>
    <t xml:space="preserve">7.25×10.5(Executive) </t>
  </si>
  <si>
    <t>8×10</t>
  </si>
  <si>
    <t>8.5×11(Letter)</t>
  </si>
  <si>
    <t>215×315mm(8.46×12.4)</t>
  </si>
  <si>
    <t>8.5×13</t>
  </si>
  <si>
    <t>8.5×14(Legal)</t>
  </si>
  <si>
    <t>11×15</t>
  </si>
  <si>
    <t>11×17(Ledger)</t>
  </si>
  <si>
    <t>12×18</t>
  </si>
  <si>
    <t>SRA3(12.6×17.7)</t>
  </si>
  <si>
    <t>12.6×19.2</t>
  </si>
  <si>
    <t>13×18</t>
  </si>
  <si>
    <t>13×19</t>
  </si>
  <si>
    <t>Post Card(6×9)</t>
  </si>
  <si>
    <t>用紙種類</t>
    <rPh sb="0" eb="2">
      <t>ヨウシ</t>
    </rPh>
    <rPh sb="2" eb="4">
      <t>シュルイ</t>
    </rPh>
    <phoneticPr fontId="8"/>
  </si>
  <si>
    <t>ステープル機能</t>
    <rPh sb="5" eb="7">
      <t>キノウ</t>
    </rPh>
    <phoneticPr fontId="8"/>
  </si>
  <si>
    <t>対象シート</t>
    <rPh sb="0" eb="2">
      <t>タイショウ</t>
    </rPh>
    <phoneticPr fontId="8"/>
  </si>
  <si>
    <t>概要</t>
  </si>
  <si>
    <t>本付録では給排紙トレイ、各種後処理で使用可能な用紙サイズ、用紙種類などについて記述する。</t>
    <phoneticPr fontId="8"/>
  </si>
  <si>
    <t>表の見方</t>
  </si>
  <si>
    <r>
      <t>・基本的に○</t>
    </r>
    <r>
      <rPr>
        <sz val="10"/>
        <rFont val="Courier New"/>
        <family val="3"/>
      </rPr>
      <t>×</t>
    </r>
    <r>
      <rPr>
        <sz val="10"/>
        <rFont val="ＭＳ Ｐゴシック"/>
        <family val="3"/>
        <charset val="128"/>
      </rPr>
      <t>で可否を表現しているが、注釈が必要なものは備考欄に記述している。</t>
    </r>
    <phoneticPr fontId="8"/>
  </si>
  <si>
    <t>・グレーで塗りつぶされた行は当プロダクト適用外であることを意味する。</t>
  </si>
  <si>
    <t>・グレーのフォントで記入された列は当プロダクト適用外であることを意味する。</t>
  </si>
  <si>
    <r>
      <t>・各表は</t>
    </r>
    <r>
      <rPr>
        <sz val="10"/>
        <rFont val="Courier New"/>
        <family val="3"/>
      </rPr>
      <t>IOT Device Functions</t>
    </r>
    <r>
      <rPr>
        <sz val="10"/>
        <rFont val="ＭＳ Ｐゴシック"/>
        <family val="3"/>
        <charset val="128"/>
      </rPr>
      <t>として扱うときの仕様であって、</t>
    </r>
    <r>
      <rPr>
        <sz val="10"/>
        <rFont val="Courier New"/>
        <family val="3"/>
      </rPr>
      <t>IOT</t>
    </r>
    <r>
      <rPr>
        <sz val="10"/>
        <rFont val="ＭＳ Ｐゴシック"/>
        <family val="3"/>
        <charset val="128"/>
      </rPr>
      <t>の仕様とは必ずしも一致しない。</t>
    </r>
    <r>
      <rPr>
        <sz val="10"/>
        <rFont val="Courier New"/>
        <family val="3"/>
      </rPr>
      <t>IOT</t>
    </r>
    <r>
      <rPr>
        <sz val="10"/>
        <rFont val="ＭＳ Ｐゴシック"/>
        <family val="3"/>
        <charset val="128"/>
      </rPr>
      <t>での仕様は性能仕様書を参照のこと。</t>
    </r>
    <phoneticPr fontId="8"/>
  </si>
  <si>
    <t>付録に含まれる表</t>
    <rPh sb="0" eb="2">
      <t>フロク</t>
    </rPh>
    <rPh sb="3" eb="4">
      <t>フク</t>
    </rPh>
    <rPh sb="7" eb="8">
      <t>ヒョウ</t>
    </rPh>
    <phoneticPr fontId="8"/>
  </si>
  <si>
    <t>給紙や排紙、後処理などの各種機能で使用可能な用紙サイズ一覧</t>
    <rPh sb="0" eb="2">
      <t>キュウシ</t>
    </rPh>
    <rPh sb="3" eb="5">
      <t>ハイシ</t>
    </rPh>
    <rPh sb="6" eb="9">
      <t>アトショリ</t>
    </rPh>
    <rPh sb="12" eb="14">
      <t>カクシュ</t>
    </rPh>
    <rPh sb="14" eb="16">
      <t>キノウ</t>
    </rPh>
    <rPh sb="27" eb="29">
      <t>イチラン</t>
    </rPh>
    <phoneticPr fontId="8"/>
  </si>
  <si>
    <t>給紙や排紙、後処理などの各種機能で使用可能な用紙種類一覧</t>
    <rPh sb="24" eb="26">
      <t>シュルイ</t>
    </rPh>
    <rPh sb="26" eb="28">
      <t>イチラン</t>
    </rPh>
    <phoneticPr fontId="8"/>
  </si>
  <si>
    <t>画質制御分類</t>
  </si>
  <si>
    <t>各用紙種類で使用可能な画質制御分類値一覧</t>
    <rPh sb="0" eb="1">
      <t>カク</t>
    </rPh>
    <rPh sb="1" eb="3">
      <t>ヨウシ</t>
    </rPh>
    <rPh sb="3" eb="5">
      <t>シュルイ</t>
    </rPh>
    <rPh sb="11" eb="12">
      <t>ガ</t>
    </rPh>
    <rPh sb="12" eb="13">
      <t>シツ</t>
    </rPh>
    <rPh sb="13" eb="15">
      <t>セイギョ</t>
    </rPh>
    <rPh sb="15" eb="17">
      <t>ブンルイ</t>
    </rPh>
    <rPh sb="17" eb="18">
      <t>チ</t>
    </rPh>
    <rPh sb="18" eb="20">
      <t>イチラン</t>
    </rPh>
    <phoneticPr fontId="8"/>
  </si>
  <si>
    <t>用紙種類優先順位</t>
  </si>
  <si>
    <t>各用紙種類で使用可能な用紙種類優先順位一覧</t>
    <rPh sb="0" eb="1">
      <t>カク</t>
    </rPh>
    <rPh sb="1" eb="3">
      <t>ヨウシ</t>
    </rPh>
    <rPh sb="3" eb="5">
      <t>シュルイ</t>
    </rPh>
    <rPh sb="11" eb="13">
      <t>ヨウシ</t>
    </rPh>
    <rPh sb="13" eb="15">
      <t>シュルイ</t>
    </rPh>
    <rPh sb="15" eb="17">
      <t>ユウセン</t>
    </rPh>
    <rPh sb="17" eb="19">
      <t>ジュンイ</t>
    </rPh>
    <rPh sb="19" eb="21">
      <t>イチラン</t>
    </rPh>
    <phoneticPr fontId="8"/>
  </si>
  <si>
    <t>排出先機能</t>
  </si>
  <si>
    <t>各排出先で使用可能な排出先機能一覧</t>
    <rPh sb="0" eb="1">
      <t>カク</t>
    </rPh>
    <rPh sb="1" eb="3">
      <t>ハイシュツ</t>
    </rPh>
    <rPh sb="3" eb="4">
      <t>サキ</t>
    </rPh>
    <rPh sb="10" eb="12">
      <t>ハイシュツ</t>
    </rPh>
    <rPh sb="12" eb="13">
      <t>サキ</t>
    </rPh>
    <rPh sb="13" eb="15">
      <t>キノウ</t>
    </rPh>
    <rPh sb="15" eb="17">
      <t>イチラン</t>
    </rPh>
    <phoneticPr fontId="8"/>
  </si>
  <si>
    <t>THICK3</t>
  </si>
  <si>
    <t>THICK3_REV</t>
  </si>
  <si>
    <t>THICK4</t>
  </si>
  <si>
    <t>THICK4_REV</t>
  </si>
  <si>
    <t>COATING3</t>
  </si>
  <si>
    <t>COATING3_REV</t>
  </si>
  <si>
    <t>COATING4</t>
  </si>
  <si>
    <t>COATING4_REV</t>
  </si>
  <si>
    <r>
      <t>PF</t>
    </r>
    <r>
      <rPr>
        <sz val="10"/>
        <rFont val="ＭＳ Ｐゴシック"/>
        <family val="3"/>
        <charset val="128"/>
      </rPr>
      <t>定義値</t>
    </r>
  </si>
  <si>
    <t>SEF</t>
    <phoneticPr fontId="8"/>
  </si>
  <si>
    <t>JIS_B5</t>
    <phoneticPr fontId="8"/>
  </si>
  <si>
    <t>JIS_B4</t>
    <phoneticPr fontId="8"/>
  </si>
  <si>
    <t>INVOICE</t>
    <phoneticPr fontId="8"/>
  </si>
  <si>
    <t>EXECUTIVE</t>
    <phoneticPr fontId="8"/>
  </si>
  <si>
    <t>80X100</t>
    <phoneticPr fontId="8"/>
  </si>
  <si>
    <t>LETTER</t>
    <phoneticPr fontId="8"/>
  </si>
  <si>
    <t>SPANISH</t>
    <phoneticPr fontId="8"/>
  </si>
  <si>
    <t>FOLIO</t>
    <phoneticPr fontId="8"/>
  </si>
  <si>
    <t>8.5×13.4</t>
    <phoneticPr fontId="8"/>
  </si>
  <si>
    <t>MEXICAN_OFFICIO</t>
    <phoneticPr fontId="8"/>
  </si>
  <si>
    <t>LEGAL</t>
    <phoneticPr fontId="8"/>
  </si>
  <si>
    <t>11X15</t>
    <phoneticPr fontId="8"/>
  </si>
  <si>
    <t>LEDGER</t>
    <phoneticPr fontId="8"/>
  </si>
  <si>
    <t>A4-Cover</t>
    <phoneticPr fontId="8"/>
  </si>
  <si>
    <t>A4COVER</t>
    <phoneticPr fontId="8"/>
  </si>
  <si>
    <t>Letter-Cover(9×11)</t>
    <phoneticPr fontId="8"/>
  </si>
  <si>
    <t>LETTERCOVER</t>
    <phoneticPr fontId="8"/>
  </si>
  <si>
    <t>SPECIALA4</t>
    <phoneticPr fontId="8"/>
  </si>
  <si>
    <t>DT_SPECIALA3</t>
    <phoneticPr fontId="8"/>
  </si>
  <si>
    <t>SPECIALA3</t>
    <phoneticPr fontId="8"/>
  </si>
  <si>
    <t>12X18</t>
    <phoneticPr fontId="8"/>
  </si>
  <si>
    <t>12×19</t>
    <phoneticPr fontId="8"/>
  </si>
  <si>
    <t>120X190</t>
    <phoneticPr fontId="8"/>
  </si>
  <si>
    <t>SRA3</t>
    <phoneticPr fontId="8"/>
  </si>
  <si>
    <t>126X192</t>
    <phoneticPr fontId="8"/>
  </si>
  <si>
    <t>13X18</t>
    <phoneticPr fontId="8"/>
  </si>
  <si>
    <t>13X19</t>
    <phoneticPr fontId="8"/>
  </si>
  <si>
    <t>16KAI</t>
    <phoneticPr fontId="8"/>
  </si>
  <si>
    <t>8KAI</t>
    <phoneticPr fontId="8"/>
  </si>
  <si>
    <t>16KAI_GCO</t>
    <phoneticPr fontId="8"/>
  </si>
  <si>
    <t>8KAI_GCO</t>
    <phoneticPr fontId="8"/>
  </si>
  <si>
    <t>HAGAKI</t>
    <phoneticPr fontId="8"/>
  </si>
  <si>
    <t>DOUBLE_HAGAKI</t>
    <phoneticPr fontId="8"/>
  </si>
  <si>
    <t>35X50</t>
    <phoneticPr fontId="8"/>
  </si>
  <si>
    <t>Post Card(3.5×5.5)</t>
    <phoneticPr fontId="8"/>
  </si>
  <si>
    <t>35X55</t>
    <phoneticPr fontId="8"/>
  </si>
  <si>
    <t>Post Card(4×6)</t>
    <phoneticPr fontId="8"/>
  </si>
  <si>
    <t>40X60</t>
    <phoneticPr fontId="8"/>
  </si>
  <si>
    <t>50X70</t>
    <phoneticPr fontId="8"/>
  </si>
  <si>
    <t>60X90</t>
    <phoneticPr fontId="8"/>
  </si>
  <si>
    <t>TYOUKEI_3</t>
    <phoneticPr fontId="8"/>
  </si>
  <si>
    <t>NULL</t>
    <phoneticPr fontId="8"/>
  </si>
  <si>
    <t>COMMERCIAL_10</t>
    <phoneticPr fontId="8"/>
  </si>
  <si>
    <t>MONARCH</t>
    <phoneticPr fontId="8"/>
  </si>
  <si>
    <t>ISO_DESIGNATED_LONG</t>
    <phoneticPr fontId="8"/>
  </si>
  <si>
    <t>ISO_C5</t>
    <phoneticPr fontId="8"/>
  </si>
  <si>
    <t>YOUKEI_2</t>
    <phoneticPr fontId="8"/>
  </si>
  <si>
    <t>はがき</t>
  </si>
  <si>
    <t>郵便はがき</t>
    <rPh sb="0" eb="2">
      <t>ユウビン</t>
    </rPh>
    <phoneticPr fontId="8"/>
  </si>
  <si>
    <t>OTHER</t>
    <phoneticPr fontId="8"/>
  </si>
  <si>
    <t>TAB</t>
    <phoneticPr fontId="8"/>
  </si>
  <si>
    <t>YOUTYOUKEI_3</t>
    <phoneticPr fontId="8"/>
  </si>
  <si>
    <t>KAKUGATA_2</t>
    <phoneticPr fontId="8"/>
  </si>
  <si>
    <t>KAKUGATA_20</t>
    <phoneticPr fontId="8"/>
  </si>
  <si>
    <t>KAKUGATA_6</t>
    <phoneticPr fontId="8"/>
  </si>
  <si>
    <t>TYOUKEI_4</t>
    <phoneticPr fontId="8"/>
  </si>
  <si>
    <t>ISO_C4</t>
    <phoneticPr fontId="8"/>
  </si>
  <si>
    <t>FREE</t>
    <phoneticPr fontId="8"/>
  </si>
  <si>
    <t>普通紙(うら)C</t>
  </si>
  <si>
    <t>厚紙3</t>
  </si>
  <si>
    <t>厚紙3(うら)</t>
  </si>
  <si>
    <t>ラベル紙1</t>
  </si>
  <si>
    <t>ラベル紙2</t>
  </si>
  <si>
    <r>
      <t>関連</t>
    </r>
    <r>
      <rPr>
        <sz val="10"/>
        <color indexed="8"/>
        <rFont val="Courier New"/>
        <family val="3"/>
      </rPr>
      <t>SC</t>
    </r>
    <r>
      <rPr>
        <sz val="10"/>
        <color indexed="8"/>
        <rFont val="ＭＳ Ｐゴシック"/>
        <family val="3"/>
        <charset val="128"/>
      </rPr>
      <t>、</t>
    </r>
    <r>
      <rPr>
        <sz val="10"/>
        <color indexed="8"/>
        <rFont val="Courier New"/>
        <family val="3"/>
      </rPr>
      <t>AR</t>
    </r>
    <rPh sb="0" eb="2">
      <t>カンレン</t>
    </rPh>
    <phoneticPr fontId="8"/>
  </si>
  <si>
    <t>藤田 裕三</t>
    <rPh sb="0" eb="2">
      <t>フジタ</t>
    </rPh>
    <rPh sb="3" eb="5">
      <t>ユウゾウ</t>
    </rPh>
    <phoneticPr fontId="8"/>
  </si>
  <si>
    <t>－</t>
  </si>
  <si>
    <t>厚紙4</t>
  </si>
  <si>
    <t>厚紙4(うら)</t>
  </si>
  <si>
    <t>はがき(うら）</t>
  </si>
  <si>
    <t>コート紙3</t>
  </si>
  <si>
    <t>コート紙3(うら)</t>
  </si>
  <si>
    <t>コート紙4</t>
  </si>
  <si>
    <t>コート紙4(うら)</t>
  </si>
  <si>
    <t>OHPフィルム</t>
  </si>
  <si>
    <t>普通紙E</t>
  </si>
  <si>
    <t>普通紙F</t>
  </si>
  <si>
    <t>普通紙G</t>
  </si>
  <si>
    <t>普通紙S</t>
  </si>
  <si>
    <t>普通紙S1</t>
  </si>
  <si>
    <t>普通紙S2</t>
  </si>
  <si>
    <t>普通紙(うら)D</t>
  </si>
  <si>
    <t>普通紙(うら)S</t>
  </si>
  <si>
    <t>厚紙1B</t>
  </si>
  <si>
    <t>厚紙1C</t>
  </si>
  <si>
    <t>厚紙1S</t>
  </si>
  <si>
    <t>厚紙1S1</t>
  </si>
  <si>
    <t>厚紙1S2</t>
  </si>
  <si>
    <t>厚紙1FA</t>
  </si>
  <si>
    <t>厚紙1FB</t>
  </si>
  <si>
    <t>厚紙1FC</t>
  </si>
  <si>
    <t>厚紙1FS</t>
  </si>
  <si>
    <t>厚紙1(うら)A</t>
  </si>
  <si>
    <t>厚紙1(うら)B</t>
  </si>
  <si>
    <t>厚紙1(うら)C</t>
  </si>
  <si>
    <t>厚紙1(うら)S</t>
  </si>
  <si>
    <t>厚紙2B</t>
  </si>
  <si>
    <t>厚紙2C</t>
  </si>
  <si>
    <t>厚紙2D</t>
  </si>
  <si>
    <t>厚紙2E</t>
  </si>
  <si>
    <t>厚紙2S</t>
  </si>
  <si>
    <t>厚紙2S1</t>
  </si>
  <si>
    <t>厚紙2S2</t>
  </si>
  <si>
    <t>厚紙2(うら)A</t>
  </si>
  <si>
    <t>厚紙2(うら)B</t>
  </si>
  <si>
    <t>厚紙2(うら)C</t>
  </si>
  <si>
    <t>厚紙2(うら)D</t>
  </si>
  <si>
    <t>厚紙2(うら)S</t>
  </si>
  <si>
    <t>コート紙1B</t>
  </si>
  <si>
    <t>コート紙2B</t>
  </si>
  <si>
    <t>ラベル紙1A</t>
  </si>
  <si>
    <t>ラベル紙1B</t>
  </si>
  <si>
    <t>コート紙2A</t>
  </si>
  <si>
    <t>ISO-B6</t>
    <phoneticPr fontId="8"/>
  </si>
  <si>
    <t>ISO-B4</t>
    <phoneticPr fontId="8"/>
  </si>
  <si>
    <t>ISO_B6</t>
    <phoneticPr fontId="8"/>
  </si>
  <si>
    <t>ISO-B5</t>
    <phoneticPr fontId="8"/>
  </si>
  <si>
    <t>ISO_B5</t>
    <phoneticPr fontId="8"/>
  </si>
  <si>
    <t>ISO_B4</t>
    <phoneticPr fontId="8"/>
  </si>
  <si>
    <t xml:space="preserve">初期要件
</t>
    <rPh sb="0" eb="2">
      <t>ショキ</t>
    </rPh>
    <rPh sb="2" eb="4">
      <t>ヨウケン</t>
    </rPh>
    <phoneticPr fontId="8"/>
  </si>
  <si>
    <t>XXXXX</t>
    <phoneticPr fontId="8"/>
  </si>
  <si>
    <t>THIN</t>
  </si>
  <si>
    <t>FINE</t>
  </si>
  <si>
    <t>RECYCLED</t>
  </si>
  <si>
    <t>ユーザー定義用紙1</t>
  </si>
  <si>
    <t>ユーザー定義用紙2</t>
  </si>
  <si>
    <t>ユーザー定義用紙3</t>
  </si>
  <si>
    <t>ユーザー定義用紙4</t>
  </si>
  <si>
    <t>ユーザー定義用紙5</t>
  </si>
  <si>
    <t>厚紙1</t>
  </si>
  <si>
    <t>厚紙2</t>
  </si>
  <si>
    <t>PREPRINTED_THIN</t>
  </si>
  <si>
    <t>PREPRINTED</t>
  </si>
  <si>
    <t>PREPRINTED_THICK1</t>
  </si>
  <si>
    <t>PREPRINTED_THICK2</t>
  </si>
  <si>
    <t>PREPRINTED_THICK3</t>
  </si>
  <si>
    <t>PREPRINTED_THICK4</t>
  </si>
  <si>
    <t>LETTERHEAD</t>
  </si>
  <si>
    <t>OTHER</t>
  </si>
  <si>
    <t>FINE_THICK2</t>
  </si>
  <si>
    <t>封筒</t>
    <rPh sb="0" eb="2">
      <t>フウトウ</t>
    </rPh>
    <phoneticPr fontId="9"/>
  </si>
  <si>
    <t>ENVELOPE</t>
  </si>
  <si>
    <t>HAGAKI</t>
  </si>
  <si>
    <t>コート紙1</t>
  </si>
  <si>
    <t>コート紙2</t>
  </si>
  <si>
    <t>LABEL1</t>
  </si>
  <si>
    <t>LABEL2</t>
  </si>
  <si>
    <t>TAB_THICK1</t>
  </si>
  <si>
    <t>TAB_THICK2</t>
  </si>
  <si>
    <t>布地転写紙</t>
    <rPh sb="0" eb="2">
      <t>ヌノジ</t>
    </rPh>
    <rPh sb="2" eb="5">
      <t>テンシャシ</t>
    </rPh>
    <phoneticPr fontId="9"/>
  </si>
  <si>
    <t>TRANSFER</t>
  </si>
  <si>
    <t>TACK_FILM</t>
  </si>
  <si>
    <t>厚紙1(うら)</t>
  </si>
  <si>
    <t>厚紙2(うら)</t>
  </si>
  <si>
    <t>ENVELOPE_REV</t>
  </si>
  <si>
    <t>HAGAKI_REV</t>
  </si>
  <si>
    <t>コート紙1(うら)</t>
  </si>
  <si>
    <t>コート紙2(うら)</t>
  </si>
  <si>
    <t>普通紙A</t>
  </si>
  <si>
    <t>STATIONARY_A</t>
  </si>
  <si>
    <t>普通紙B</t>
  </si>
  <si>
    <t>STATIONARY_B</t>
  </si>
  <si>
    <t>普通紙C</t>
  </si>
  <si>
    <t>STATIONARY_C</t>
  </si>
  <si>
    <t>普通紙D</t>
  </si>
  <si>
    <t>STATIONARY_D</t>
  </si>
  <si>
    <t>STATIONARY_E</t>
  </si>
  <si>
    <t>STATIONARY_F</t>
  </si>
  <si>
    <t>STATIONARY_G</t>
  </si>
  <si>
    <t>STATIONARY_S</t>
  </si>
  <si>
    <t>STATIONARY_S1</t>
  </si>
  <si>
    <t>STATIONARY_S2</t>
  </si>
  <si>
    <t>上質紙S1</t>
  </si>
  <si>
    <t>FINE_S1</t>
  </si>
  <si>
    <t>RECYCLED_A</t>
  </si>
  <si>
    <t>RECYCLED_B</t>
  </si>
  <si>
    <t>RECYCLED_S1</t>
  </si>
  <si>
    <t>厚紙1A</t>
  </si>
  <si>
    <t>THICK1_S1</t>
  </si>
  <si>
    <t>THICK1_S2</t>
  </si>
  <si>
    <t>厚紙2A</t>
  </si>
  <si>
    <t>THICK2_E</t>
  </si>
  <si>
    <t>厚紙2R</t>
  </si>
  <si>
    <t>THICK2_R</t>
  </si>
  <si>
    <t>THICK2_S1</t>
  </si>
  <si>
    <t>THICK2_S2</t>
  </si>
  <si>
    <t>厚紙3S1</t>
  </si>
  <si>
    <t>THICK3_S1</t>
  </si>
  <si>
    <t>厚紙4S1</t>
  </si>
  <si>
    <t>THICK4_S1</t>
  </si>
  <si>
    <t>PREPRINTED_S1</t>
  </si>
  <si>
    <t>PREPRINTED_THICK1_S1</t>
  </si>
  <si>
    <t>PREPRINTED_THICK2_S1</t>
  </si>
  <si>
    <t>PREPRINTED_THICK3_S1</t>
  </si>
  <si>
    <t>PREPRINTED_THICK4_S1</t>
  </si>
  <si>
    <t>STATIONARY_REV_A</t>
  </si>
  <si>
    <t>STATIONARY_REV_B</t>
  </si>
  <si>
    <t>STATIONARY_REV_C</t>
  </si>
  <si>
    <t>STATIONARY_REV_D</t>
  </si>
  <si>
    <t>STATIONARY_REV_S</t>
  </si>
  <si>
    <t>USED_S1</t>
  </si>
  <si>
    <t>THICK1_REV_A</t>
  </si>
  <si>
    <t>THICK1_REV_B</t>
  </si>
  <si>
    <t>THICK1_REV_C</t>
  </si>
  <si>
    <t>THICK1_REV_S</t>
  </si>
  <si>
    <t>厚紙1(うら)S1</t>
  </si>
  <si>
    <t>THICK1_REV_S1</t>
  </si>
  <si>
    <t>厚紙1(うら)S2</t>
  </si>
  <si>
    <t>THICK1_REV_S2</t>
  </si>
  <si>
    <t>THICK2_REV_A</t>
  </si>
  <si>
    <t>THICK2_REV_B</t>
  </si>
  <si>
    <t>THICK2_REV_C</t>
  </si>
  <si>
    <t>THICK2_REV_D</t>
  </si>
  <si>
    <t>厚紙2(うら)E</t>
  </si>
  <si>
    <t>THICK2_REV_E</t>
  </si>
  <si>
    <t>THICK2_REV_S</t>
  </si>
  <si>
    <t>厚紙2(うら)S1</t>
  </si>
  <si>
    <t>THICK2_REV_S1</t>
  </si>
  <si>
    <t>厚紙2(うら)S2</t>
  </si>
  <si>
    <t>THICK2_REV_S2</t>
  </si>
  <si>
    <t>コート紙1A</t>
  </si>
  <si>
    <t>COATING1_A</t>
  </si>
  <si>
    <t>COATING1_B</t>
  </si>
  <si>
    <t>COATING2_A</t>
  </si>
  <si>
    <t>COATING2_B</t>
  </si>
  <si>
    <t>LABEL1_A</t>
  </si>
  <si>
    <t>LABEL1_B</t>
  </si>
  <si>
    <t>厚紙1F</t>
  </si>
  <si>
    <t>厚紙1F(うら)</t>
  </si>
  <si>
    <t>THICK1_FINISHER_REV</t>
  </si>
  <si>
    <t>コート紙1F</t>
  </si>
  <si>
    <t>COATING1_FINISHER</t>
  </si>
  <si>
    <t>NULL</t>
  </si>
  <si>
    <t>×</t>
    <phoneticPr fontId="8"/>
  </si>
  <si>
    <t>プレプリント厚紙1S1</t>
  </si>
  <si>
    <t>プレプリント厚紙2S1</t>
  </si>
  <si>
    <t>All</t>
    <phoneticPr fontId="8"/>
  </si>
  <si>
    <t>定型サイズ自動検知</t>
    <rPh sb="0" eb="2">
      <t>テイケイ</t>
    </rPh>
    <phoneticPr fontId="8"/>
  </si>
  <si>
    <t>定型外</t>
    <rPh sb="0" eb="2">
      <t>テイケイ</t>
    </rPh>
    <rPh sb="2" eb="3">
      <t>ガイ</t>
    </rPh>
    <phoneticPr fontId="8"/>
  </si>
  <si>
    <t>穴あき紙</t>
  </si>
  <si>
    <t>プレプリントうす紙</t>
    <rPh sb="8" eb="9">
      <t>ガミ</t>
    </rPh>
    <phoneticPr fontId="9"/>
  </si>
  <si>
    <t>プレプリント厚紙1</t>
  </si>
  <si>
    <t>プレプリント厚紙2</t>
  </si>
  <si>
    <t>プレプリント厚紙3</t>
  </si>
  <si>
    <t>プレプリント厚紙4</t>
  </si>
  <si>
    <t>プレプリント紙S1</t>
    <rPh sb="6" eb="7">
      <t>シ</t>
    </rPh>
    <phoneticPr fontId="9"/>
  </si>
  <si>
    <t>プレプリント厚紙3S1</t>
  </si>
  <si>
    <t>プレプリント厚紙4S1</t>
  </si>
  <si>
    <t>FINE_A</t>
    <phoneticPr fontId="8"/>
  </si>
  <si>
    <r>
      <t>PF</t>
    </r>
    <r>
      <rPr>
        <sz val="10"/>
        <rFont val="ＭＳ Ｐゴシック"/>
        <family val="3"/>
        <charset val="128"/>
      </rPr>
      <t>定義値</t>
    </r>
    <rPh sb="2" eb="5">
      <t>テイギチ</t>
    </rPh>
    <phoneticPr fontId="8"/>
  </si>
  <si>
    <r>
      <t>タブ紙厚</t>
    </r>
    <r>
      <rPr>
        <sz val="10"/>
        <rFont val="ＭＳ Ｐゴシック"/>
        <family val="3"/>
        <charset val="128"/>
      </rPr>
      <t>1</t>
    </r>
    <rPh sb="2" eb="3">
      <t>シ</t>
    </rPh>
    <rPh sb="3" eb="4">
      <t>アツ</t>
    </rPh>
    <phoneticPr fontId="9"/>
  </si>
  <si>
    <r>
      <t>タブ紙厚</t>
    </r>
    <r>
      <rPr>
        <sz val="10"/>
        <rFont val="ＭＳ Ｐゴシック"/>
        <family val="3"/>
        <charset val="128"/>
      </rPr>
      <t>2</t>
    </r>
    <r>
      <rPr>
        <sz val="11"/>
        <rFont val="ＭＳ Ｐゴシック"/>
        <family val="3"/>
        <charset val="128"/>
      </rPr>
      <t/>
    </r>
    <rPh sb="2" eb="3">
      <t>シ</t>
    </rPh>
    <rPh sb="3" eb="4">
      <t>アツ</t>
    </rPh>
    <phoneticPr fontId="9"/>
  </si>
  <si>
    <r>
      <t>普通紙</t>
    </r>
    <r>
      <rPr>
        <sz val="10"/>
        <rFont val="ＭＳ Ｐゴシック"/>
        <family val="3"/>
        <charset val="128"/>
      </rPr>
      <t>(うら) (裏紙)</t>
    </r>
    <rPh sb="0" eb="3">
      <t>フツウシ</t>
    </rPh>
    <rPh sb="9" eb="11">
      <t>ウラガミ</t>
    </rPh>
    <phoneticPr fontId="9"/>
  </si>
  <si>
    <r>
      <t>封筒</t>
    </r>
    <r>
      <rPr>
        <sz val="10"/>
        <rFont val="ＭＳ Ｐゴシック"/>
        <family val="3"/>
        <charset val="128"/>
      </rPr>
      <t>(うら）</t>
    </r>
    <rPh sb="0" eb="2">
      <t>フウトウ</t>
    </rPh>
    <phoneticPr fontId="9"/>
  </si>
  <si>
    <r>
      <t>再生紙</t>
    </r>
    <r>
      <rPr>
        <sz val="10"/>
        <rFont val="ＭＳ Ｐゴシック"/>
        <family val="3"/>
        <charset val="128"/>
      </rPr>
      <t>A</t>
    </r>
    <rPh sb="0" eb="3">
      <t>サイセイシ</t>
    </rPh>
    <phoneticPr fontId="9"/>
  </si>
  <si>
    <r>
      <t>再生紙</t>
    </r>
    <r>
      <rPr>
        <sz val="10"/>
        <rFont val="ＭＳ Ｐゴシック"/>
        <family val="3"/>
        <charset val="128"/>
      </rPr>
      <t>B</t>
    </r>
    <rPh sb="0" eb="3">
      <t>サイセイシ</t>
    </rPh>
    <phoneticPr fontId="9"/>
  </si>
  <si>
    <r>
      <t>再生紙</t>
    </r>
    <r>
      <rPr>
        <sz val="10"/>
        <rFont val="ＭＳ Ｐゴシック"/>
        <family val="3"/>
        <charset val="128"/>
      </rPr>
      <t>S1</t>
    </r>
    <rPh sb="0" eb="3">
      <t>サイセイシ</t>
    </rPh>
    <phoneticPr fontId="9"/>
  </si>
  <si>
    <r>
      <t>普通紙</t>
    </r>
    <r>
      <rPr>
        <sz val="10"/>
        <rFont val="ＭＳ Ｐゴシック"/>
        <family val="3"/>
        <charset val="128"/>
      </rPr>
      <t>(うら)A</t>
    </r>
    <rPh sb="0" eb="3">
      <t>フツウシ</t>
    </rPh>
    <phoneticPr fontId="9"/>
  </si>
  <si>
    <r>
      <t>普通紙</t>
    </r>
    <r>
      <rPr>
        <sz val="10"/>
        <rFont val="ＭＳ Ｐゴシック"/>
        <family val="3"/>
        <charset val="128"/>
      </rPr>
      <t>(うら)B</t>
    </r>
    <rPh sb="0" eb="3">
      <t>フツウシ</t>
    </rPh>
    <phoneticPr fontId="9"/>
  </si>
  <si>
    <r>
      <t>普通紙</t>
    </r>
    <r>
      <rPr>
        <sz val="10"/>
        <rFont val="ＭＳ Ｐゴシック"/>
        <family val="3"/>
        <charset val="128"/>
      </rPr>
      <t>(うら)S1　(裏紙S1)</t>
    </r>
    <rPh sb="0" eb="3">
      <t>フツウシ</t>
    </rPh>
    <phoneticPr fontId="9"/>
  </si>
  <si>
    <r>
      <rPr>
        <sz val="10"/>
        <rFont val="ＭＳ Ｐゴシック"/>
        <family val="3"/>
        <charset val="128"/>
      </rPr>
      <t>上質紙A</t>
    </r>
    <phoneticPr fontId="8"/>
  </si>
  <si>
    <r>
      <t>A4-Tab(</t>
    </r>
    <r>
      <rPr>
        <sz val="10"/>
        <rFont val="ＭＳ Ｐゴシック"/>
        <family val="3"/>
        <charset val="128"/>
      </rPr>
      <t>インデックス紙)</t>
    </r>
    <rPh sb="13" eb="14">
      <t>シ</t>
    </rPh>
    <phoneticPr fontId="8"/>
  </si>
  <si>
    <r>
      <t>Letter-Tab(</t>
    </r>
    <r>
      <rPr>
        <sz val="10"/>
        <rFont val="ＭＳ Ｐゴシック"/>
        <family val="3"/>
        <charset val="128"/>
      </rPr>
      <t>インデックス紙)</t>
    </r>
    <rPh sb="17" eb="18">
      <t>シ</t>
    </rPh>
    <phoneticPr fontId="8"/>
  </si>
  <si>
    <r>
      <t>特</t>
    </r>
    <r>
      <rPr>
        <sz val="10"/>
        <rFont val="ＭＳ Ｐゴシック"/>
        <family val="3"/>
        <charset val="128"/>
      </rPr>
      <t>A4</t>
    </r>
    <rPh sb="0" eb="1">
      <t>トク</t>
    </rPh>
    <phoneticPr fontId="8"/>
  </si>
  <si>
    <r>
      <t>DT</t>
    </r>
    <r>
      <rPr>
        <sz val="10"/>
        <rFont val="ＭＳ Ｐゴシック"/>
        <family val="3"/>
        <charset val="128"/>
      </rPr>
      <t>特A3</t>
    </r>
    <rPh sb="2" eb="3">
      <t>トク</t>
    </rPh>
    <phoneticPr fontId="8"/>
  </si>
  <si>
    <r>
      <t>特</t>
    </r>
    <r>
      <rPr>
        <sz val="10"/>
        <rFont val="ＭＳ Ｐゴシック"/>
        <family val="3"/>
        <charset val="128"/>
      </rPr>
      <t>A3</t>
    </r>
    <rPh sb="0" eb="1">
      <t>トク</t>
    </rPh>
    <phoneticPr fontId="8"/>
  </si>
  <si>
    <r>
      <t>十六開</t>
    </r>
    <r>
      <rPr>
        <sz val="10"/>
        <rFont val="ＭＳ Ｐゴシック"/>
        <family val="3"/>
        <charset val="128"/>
      </rPr>
      <t>(台湾)</t>
    </r>
    <rPh sb="4" eb="6">
      <t>タイワン</t>
    </rPh>
    <phoneticPr fontId="8"/>
  </si>
  <si>
    <r>
      <t>八開</t>
    </r>
    <r>
      <rPr>
        <sz val="10"/>
        <rFont val="ＭＳ Ｐゴシック"/>
        <family val="3"/>
        <charset val="128"/>
      </rPr>
      <t>(台湾)</t>
    </r>
    <rPh sb="3" eb="5">
      <t>タイワン</t>
    </rPh>
    <phoneticPr fontId="8"/>
  </si>
  <si>
    <r>
      <t>十六開</t>
    </r>
    <r>
      <rPr>
        <sz val="10"/>
        <rFont val="ＭＳ Ｐゴシック"/>
        <family val="3"/>
        <charset val="128"/>
      </rPr>
      <t>(中国本土)</t>
    </r>
    <rPh sb="4" eb="6">
      <t>チュウゴク</t>
    </rPh>
    <rPh sb="6" eb="8">
      <t>ホンド</t>
    </rPh>
    <phoneticPr fontId="8"/>
  </si>
  <si>
    <r>
      <t>八開</t>
    </r>
    <r>
      <rPr>
        <sz val="10"/>
        <rFont val="ＭＳ Ｐゴシック"/>
        <family val="3"/>
        <charset val="128"/>
      </rPr>
      <t>(中国本土)</t>
    </r>
    <rPh sb="3" eb="5">
      <t>チュウゴク</t>
    </rPh>
    <rPh sb="5" eb="7">
      <t>ホンド</t>
    </rPh>
    <phoneticPr fontId="8"/>
  </si>
  <si>
    <r>
      <t>3.5×5(</t>
    </r>
    <r>
      <rPr>
        <sz val="10"/>
        <rFont val="ＭＳ Ｐゴシック"/>
        <family val="3"/>
        <charset val="128"/>
      </rPr>
      <t>写真Lサイズ)</t>
    </r>
  </si>
  <si>
    <r>
      <t>Post Card(5×7)(</t>
    </r>
    <r>
      <rPr>
        <sz val="10"/>
        <rFont val="ＭＳ Ｐゴシック"/>
        <family val="3"/>
        <charset val="128"/>
      </rPr>
      <t>写真2Lサイズ)</t>
    </r>
  </si>
  <si>
    <r>
      <t>封筒：長形</t>
    </r>
    <r>
      <rPr>
        <sz val="10"/>
        <rFont val="ＭＳ Ｐゴシック"/>
        <family val="3"/>
        <charset val="128"/>
      </rPr>
      <t xml:space="preserve">3号 </t>
    </r>
    <phoneticPr fontId="8"/>
  </si>
  <si>
    <r>
      <t>封筒：洋長形</t>
    </r>
    <r>
      <rPr>
        <sz val="10"/>
        <rFont val="ＭＳ Ｐゴシック"/>
        <family val="3"/>
        <charset val="128"/>
      </rPr>
      <t xml:space="preserve">3号 </t>
    </r>
    <rPh sb="3" eb="4">
      <t>ヨウ</t>
    </rPh>
    <phoneticPr fontId="8"/>
  </si>
  <si>
    <r>
      <t>封筒：角形</t>
    </r>
    <r>
      <rPr>
        <sz val="10"/>
        <rFont val="ＭＳ Ｐゴシック"/>
        <family val="3"/>
        <charset val="128"/>
      </rPr>
      <t xml:space="preserve">2号 </t>
    </r>
    <phoneticPr fontId="8"/>
  </si>
  <si>
    <r>
      <t>封筒：</t>
    </r>
    <r>
      <rPr>
        <sz val="10"/>
        <rFont val="ＭＳ Ｐゴシック"/>
        <family val="3"/>
        <charset val="128"/>
      </rPr>
      <t xml:space="preserve">Commercial#9 </t>
    </r>
    <phoneticPr fontId="8"/>
  </si>
  <si>
    <r>
      <t>封筒：</t>
    </r>
    <r>
      <rPr>
        <sz val="10"/>
        <rFont val="ＭＳ Ｐゴシック"/>
        <family val="3"/>
        <charset val="128"/>
      </rPr>
      <t xml:space="preserve">Commercial#10 </t>
    </r>
  </si>
  <si>
    <r>
      <t>封筒：</t>
    </r>
    <r>
      <rPr>
        <sz val="10"/>
        <rFont val="ＭＳ Ｐゴシック"/>
        <family val="3"/>
        <charset val="128"/>
      </rPr>
      <t xml:space="preserve">Monarch7.3/4 </t>
    </r>
  </si>
  <si>
    <r>
      <t>封筒：</t>
    </r>
    <r>
      <rPr>
        <sz val="10"/>
        <rFont val="ＭＳ Ｐゴシック"/>
        <family val="3"/>
        <charset val="128"/>
      </rPr>
      <t xml:space="preserve">DL </t>
    </r>
  </si>
  <si>
    <r>
      <t>封筒：</t>
    </r>
    <r>
      <rPr>
        <sz val="10"/>
        <rFont val="ＭＳ Ｐゴシック"/>
        <family val="3"/>
        <charset val="128"/>
      </rPr>
      <t>ISO-C5</t>
    </r>
    <phoneticPr fontId="8"/>
  </si>
  <si>
    <r>
      <t>封筒：</t>
    </r>
    <r>
      <rPr>
        <sz val="10"/>
        <rFont val="ＭＳ Ｐゴシック"/>
        <family val="3"/>
        <charset val="128"/>
      </rPr>
      <t>ISO-B5</t>
    </r>
    <phoneticPr fontId="8"/>
  </si>
  <si>
    <r>
      <t>封筒：洋形</t>
    </r>
    <r>
      <rPr>
        <sz val="10"/>
        <rFont val="ＭＳ Ｐゴシック"/>
        <family val="3"/>
        <charset val="128"/>
      </rPr>
      <t>2号(ISO-C6)</t>
    </r>
    <rPh sb="3" eb="4">
      <t>ヨウ</t>
    </rPh>
    <phoneticPr fontId="8"/>
  </si>
  <si>
    <r>
      <t>封筒：洋形</t>
    </r>
    <r>
      <rPr>
        <sz val="10"/>
        <rFont val="ＭＳ Ｐゴシック"/>
        <family val="3"/>
        <charset val="128"/>
      </rPr>
      <t>3号</t>
    </r>
    <r>
      <rPr>
        <sz val="11"/>
        <rFont val="ＭＳ Ｐゴシック"/>
        <family val="3"/>
        <charset val="128"/>
      </rPr>
      <t/>
    </r>
    <rPh sb="3" eb="4">
      <t>ヨウ</t>
    </rPh>
    <phoneticPr fontId="8"/>
  </si>
  <si>
    <r>
      <t>封筒：洋形</t>
    </r>
    <r>
      <rPr>
        <sz val="10"/>
        <rFont val="ＭＳ Ｐゴシック"/>
        <family val="3"/>
        <charset val="128"/>
      </rPr>
      <t>4号</t>
    </r>
    <r>
      <rPr>
        <sz val="11"/>
        <rFont val="ＭＳ Ｐゴシック"/>
        <family val="3"/>
        <charset val="128"/>
      </rPr>
      <t/>
    </r>
    <rPh sb="3" eb="4">
      <t>ヨウ</t>
    </rPh>
    <phoneticPr fontId="8"/>
  </si>
  <si>
    <r>
      <t>封筒：角形</t>
    </r>
    <r>
      <rPr>
        <sz val="10"/>
        <rFont val="ＭＳ Ｐゴシック"/>
        <family val="3"/>
        <charset val="128"/>
      </rPr>
      <t>20号</t>
    </r>
    <phoneticPr fontId="8"/>
  </si>
  <si>
    <r>
      <t>封筒：角形</t>
    </r>
    <r>
      <rPr>
        <sz val="10"/>
        <rFont val="ＭＳ Ｐゴシック"/>
        <family val="3"/>
        <charset val="128"/>
      </rPr>
      <t>6号</t>
    </r>
    <phoneticPr fontId="8"/>
  </si>
  <si>
    <r>
      <t>封筒：長形</t>
    </r>
    <r>
      <rPr>
        <sz val="10"/>
        <rFont val="ＭＳ Ｐゴシック"/>
        <family val="3"/>
        <charset val="128"/>
      </rPr>
      <t>4号</t>
    </r>
    <rPh sb="0" eb="2">
      <t>フウトウ</t>
    </rPh>
    <rPh sb="3" eb="4">
      <t>チョウ</t>
    </rPh>
    <rPh sb="4" eb="5">
      <t>ケイ</t>
    </rPh>
    <rPh sb="6" eb="7">
      <t>ゴウ</t>
    </rPh>
    <phoneticPr fontId="8"/>
  </si>
  <si>
    <r>
      <t>封筒：</t>
    </r>
    <r>
      <rPr>
        <sz val="10"/>
        <rFont val="ＭＳ Ｐゴシック"/>
        <family val="3"/>
        <charset val="128"/>
      </rPr>
      <t>ISO-C4</t>
    </r>
    <phoneticPr fontId="8"/>
  </si>
  <si>
    <r>
      <t>穴あき紙厚</t>
    </r>
    <r>
      <rPr>
        <sz val="10"/>
        <rFont val="Courier New"/>
        <family val="3"/>
      </rPr>
      <t>1</t>
    </r>
  </si>
  <si>
    <t>PREPUNCHED_THICK1</t>
    <phoneticPr fontId="8"/>
  </si>
  <si>
    <r>
      <t>穴あき紙厚</t>
    </r>
    <r>
      <rPr>
        <sz val="10"/>
        <rFont val="Courier New"/>
        <family val="3"/>
      </rPr>
      <t>2</t>
    </r>
  </si>
  <si>
    <t>PREPUNCHED_THICK2</t>
  </si>
  <si>
    <r>
      <t>穴あき紙厚</t>
    </r>
    <r>
      <rPr>
        <sz val="10"/>
        <rFont val="Courier New"/>
        <family val="3"/>
      </rPr>
      <t>3</t>
    </r>
  </si>
  <si>
    <t>PREPUNCHED_THICK3</t>
  </si>
  <si>
    <t>穴あき紙厚4</t>
    <phoneticPr fontId="8"/>
  </si>
  <si>
    <t>PREPUNCHED_THICK4</t>
    <phoneticPr fontId="8"/>
  </si>
  <si>
    <t>ラベル紙3</t>
  </si>
  <si>
    <r>
      <t>穴あき紙厚</t>
    </r>
    <r>
      <rPr>
        <sz val="10"/>
        <rFont val="Courier New"/>
        <family val="3"/>
      </rPr>
      <t>1A</t>
    </r>
    <phoneticPr fontId="8"/>
  </si>
  <si>
    <t>PREPUNCHED_THICK1_A</t>
    <phoneticPr fontId="8"/>
  </si>
  <si>
    <r>
      <t>穴あき紙厚</t>
    </r>
    <r>
      <rPr>
        <sz val="10"/>
        <rFont val="Courier New"/>
        <family val="3"/>
      </rPr>
      <t>1B</t>
    </r>
    <phoneticPr fontId="8"/>
  </si>
  <si>
    <t>PREPUNCHED_THICK1_B</t>
    <phoneticPr fontId="8"/>
  </si>
  <si>
    <r>
      <t>穴あき紙厚</t>
    </r>
    <r>
      <rPr>
        <sz val="10"/>
        <rFont val="Courier New"/>
        <family val="3"/>
      </rPr>
      <t>1C</t>
    </r>
    <phoneticPr fontId="8"/>
  </si>
  <si>
    <t>PREPUNCHED_THICK1_C</t>
    <phoneticPr fontId="8"/>
  </si>
  <si>
    <t>タブ紙厚1A</t>
  </si>
  <si>
    <t>タブ紙厚1B</t>
  </si>
  <si>
    <t>タブ紙厚1C</t>
  </si>
  <si>
    <t>コート紙3A</t>
    <phoneticPr fontId="8"/>
  </si>
  <si>
    <t>コート紙3B</t>
    <phoneticPr fontId="8"/>
  </si>
  <si>
    <t>COATING3_A</t>
    <phoneticPr fontId="8"/>
  </si>
  <si>
    <t>COATING3_B</t>
    <phoneticPr fontId="8"/>
  </si>
  <si>
    <t>ラベル紙1C</t>
    <phoneticPr fontId="8"/>
  </si>
  <si>
    <t>LABEL1_C</t>
    <phoneticPr fontId="8"/>
  </si>
  <si>
    <t>ラベル紙3A</t>
    <phoneticPr fontId="8"/>
  </si>
  <si>
    <t>ラベル紙3B</t>
    <phoneticPr fontId="8"/>
  </si>
  <si>
    <t>LABEL3_B</t>
    <phoneticPr fontId="8"/>
  </si>
  <si>
    <t>LABEL3_A</t>
    <phoneticPr fontId="8"/>
  </si>
  <si>
    <t>TAB_THICK1_A</t>
  </si>
  <si>
    <t>TAB_THICK1_B</t>
  </si>
  <si>
    <t>TAB_THICK1_C</t>
  </si>
  <si>
    <t>再生紙C</t>
    <rPh sb="0" eb="3">
      <t>サイセイシ</t>
    </rPh>
    <phoneticPr fontId="9"/>
  </si>
  <si>
    <t>再生紙D</t>
    <rPh sb="0" eb="3">
      <t>サイセイシ</t>
    </rPh>
    <phoneticPr fontId="9"/>
  </si>
  <si>
    <t>RECYCLED_C</t>
    <phoneticPr fontId="8"/>
  </si>
  <si>
    <t>RECYCLED_D</t>
    <phoneticPr fontId="8"/>
  </si>
  <si>
    <r>
      <t>コート紙</t>
    </r>
    <r>
      <rPr>
        <sz val="10"/>
        <rFont val="Courier New"/>
        <family val="3"/>
      </rPr>
      <t>1(</t>
    </r>
    <r>
      <rPr>
        <sz val="10"/>
        <rFont val="ＭＳ Ｐゴシック"/>
        <family val="3"/>
        <charset val="128"/>
      </rPr>
      <t>うら</t>
    </r>
    <r>
      <rPr>
        <sz val="10"/>
        <rFont val="Courier New"/>
        <family val="3"/>
      </rPr>
      <t>)A</t>
    </r>
    <phoneticPr fontId="8"/>
  </si>
  <si>
    <t>COATING1_REV_A</t>
    <phoneticPr fontId="8"/>
  </si>
  <si>
    <r>
      <t>コート紙</t>
    </r>
    <r>
      <rPr>
        <sz val="10"/>
        <rFont val="Courier New"/>
        <family val="3"/>
      </rPr>
      <t>1(</t>
    </r>
    <r>
      <rPr>
        <sz val="10"/>
        <rFont val="ＭＳ Ｐゴシック"/>
        <family val="3"/>
        <charset val="128"/>
      </rPr>
      <t>うら</t>
    </r>
    <r>
      <rPr>
        <sz val="10"/>
        <rFont val="Courier New"/>
        <family val="3"/>
      </rPr>
      <t>)B</t>
    </r>
    <phoneticPr fontId="8"/>
  </si>
  <si>
    <t>COATING1_REV_B</t>
    <phoneticPr fontId="8"/>
  </si>
  <si>
    <r>
      <t>コート紙</t>
    </r>
    <r>
      <rPr>
        <sz val="10"/>
        <rFont val="Courier New"/>
        <family val="3"/>
      </rPr>
      <t>2(</t>
    </r>
    <r>
      <rPr>
        <sz val="10"/>
        <rFont val="ＭＳ Ｐゴシック"/>
        <family val="3"/>
        <charset val="128"/>
      </rPr>
      <t>うら</t>
    </r>
    <r>
      <rPr>
        <sz val="10"/>
        <rFont val="Courier New"/>
        <family val="3"/>
      </rPr>
      <t>)A</t>
    </r>
  </si>
  <si>
    <t>COATING2_REV_A</t>
    <phoneticPr fontId="8"/>
  </si>
  <si>
    <t>コート紙2(うら)B</t>
  </si>
  <si>
    <t>COATING2_REV_B</t>
    <phoneticPr fontId="8"/>
  </si>
  <si>
    <r>
      <t>コート紙</t>
    </r>
    <r>
      <rPr>
        <sz val="10"/>
        <rFont val="Courier New"/>
        <family val="3"/>
      </rPr>
      <t>3(</t>
    </r>
    <r>
      <rPr>
        <sz val="10"/>
        <rFont val="ＭＳ Ｐゴシック"/>
        <family val="3"/>
        <charset val="128"/>
      </rPr>
      <t>うら</t>
    </r>
    <r>
      <rPr>
        <sz val="10"/>
        <rFont val="Courier New"/>
        <family val="3"/>
      </rPr>
      <t>)A</t>
    </r>
  </si>
  <si>
    <t>COATING3_REV_A</t>
  </si>
  <si>
    <r>
      <t>コート紙</t>
    </r>
    <r>
      <rPr>
        <sz val="10"/>
        <rFont val="Courier New"/>
        <family val="3"/>
      </rPr>
      <t>3(</t>
    </r>
    <r>
      <rPr>
        <sz val="10"/>
        <rFont val="ＭＳ Ｐゴシック"/>
        <family val="3"/>
        <charset val="128"/>
      </rPr>
      <t>うら</t>
    </r>
    <r>
      <rPr>
        <sz val="10"/>
        <rFont val="Courier New"/>
        <family val="3"/>
      </rPr>
      <t>)B</t>
    </r>
  </si>
  <si>
    <t>COATING3_REV_B</t>
    <phoneticPr fontId="8"/>
  </si>
  <si>
    <r>
      <t>タブ紙厚</t>
    </r>
    <r>
      <rPr>
        <sz val="10"/>
        <rFont val="ＭＳ Ｐゴシック"/>
        <family val="3"/>
        <charset val="128"/>
      </rPr>
      <t>3</t>
    </r>
    <r>
      <rPr>
        <sz val="11"/>
        <color theme="1"/>
        <rFont val="ＭＳ Ｐゴシック"/>
        <family val="2"/>
        <charset val="128"/>
        <scheme val="minor"/>
      </rPr>
      <t/>
    </r>
    <rPh sb="2" eb="3">
      <t>シ</t>
    </rPh>
    <rPh sb="3" eb="4">
      <t>アツ</t>
    </rPh>
    <phoneticPr fontId="9"/>
  </si>
  <si>
    <t>TAB_THICK3</t>
  </si>
  <si>
    <r>
      <t>タブ紙厚</t>
    </r>
    <r>
      <rPr>
        <sz val="10"/>
        <rFont val="ＭＳ Ｐゴシック"/>
        <family val="3"/>
        <charset val="128"/>
      </rPr>
      <t>4</t>
    </r>
    <r>
      <rPr>
        <sz val="11"/>
        <rFont val="ＭＳ Ｐゴシック"/>
        <family val="3"/>
        <charset val="128"/>
      </rPr>
      <t/>
    </r>
    <rPh sb="2" eb="3">
      <t>シ</t>
    </rPh>
    <rPh sb="3" eb="4">
      <t>アツ</t>
    </rPh>
    <phoneticPr fontId="9"/>
  </si>
  <si>
    <t>TAB_THICK4</t>
  </si>
  <si>
    <t>LABEL3</t>
  </si>
  <si>
    <r>
      <t>布地転写紙</t>
    </r>
    <r>
      <rPr>
        <sz val="10"/>
        <rFont val="Courier New"/>
        <family val="3"/>
      </rPr>
      <t>B</t>
    </r>
    <rPh sb="0" eb="2">
      <t>ヌノジ</t>
    </rPh>
    <rPh sb="2" eb="5">
      <t>テンシャシ</t>
    </rPh>
    <phoneticPr fontId="8"/>
  </si>
  <si>
    <t>TRANSFER_B</t>
    <phoneticPr fontId="8"/>
  </si>
  <si>
    <r>
      <t>布地転写紙</t>
    </r>
    <r>
      <rPr>
        <sz val="10"/>
        <rFont val="Courier New"/>
        <family val="3"/>
      </rPr>
      <t>C</t>
    </r>
    <rPh sb="0" eb="2">
      <t>ヌノジ</t>
    </rPh>
    <rPh sb="2" eb="5">
      <t>テンシャシ</t>
    </rPh>
    <phoneticPr fontId="8"/>
  </si>
  <si>
    <t>TRANSFER_C</t>
    <phoneticPr fontId="8"/>
  </si>
  <si>
    <t>×</t>
    <phoneticPr fontId="8"/>
  </si>
  <si>
    <t>厚紙5(うら)</t>
  </si>
  <si>
    <t>THICK5_REV</t>
  </si>
  <si>
    <t>厚紙5</t>
    <phoneticPr fontId="8"/>
  </si>
  <si>
    <t>THICＫ5</t>
    <phoneticPr fontId="8"/>
  </si>
  <si>
    <r>
      <t>レターヘッド紙</t>
    </r>
    <r>
      <rPr>
        <sz val="10"/>
        <rFont val="Courier New"/>
        <family val="3"/>
      </rPr>
      <t>[</t>
    </r>
    <r>
      <rPr>
        <sz val="10"/>
        <rFont val="ＭＳ Ｐゴシック"/>
        <family val="3"/>
        <charset val="128"/>
      </rPr>
      <t>★</t>
    </r>
    <r>
      <rPr>
        <sz val="10"/>
        <rFont val="Courier New"/>
        <family val="3"/>
      </rPr>
      <t>]</t>
    </r>
    <rPh sb="6" eb="7">
      <t>シ</t>
    </rPh>
    <phoneticPr fontId="8"/>
  </si>
  <si>
    <r>
      <t>プレプリント紙</t>
    </r>
    <r>
      <rPr>
        <sz val="10"/>
        <rFont val="Courier New"/>
        <family val="3"/>
      </rPr>
      <t>[</t>
    </r>
    <r>
      <rPr>
        <sz val="10"/>
        <rFont val="ＭＳ Ｐゴシック"/>
        <family val="3"/>
        <charset val="128"/>
      </rPr>
      <t>★</t>
    </r>
    <r>
      <rPr>
        <sz val="10"/>
        <rFont val="Courier New"/>
        <family val="3"/>
      </rPr>
      <t>]</t>
    </r>
    <rPh sb="6" eb="7">
      <t>シ</t>
    </rPh>
    <phoneticPr fontId="8"/>
  </si>
  <si>
    <r>
      <t>その他</t>
    </r>
    <r>
      <rPr>
        <sz val="10"/>
        <rFont val="Courier New"/>
        <family val="3"/>
      </rPr>
      <t>[</t>
    </r>
    <r>
      <rPr>
        <sz val="10"/>
        <rFont val="ＭＳ Ｐゴシック"/>
        <family val="3"/>
        <charset val="128"/>
      </rPr>
      <t>★</t>
    </r>
    <r>
      <rPr>
        <sz val="10"/>
        <rFont val="Courier New"/>
        <family val="3"/>
      </rPr>
      <t>]</t>
    </r>
    <rPh sb="2" eb="3">
      <t>タ</t>
    </rPh>
    <phoneticPr fontId="8"/>
  </si>
  <si>
    <r>
      <t>ボンド紙</t>
    </r>
    <r>
      <rPr>
        <sz val="10"/>
        <rFont val="Courier New"/>
        <family val="3"/>
      </rPr>
      <t>[</t>
    </r>
    <r>
      <rPr>
        <sz val="10"/>
        <rFont val="ＭＳ Ｐゴシック"/>
        <family val="3"/>
        <charset val="128"/>
      </rPr>
      <t>★</t>
    </r>
    <r>
      <rPr>
        <sz val="10"/>
        <rFont val="Courier New"/>
        <family val="3"/>
      </rPr>
      <t>]</t>
    </r>
    <rPh sb="3" eb="4">
      <t>シ</t>
    </rPh>
    <phoneticPr fontId="8"/>
  </si>
  <si>
    <t>EMBOSS</t>
    <phoneticPr fontId="8"/>
  </si>
  <si>
    <t>TAB_EMBOSS</t>
    <phoneticPr fontId="8"/>
  </si>
  <si>
    <t>FILM</t>
    <phoneticPr fontId="8"/>
  </si>
  <si>
    <t>HCS</t>
    <phoneticPr fontId="8"/>
  </si>
  <si>
    <t>－</t>
    <phoneticPr fontId="8"/>
  </si>
  <si>
    <t>A6</t>
    <phoneticPr fontId="8"/>
  </si>
  <si>
    <t>A5</t>
    <phoneticPr fontId="8"/>
  </si>
  <si>
    <t>A4</t>
    <phoneticPr fontId="8"/>
  </si>
  <si>
    <t>A3</t>
    <phoneticPr fontId="8"/>
  </si>
  <si>
    <t>B6</t>
    <phoneticPr fontId="8"/>
  </si>
  <si>
    <t>JIS_B6</t>
    <phoneticPr fontId="8"/>
  </si>
  <si>
    <r>
      <t>A5-Tab(インデックス紙)</t>
    </r>
    <r>
      <rPr>
        <sz val="10"/>
        <rFont val="ＭＳ Ｐゴシック"/>
        <family val="3"/>
        <charset val="128"/>
      </rPr>
      <t/>
    </r>
    <rPh sb="13" eb="14">
      <t>シ</t>
    </rPh>
    <phoneticPr fontId="8"/>
  </si>
  <si>
    <t>非コート紙</t>
    <phoneticPr fontId="8"/>
  </si>
  <si>
    <t>UNCOATED</t>
    <phoneticPr fontId="8"/>
  </si>
  <si>
    <t>コート紙</t>
    <phoneticPr fontId="8"/>
  </si>
  <si>
    <t>COATED</t>
    <phoneticPr fontId="8"/>
  </si>
  <si>
    <t>タブ紙</t>
    <rPh sb="2" eb="3">
      <t>シ</t>
    </rPh>
    <phoneticPr fontId="8"/>
  </si>
  <si>
    <r>
      <t>非コート紙</t>
    </r>
    <r>
      <rPr>
        <sz val="10"/>
        <rFont val="Courier New"/>
        <family val="3"/>
      </rPr>
      <t>(</t>
    </r>
    <r>
      <rPr>
        <sz val="10"/>
        <rFont val="ＭＳ Ｐゴシック"/>
        <family val="3"/>
        <charset val="128"/>
      </rPr>
      <t>うら</t>
    </r>
    <r>
      <rPr>
        <sz val="10"/>
        <rFont val="Courier New"/>
        <family val="3"/>
      </rPr>
      <t>)</t>
    </r>
    <phoneticPr fontId="8"/>
  </si>
  <si>
    <t>UNCOATED_REV</t>
    <phoneticPr fontId="8"/>
  </si>
  <si>
    <r>
      <t>コート紙</t>
    </r>
    <r>
      <rPr>
        <sz val="10"/>
        <rFont val="Courier New"/>
        <family val="3"/>
      </rPr>
      <t>(</t>
    </r>
    <r>
      <rPr>
        <sz val="10"/>
        <rFont val="ＭＳ Ｐゴシック"/>
        <family val="3"/>
        <charset val="128"/>
      </rPr>
      <t>うら</t>
    </r>
    <r>
      <rPr>
        <sz val="10"/>
        <rFont val="Courier New"/>
        <family val="3"/>
      </rPr>
      <t>)</t>
    </r>
    <phoneticPr fontId="8"/>
  </si>
  <si>
    <t>COATED_REV</t>
    <phoneticPr fontId="8"/>
  </si>
  <si>
    <t>コート紙(Gross Fine)</t>
    <phoneticPr fontId="8"/>
  </si>
  <si>
    <t>COATED_FINE</t>
    <phoneticPr fontId="8"/>
  </si>
  <si>
    <t>コート紙(Gross Fine)(うら)</t>
    <phoneticPr fontId="8"/>
  </si>
  <si>
    <t>COATED_FINE_REV</t>
    <phoneticPr fontId="8"/>
  </si>
  <si>
    <t>キャストコート紙</t>
    <phoneticPr fontId="8"/>
  </si>
  <si>
    <t>CAST_COATED</t>
    <phoneticPr fontId="8"/>
  </si>
  <si>
    <t>マットコート紙</t>
    <phoneticPr fontId="8"/>
  </si>
  <si>
    <t>MATTE_COATED</t>
    <phoneticPr fontId="8"/>
  </si>
  <si>
    <t>エンボス紙</t>
    <phoneticPr fontId="8"/>
  </si>
  <si>
    <t>タブ紙(エンボス紙)</t>
    <phoneticPr fontId="8"/>
  </si>
  <si>
    <t>フィルム紙</t>
    <phoneticPr fontId="8"/>
  </si>
  <si>
    <t>装置</t>
  </si>
  <si>
    <t>制限その他</t>
  </si>
  <si>
    <t>S/O</t>
  </si>
  <si>
    <t>I/P</t>
  </si>
  <si>
    <t>S</t>
  </si>
  <si>
    <t>IL</t>
  </si>
  <si>
    <r>
      <t>SMH</t>
    </r>
    <r>
      <rPr>
        <sz val="9"/>
        <rFont val="ＭＳ Ｐゴシック"/>
        <family val="3"/>
        <charset val="128"/>
      </rPr>
      <t>（手差しトレイ）</t>
    </r>
  </si>
  <si>
    <t>両面</t>
  </si>
  <si>
    <t>Inverter</t>
  </si>
  <si>
    <r>
      <t>1</t>
    </r>
    <r>
      <rPr>
        <sz val="9"/>
        <rFont val="ＭＳ Ｐゴシック"/>
        <family val="3"/>
        <charset val="128"/>
      </rPr>
      <t>段</t>
    </r>
    <r>
      <rPr>
        <sz val="9"/>
        <rFont val="Arial"/>
        <family val="2"/>
      </rPr>
      <t>HCF</t>
    </r>
  </si>
  <si>
    <t>PF2 HCF</t>
  </si>
  <si>
    <t>O</t>
  </si>
  <si>
    <r>
      <t>A3</t>
    </r>
    <r>
      <rPr>
        <sz val="9"/>
        <rFont val="ＭＳ Ｐゴシック"/>
        <family val="3"/>
        <charset val="128"/>
      </rPr>
      <t>のび</t>
    </r>
    <r>
      <rPr>
        <sz val="9"/>
        <rFont val="Arial"/>
        <family val="2"/>
      </rPr>
      <t>HCF</t>
    </r>
  </si>
  <si>
    <t>PF3.1 HCF</t>
  </si>
  <si>
    <r>
      <t>2</t>
    </r>
    <r>
      <rPr>
        <sz val="9"/>
        <rFont val="ＭＳ Ｐゴシック"/>
        <family val="3"/>
        <charset val="128"/>
      </rPr>
      <t>段</t>
    </r>
    <r>
      <rPr>
        <sz val="9"/>
        <rFont val="Arial"/>
        <family val="2"/>
      </rPr>
      <t>A3</t>
    </r>
    <r>
      <rPr>
        <sz val="9"/>
        <rFont val="ＭＳ Ｐゴシック"/>
        <family val="3"/>
        <charset val="128"/>
      </rPr>
      <t>のび</t>
    </r>
    <r>
      <rPr>
        <sz val="9"/>
        <rFont val="Arial"/>
        <family val="2"/>
      </rPr>
      <t>HCF</t>
    </r>
  </si>
  <si>
    <t>PF3.2 HCF</t>
  </si>
  <si>
    <t>SCT (Simple Catch Tray)</t>
  </si>
  <si>
    <t>OCT (Offset Catch Tray)</t>
  </si>
  <si>
    <t>LCT (Large Catch Tray)</t>
  </si>
  <si>
    <r>
      <t>CH-Fin</t>
    </r>
    <r>
      <rPr>
        <sz val="9"/>
        <rFont val="ＭＳ Ｐゴシック"/>
        <family val="3"/>
        <charset val="128"/>
      </rPr>
      <t>本体</t>
    </r>
  </si>
  <si>
    <r>
      <t>CH-Fin</t>
    </r>
    <r>
      <rPr>
        <sz val="9"/>
        <rFont val="ＭＳ Ｐゴシック"/>
        <family val="3"/>
        <charset val="128"/>
      </rPr>
      <t>本体で</t>
    </r>
    <r>
      <rPr>
        <sz val="9"/>
        <rFont val="Arial"/>
        <family val="2"/>
      </rPr>
      <t>Booklet</t>
    </r>
    <r>
      <rPr>
        <sz val="9"/>
        <rFont val="ＭＳ Ｐゴシック"/>
        <family val="3"/>
        <charset val="128"/>
      </rPr>
      <t>付き構成</t>
    </r>
  </si>
  <si>
    <t>CH-Finisher (Folder Unit)</t>
  </si>
  <si>
    <t>CH-Finisher (MailBox)</t>
  </si>
  <si>
    <t>CH-Finisher (Puncher)</t>
  </si>
  <si>
    <t>SCP (Sparta Coil Puncher)</t>
  </si>
  <si>
    <t>D2G-Finisher (Base)</t>
  </si>
  <si>
    <r>
      <t>D2G-Fin</t>
    </r>
    <r>
      <rPr>
        <sz val="9"/>
        <rFont val="ＭＳ Ｐゴシック"/>
        <family val="3"/>
        <charset val="128"/>
      </rPr>
      <t>本体</t>
    </r>
  </si>
  <si>
    <t>D2G-Finisher (w Booklet)</t>
  </si>
  <si>
    <r>
      <t>D2G-Fin</t>
    </r>
    <r>
      <rPr>
        <sz val="9"/>
        <rFont val="ＭＳ Ｐゴシック"/>
        <family val="3"/>
        <charset val="128"/>
      </rPr>
      <t>本体で</t>
    </r>
    <r>
      <rPr>
        <sz val="9"/>
        <rFont val="Arial"/>
        <family val="2"/>
      </rPr>
      <t>Booklet</t>
    </r>
    <r>
      <rPr>
        <sz val="9"/>
        <rFont val="ＭＳ Ｐゴシック"/>
        <family val="3"/>
        <charset val="128"/>
      </rPr>
      <t>付き構成</t>
    </r>
  </si>
  <si>
    <t>D2G-Finisher (w PFIM-Path)</t>
  </si>
  <si>
    <r>
      <t>D2G-Fin</t>
    </r>
    <r>
      <rPr>
        <sz val="9"/>
        <rFont val="ＭＳ Ｐゴシック"/>
        <family val="3"/>
        <charset val="128"/>
      </rPr>
      <t>本体で</t>
    </r>
    <r>
      <rPr>
        <sz val="9"/>
        <rFont val="Arial"/>
        <family val="2"/>
      </rPr>
      <t>PFIM</t>
    </r>
    <r>
      <rPr>
        <sz val="9"/>
        <rFont val="ＭＳ Ｐゴシック"/>
        <family val="3"/>
        <charset val="128"/>
      </rPr>
      <t>接続パス付き構成</t>
    </r>
  </si>
  <si>
    <t>D2G-Finisher (Interposer Unit)</t>
  </si>
  <si>
    <t>D2G-Finisher (TBM Unit)</t>
  </si>
  <si>
    <t>D2G-Finisher (TCBM Unit)</t>
  </si>
  <si>
    <t>D2G-Finisher (Folder Unit)</t>
  </si>
  <si>
    <t>D2G-Finisher (Puncher)</t>
  </si>
  <si>
    <t>D2G-Finisher (TSQF)</t>
  </si>
  <si>
    <t>PFIM</t>
  </si>
  <si>
    <r>
      <t>トレイ</t>
    </r>
    <r>
      <rPr>
        <sz val="9"/>
        <rFont val="Arial"/>
        <family val="2"/>
      </rPr>
      <t>1</t>
    </r>
    <r>
      <rPr>
        <sz val="9"/>
        <rFont val="ＭＳ Ｐゴシック"/>
        <family val="3"/>
        <charset val="128"/>
      </rPr>
      <t/>
    </r>
    <phoneticPr fontId="8"/>
  </si>
  <si>
    <r>
      <t>トレイ</t>
    </r>
    <r>
      <rPr>
        <sz val="9"/>
        <rFont val="Arial"/>
        <family val="2"/>
      </rPr>
      <t>2</t>
    </r>
    <r>
      <rPr>
        <sz val="9"/>
        <rFont val="ＭＳ Ｐゴシック"/>
        <family val="3"/>
        <charset val="128"/>
      </rPr>
      <t/>
    </r>
  </si>
  <si>
    <r>
      <t>トレイ</t>
    </r>
    <r>
      <rPr>
        <sz val="9"/>
        <rFont val="Arial"/>
        <family val="2"/>
      </rPr>
      <t>3</t>
    </r>
    <r>
      <rPr>
        <sz val="9"/>
        <rFont val="ＭＳ Ｐゴシック"/>
        <family val="3"/>
        <charset val="128"/>
      </rPr>
      <t/>
    </r>
  </si>
  <si>
    <r>
      <t>トレイ</t>
    </r>
    <r>
      <rPr>
        <sz val="9"/>
        <rFont val="Arial"/>
        <family val="2"/>
      </rPr>
      <t>4</t>
    </r>
    <r>
      <rPr>
        <sz val="9"/>
        <rFont val="ＭＳ Ｐゴシック"/>
        <family val="3"/>
        <charset val="128"/>
      </rPr>
      <t/>
    </r>
  </si>
  <si>
    <t>長尺対応。自動認識できない。</t>
    <phoneticPr fontId="8"/>
  </si>
  <si>
    <t>CDM (Cooling Decurler Module)</t>
    <phoneticPr fontId="8"/>
  </si>
  <si>
    <t>O</t>
    <phoneticPr fontId="8"/>
  </si>
  <si>
    <t>IL</t>
    <phoneticPr fontId="8"/>
  </si>
  <si>
    <r>
      <t>3rd Bender</t>
    </r>
    <r>
      <rPr>
        <sz val="9"/>
        <rFont val="ＭＳ Ｐゴシック"/>
        <family val="3"/>
        <charset val="128"/>
      </rPr>
      <t xml:space="preserve">の後処理装置
</t>
    </r>
    <r>
      <rPr>
        <sz val="9"/>
        <rFont val="Arial"/>
        <family val="2"/>
      </rPr>
      <t>PFIM</t>
    </r>
    <r>
      <rPr>
        <sz val="9"/>
        <rFont val="ＭＳ Ｐゴシック"/>
        <family val="3"/>
        <charset val="128"/>
      </rPr>
      <t>に装着される</t>
    </r>
    <r>
      <rPr>
        <sz val="9"/>
        <rFont val="Arial"/>
        <family val="2"/>
      </rPr>
      <t>.</t>
    </r>
    <phoneticPr fontId="8"/>
  </si>
  <si>
    <t>コイルパンチャー。</t>
    <phoneticPr fontId="8"/>
  </si>
  <si>
    <r>
      <t>IOT</t>
    </r>
    <r>
      <rPr>
        <sz val="9"/>
        <rFont val="ＭＳ Ｐゴシック"/>
        <family val="3"/>
        <charset val="128"/>
      </rPr>
      <t xml:space="preserve">と排出装置との接続装置。
</t>
    </r>
    <r>
      <rPr>
        <sz val="9"/>
        <rFont val="Arial"/>
        <family val="2"/>
      </rPr>
      <t>SCP</t>
    </r>
    <r>
      <rPr>
        <sz val="9"/>
        <rFont val="ＭＳ Ｐゴシック"/>
        <family val="3"/>
        <charset val="128"/>
      </rPr>
      <t>、</t>
    </r>
    <r>
      <rPr>
        <sz val="9"/>
        <rFont val="Arial"/>
        <family val="2"/>
      </rPr>
      <t>HCS</t>
    </r>
    <r>
      <rPr>
        <sz val="9"/>
        <rFont val="ＭＳ Ｐゴシック"/>
        <family val="3"/>
        <charset val="128"/>
      </rPr>
      <t>、</t>
    </r>
    <r>
      <rPr>
        <sz val="9"/>
        <rFont val="Arial"/>
        <family val="2"/>
      </rPr>
      <t>D2G-Fin</t>
    </r>
    <r>
      <rPr>
        <sz val="9"/>
        <rFont val="ＭＳ Ｐゴシック"/>
        <family val="3"/>
        <charset val="128"/>
      </rPr>
      <t>接続時に必要。</t>
    </r>
    <rPh sb="31" eb="33">
      <t>セツゾク</t>
    </rPh>
    <rPh sb="33" eb="34">
      <t>ジ</t>
    </rPh>
    <rPh sb="35" eb="37">
      <t>ヒツヨウ</t>
    </rPh>
    <phoneticPr fontId="8"/>
  </si>
  <si>
    <r>
      <t>2</t>
    </r>
    <r>
      <rPr>
        <sz val="9"/>
        <rFont val="ＭＳ Ｐゴシック"/>
        <family val="3"/>
        <charset val="128"/>
      </rPr>
      <t>段</t>
    </r>
    <r>
      <rPr>
        <sz val="9"/>
        <rFont val="Arial"/>
        <family val="2"/>
      </rPr>
      <t xml:space="preserve">HCF </t>
    </r>
    <phoneticPr fontId="8"/>
  </si>
  <si>
    <t>PF1 HCF</t>
    <phoneticPr fontId="8"/>
  </si>
  <si>
    <t>PF3 HCF</t>
    <phoneticPr fontId="8"/>
  </si>
  <si>
    <r>
      <t>2</t>
    </r>
    <r>
      <rPr>
        <sz val="9"/>
        <rFont val="ＭＳ Ｐゴシック"/>
        <family val="3"/>
        <charset val="128"/>
      </rPr>
      <t>段</t>
    </r>
    <r>
      <rPr>
        <sz val="9"/>
        <rFont val="Arial"/>
        <family val="2"/>
      </rPr>
      <t>A3</t>
    </r>
    <r>
      <rPr>
        <sz val="9"/>
        <rFont val="ＭＳ Ｐゴシック"/>
        <family val="3"/>
        <charset val="128"/>
      </rPr>
      <t>のび</t>
    </r>
    <r>
      <rPr>
        <sz val="9"/>
        <rFont val="Arial"/>
        <family val="2"/>
      </rPr>
      <t>HCF  (</t>
    </r>
    <r>
      <rPr>
        <sz val="9"/>
        <rFont val="ＭＳ Ｐゴシック"/>
        <family val="3"/>
        <charset val="128"/>
      </rPr>
      <t>単結の場合</t>
    </r>
    <r>
      <rPr>
        <sz val="9"/>
        <rFont val="Arial"/>
        <family val="2"/>
      </rPr>
      <t>)</t>
    </r>
    <phoneticPr fontId="8"/>
  </si>
  <si>
    <r>
      <t>PF3.5 HCF</t>
    </r>
    <r>
      <rPr>
        <sz val="9"/>
        <rFont val="ＭＳ Ｐゴシック"/>
        <family val="3"/>
        <charset val="128"/>
      </rPr>
      <t>。単結用。</t>
    </r>
    <phoneticPr fontId="8"/>
  </si>
  <si>
    <r>
      <t>2</t>
    </r>
    <r>
      <rPr>
        <sz val="9"/>
        <rFont val="ＭＳ Ｐゴシック"/>
        <family val="3"/>
        <charset val="128"/>
      </rPr>
      <t>段</t>
    </r>
    <r>
      <rPr>
        <sz val="9"/>
        <rFont val="Arial"/>
        <family val="2"/>
      </rPr>
      <t>A3</t>
    </r>
    <r>
      <rPr>
        <sz val="9"/>
        <rFont val="ＭＳ Ｐゴシック"/>
        <family val="3"/>
        <charset val="128"/>
      </rPr>
      <t>のび</t>
    </r>
    <r>
      <rPr>
        <sz val="9"/>
        <rFont val="Arial"/>
        <family val="2"/>
      </rPr>
      <t>HCF  (</t>
    </r>
    <r>
      <rPr>
        <sz val="9"/>
        <rFont val="ＭＳ Ｐゴシック"/>
        <family val="3"/>
        <charset val="128"/>
      </rPr>
      <t>重連の</t>
    </r>
    <r>
      <rPr>
        <sz val="9"/>
        <rFont val="Arial"/>
        <family val="2"/>
      </rPr>
      <t>1</t>
    </r>
    <r>
      <rPr>
        <sz val="9"/>
        <rFont val="ＭＳ Ｐゴシック"/>
        <family val="3"/>
        <charset val="128"/>
      </rPr>
      <t>台目</t>
    </r>
    <r>
      <rPr>
        <sz val="9"/>
        <rFont val="Arial"/>
        <family val="2"/>
      </rPr>
      <t>)</t>
    </r>
    <phoneticPr fontId="8"/>
  </si>
  <si>
    <r>
      <t>PF3.5 HCF</t>
    </r>
    <r>
      <rPr>
        <sz val="9"/>
        <rFont val="ＭＳ Ｐゴシック"/>
        <family val="3"/>
        <charset val="128"/>
      </rPr>
      <t>。重連</t>
    </r>
    <r>
      <rPr>
        <sz val="9"/>
        <rFont val="Arial"/>
        <family val="2"/>
      </rPr>
      <t>(2</t>
    </r>
    <r>
      <rPr>
        <sz val="9"/>
        <rFont val="ＭＳ Ｐゴシック"/>
        <family val="3"/>
        <charset val="128"/>
      </rPr>
      <t>連</t>
    </r>
    <r>
      <rPr>
        <sz val="9"/>
        <rFont val="Arial"/>
        <family val="2"/>
      </rPr>
      <t>)</t>
    </r>
    <r>
      <rPr>
        <sz val="9"/>
        <rFont val="ＭＳ Ｐゴシック"/>
        <family val="3"/>
        <charset val="128"/>
      </rPr>
      <t>用の</t>
    </r>
    <r>
      <rPr>
        <sz val="9"/>
        <rFont val="Arial"/>
        <family val="2"/>
      </rPr>
      <t>1</t>
    </r>
    <r>
      <rPr>
        <sz val="9"/>
        <rFont val="ＭＳ Ｐゴシック"/>
        <family val="3"/>
        <charset val="128"/>
      </rPr>
      <t>台目</t>
    </r>
    <r>
      <rPr>
        <sz val="9"/>
        <rFont val="Arial"/>
        <family val="2"/>
      </rPr>
      <t>(IOT</t>
    </r>
    <r>
      <rPr>
        <sz val="9"/>
        <rFont val="ＭＳ Ｐゴシック"/>
        <family val="3"/>
        <charset val="128"/>
      </rPr>
      <t>側</t>
    </r>
    <r>
      <rPr>
        <sz val="9"/>
        <rFont val="Arial"/>
        <family val="2"/>
      </rPr>
      <t>)</t>
    </r>
    <r>
      <rPr>
        <sz val="9"/>
        <rFont val="ＭＳ Ｐゴシック"/>
        <family val="3"/>
        <charset val="128"/>
      </rPr>
      <t>。</t>
    </r>
    <phoneticPr fontId="8"/>
  </si>
  <si>
    <r>
      <t>2</t>
    </r>
    <r>
      <rPr>
        <sz val="9"/>
        <rFont val="ＭＳ Ｐゴシック"/>
        <family val="3"/>
        <charset val="128"/>
      </rPr>
      <t>段</t>
    </r>
    <r>
      <rPr>
        <sz val="9"/>
        <rFont val="Arial"/>
        <family val="2"/>
      </rPr>
      <t>A3</t>
    </r>
    <r>
      <rPr>
        <sz val="9"/>
        <rFont val="ＭＳ Ｐゴシック"/>
        <family val="3"/>
        <charset val="128"/>
      </rPr>
      <t>のび</t>
    </r>
    <r>
      <rPr>
        <sz val="9"/>
        <rFont val="Arial"/>
        <family val="2"/>
      </rPr>
      <t>HCF  (</t>
    </r>
    <r>
      <rPr>
        <sz val="9"/>
        <rFont val="ＭＳ Ｐゴシック"/>
        <family val="3"/>
        <charset val="128"/>
      </rPr>
      <t>重連の</t>
    </r>
    <r>
      <rPr>
        <sz val="9"/>
        <rFont val="Arial"/>
        <family val="2"/>
      </rPr>
      <t>2</t>
    </r>
    <r>
      <rPr>
        <sz val="9"/>
        <rFont val="ＭＳ Ｐゴシック"/>
        <family val="3"/>
        <charset val="128"/>
      </rPr>
      <t>台目</t>
    </r>
    <r>
      <rPr>
        <sz val="9"/>
        <rFont val="Arial"/>
        <family val="2"/>
      </rPr>
      <t>)</t>
    </r>
    <phoneticPr fontId="8"/>
  </si>
  <si>
    <r>
      <t>PF3.5 HCF</t>
    </r>
    <r>
      <rPr>
        <sz val="9"/>
        <rFont val="ＭＳ Ｐゴシック"/>
        <family val="3"/>
        <charset val="128"/>
      </rPr>
      <t>。重連</t>
    </r>
    <r>
      <rPr>
        <sz val="9"/>
        <rFont val="Arial"/>
        <family val="2"/>
      </rPr>
      <t>(2</t>
    </r>
    <r>
      <rPr>
        <sz val="9"/>
        <rFont val="ＭＳ Ｐゴシック"/>
        <family val="3"/>
        <charset val="128"/>
      </rPr>
      <t>連</t>
    </r>
    <r>
      <rPr>
        <sz val="9"/>
        <rFont val="Arial"/>
        <family val="2"/>
      </rPr>
      <t>)</t>
    </r>
    <r>
      <rPr>
        <sz val="9"/>
        <rFont val="ＭＳ Ｐゴシック"/>
        <family val="3"/>
        <charset val="128"/>
      </rPr>
      <t>用の</t>
    </r>
    <r>
      <rPr>
        <sz val="9"/>
        <rFont val="Arial"/>
        <family val="2"/>
      </rPr>
      <t>2</t>
    </r>
    <r>
      <rPr>
        <sz val="9"/>
        <rFont val="ＭＳ Ｐゴシック"/>
        <family val="3"/>
        <charset val="128"/>
      </rPr>
      <t>台目</t>
    </r>
    <r>
      <rPr>
        <sz val="9"/>
        <rFont val="Arial"/>
        <family val="2"/>
      </rPr>
      <t>(</t>
    </r>
    <r>
      <rPr>
        <sz val="9"/>
        <rFont val="ＭＳ Ｐゴシック"/>
        <family val="3"/>
        <charset val="128"/>
      </rPr>
      <t>左側</t>
    </r>
    <r>
      <rPr>
        <sz val="9"/>
        <rFont val="Arial"/>
        <family val="2"/>
      </rPr>
      <t>)</t>
    </r>
    <r>
      <rPr>
        <sz val="9"/>
        <rFont val="ＭＳ Ｐゴシック"/>
        <family val="3"/>
        <charset val="128"/>
      </rPr>
      <t>。</t>
    </r>
    <rPh sb="22" eb="23">
      <t>ヒダリ</t>
    </rPh>
    <phoneticPr fontId="8"/>
  </si>
  <si>
    <r>
      <t>PF3.6 HCF</t>
    </r>
    <r>
      <rPr>
        <sz val="9"/>
        <rFont val="ＭＳ Ｐゴシック"/>
        <family val="3"/>
        <charset val="128"/>
      </rPr>
      <t>。重連</t>
    </r>
    <r>
      <rPr>
        <sz val="9"/>
        <rFont val="Arial"/>
        <family val="2"/>
      </rPr>
      <t>(2</t>
    </r>
    <r>
      <rPr>
        <sz val="9"/>
        <rFont val="ＭＳ Ｐゴシック"/>
        <family val="3"/>
        <charset val="128"/>
      </rPr>
      <t>連</t>
    </r>
    <r>
      <rPr>
        <sz val="9"/>
        <rFont val="Arial"/>
        <family val="2"/>
      </rPr>
      <t>)</t>
    </r>
    <r>
      <rPr>
        <sz val="9"/>
        <rFont val="ＭＳ Ｐゴシック"/>
        <family val="3"/>
        <charset val="128"/>
      </rPr>
      <t>用の</t>
    </r>
    <r>
      <rPr>
        <sz val="9"/>
        <rFont val="Arial"/>
        <family val="2"/>
      </rPr>
      <t>1</t>
    </r>
    <r>
      <rPr>
        <sz val="9"/>
        <rFont val="ＭＳ Ｐゴシック"/>
        <family val="3"/>
        <charset val="128"/>
      </rPr>
      <t>台目</t>
    </r>
    <r>
      <rPr>
        <sz val="9"/>
        <rFont val="Arial"/>
        <family val="2"/>
      </rPr>
      <t>(IOT</t>
    </r>
    <r>
      <rPr>
        <sz val="9"/>
        <rFont val="ＭＳ Ｐゴシック"/>
        <family val="3"/>
        <charset val="128"/>
      </rPr>
      <t>側</t>
    </r>
    <r>
      <rPr>
        <sz val="9"/>
        <rFont val="Arial"/>
        <family val="2"/>
      </rPr>
      <t>)</t>
    </r>
    <r>
      <rPr>
        <sz val="9"/>
        <rFont val="ＭＳ Ｐゴシック"/>
        <family val="3"/>
        <charset val="128"/>
      </rPr>
      <t>。</t>
    </r>
    <phoneticPr fontId="8"/>
  </si>
  <si>
    <r>
      <t>PF3.6 HCF</t>
    </r>
    <r>
      <rPr>
        <sz val="9"/>
        <rFont val="ＭＳ Ｐゴシック"/>
        <family val="3"/>
        <charset val="128"/>
      </rPr>
      <t>。重連</t>
    </r>
    <r>
      <rPr>
        <sz val="9"/>
        <rFont val="Arial"/>
        <family val="2"/>
      </rPr>
      <t>(2</t>
    </r>
    <r>
      <rPr>
        <sz val="9"/>
        <rFont val="ＭＳ Ｐゴシック"/>
        <family val="3"/>
        <charset val="128"/>
      </rPr>
      <t>連</t>
    </r>
    <r>
      <rPr>
        <sz val="9"/>
        <rFont val="Arial"/>
        <family val="2"/>
      </rPr>
      <t>)</t>
    </r>
    <r>
      <rPr>
        <sz val="9"/>
        <rFont val="ＭＳ Ｐゴシック"/>
        <family val="3"/>
        <charset val="128"/>
      </rPr>
      <t>用の</t>
    </r>
    <r>
      <rPr>
        <sz val="9"/>
        <rFont val="Arial"/>
        <family val="2"/>
      </rPr>
      <t>2</t>
    </r>
    <r>
      <rPr>
        <sz val="9"/>
        <rFont val="ＭＳ Ｐゴシック"/>
        <family val="3"/>
        <charset val="128"/>
      </rPr>
      <t>台目</t>
    </r>
    <r>
      <rPr>
        <sz val="9"/>
        <rFont val="Arial"/>
        <family val="2"/>
      </rPr>
      <t>(</t>
    </r>
    <r>
      <rPr>
        <sz val="9"/>
        <rFont val="ＭＳ Ｐゴシック"/>
        <family val="3"/>
        <charset val="128"/>
      </rPr>
      <t>左側</t>
    </r>
    <r>
      <rPr>
        <sz val="9"/>
        <rFont val="Arial"/>
        <family val="2"/>
      </rPr>
      <t>)</t>
    </r>
    <r>
      <rPr>
        <sz val="9"/>
        <rFont val="ＭＳ Ｐゴシック"/>
        <family val="3"/>
        <charset val="128"/>
      </rPr>
      <t>。</t>
    </r>
    <rPh sb="22" eb="23">
      <t>ヒダリ</t>
    </rPh>
    <phoneticPr fontId="8"/>
  </si>
  <si>
    <r>
      <t>2</t>
    </r>
    <r>
      <rPr>
        <sz val="9"/>
        <rFont val="ＭＳ Ｐゴシック"/>
        <family val="3"/>
        <charset val="128"/>
      </rPr>
      <t>段</t>
    </r>
    <r>
      <rPr>
        <sz val="9"/>
        <rFont val="Arial"/>
        <family val="2"/>
      </rPr>
      <t>A3</t>
    </r>
    <r>
      <rPr>
        <sz val="9"/>
        <rFont val="ＭＳ Ｐゴシック"/>
        <family val="3"/>
        <charset val="128"/>
      </rPr>
      <t>のび</t>
    </r>
    <r>
      <rPr>
        <sz val="9"/>
        <rFont val="Arial"/>
        <family val="2"/>
      </rPr>
      <t>HCF  (</t>
    </r>
    <r>
      <rPr>
        <sz val="9"/>
        <rFont val="ＭＳ Ｐゴシック"/>
        <family val="3"/>
        <charset val="128"/>
      </rPr>
      <t>単結、長尺の場合</t>
    </r>
    <r>
      <rPr>
        <sz val="9"/>
        <rFont val="Arial"/>
        <family val="2"/>
      </rPr>
      <t>)</t>
    </r>
    <rPh sb="15" eb="17">
      <t>チョウジャク</t>
    </rPh>
    <rPh sb="18" eb="20">
      <t>バアイ</t>
    </rPh>
    <phoneticPr fontId="8"/>
  </si>
  <si>
    <r>
      <t>2</t>
    </r>
    <r>
      <rPr>
        <sz val="9"/>
        <rFont val="ＭＳ Ｐゴシック"/>
        <family val="3"/>
        <charset val="128"/>
      </rPr>
      <t>段</t>
    </r>
    <r>
      <rPr>
        <sz val="9"/>
        <rFont val="Arial"/>
        <family val="2"/>
      </rPr>
      <t>A3</t>
    </r>
    <r>
      <rPr>
        <sz val="9"/>
        <rFont val="ＭＳ Ｐゴシック"/>
        <family val="3"/>
        <charset val="128"/>
      </rPr>
      <t>のび</t>
    </r>
    <r>
      <rPr>
        <sz val="9"/>
        <rFont val="Arial"/>
        <family val="2"/>
      </rPr>
      <t>HCF  (</t>
    </r>
    <r>
      <rPr>
        <sz val="9"/>
        <rFont val="ＭＳ Ｐゴシック"/>
        <family val="3"/>
        <charset val="128"/>
      </rPr>
      <t>重連の</t>
    </r>
    <r>
      <rPr>
        <sz val="9"/>
        <rFont val="Arial"/>
        <family val="2"/>
      </rPr>
      <t>2</t>
    </r>
    <r>
      <rPr>
        <sz val="9"/>
        <rFont val="ＭＳ Ｐゴシック"/>
        <family val="3"/>
        <charset val="128"/>
      </rPr>
      <t>台目、長尺の場合</t>
    </r>
    <r>
      <rPr>
        <sz val="9"/>
        <rFont val="Arial"/>
        <family val="2"/>
      </rPr>
      <t>)</t>
    </r>
    <phoneticPr fontId="8"/>
  </si>
  <si>
    <r>
      <t>PF3.6 HCF</t>
    </r>
    <r>
      <rPr>
        <sz val="9"/>
        <rFont val="ＭＳ Ｐゴシック"/>
        <family val="3"/>
        <charset val="128"/>
      </rPr>
      <t>。重連</t>
    </r>
    <r>
      <rPr>
        <sz val="9"/>
        <rFont val="Arial"/>
        <family val="2"/>
      </rPr>
      <t>(2</t>
    </r>
    <r>
      <rPr>
        <sz val="9"/>
        <rFont val="ＭＳ Ｐゴシック"/>
        <family val="3"/>
        <charset val="128"/>
      </rPr>
      <t>連</t>
    </r>
    <r>
      <rPr>
        <sz val="9"/>
        <rFont val="Arial"/>
        <family val="2"/>
      </rPr>
      <t>)</t>
    </r>
    <r>
      <rPr>
        <sz val="9"/>
        <rFont val="ＭＳ Ｐゴシック"/>
        <family val="3"/>
        <charset val="128"/>
      </rPr>
      <t>用の</t>
    </r>
    <r>
      <rPr>
        <sz val="9"/>
        <rFont val="Arial"/>
        <family val="2"/>
      </rPr>
      <t>2</t>
    </r>
    <r>
      <rPr>
        <sz val="9"/>
        <rFont val="ＭＳ Ｐゴシック"/>
        <family val="3"/>
        <charset val="128"/>
      </rPr>
      <t>台目</t>
    </r>
    <r>
      <rPr>
        <sz val="9"/>
        <rFont val="Arial"/>
        <family val="2"/>
      </rPr>
      <t>(</t>
    </r>
    <r>
      <rPr>
        <sz val="9"/>
        <rFont val="ＭＳ Ｐゴシック"/>
        <family val="3"/>
        <charset val="128"/>
      </rPr>
      <t>左側</t>
    </r>
    <r>
      <rPr>
        <sz val="9"/>
        <rFont val="Arial"/>
        <family val="2"/>
      </rPr>
      <t>)</t>
    </r>
    <r>
      <rPr>
        <sz val="9"/>
        <rFont val="ＭＳ Ｐゴシック"/>
        <family val="3"/>
        <charset val="128"/>
      </rPr>
      <t>。
長尺オプション付。</t>
    </r>
    <rPh sb="22" eb="23">
      <t>ヒダリ</t>
    </rPh>
    <phoneticPr fontId="8"/>
  </si>
  <si>
    <t>Pacman</t>
    <phoneticPr fontId="8"/>
  </si>
  <si>
    <t>PL</t>
    <phoneticPr fontId="8"/>
  </si>
  <si>
    <t>PL4</t>
    <phoneticPr fontId="8"/>
  </si>
  <si>
    <t>RPM (RP Module)</t>
    <phoneticPr fontId="8"/>
  </si>
  <si>
    <r>
      <t>IOT</t>
    </r>
    <r>
      <rPr>
        <sz val="9"/>
        <rFont val="ＭＳ Ｐゴシック"/>
        <family val="3"/>
        <charset val="128"/>
      </rPr>
      <t xml:space="preserve">と排出装置との接続装置。
</t>
    </r>
    <r>
      <rPr>
        <sz val="9"/>
        <rFont val="Arial"/>
        <family val="2"/>
      </rPr>
      <t>SCP</t>
    </r>
    <r>
      <rPr>
        <sz val="9"/>
        <rFont val="ＭＳ Ｐゴシック"/>
        <family val="3"/>
        <charset val="128"/>
      </rPr>
      <t>、</t>
    </r>
    <r>
      <rPr>
        <sz val="9"/>
        <rFont val="Arial"/>
        <family val="2"/>
      </rPr>
      <t>HCS</t>
    </r>
    <r>
      <rPr>
        <sz val="9"/>
        <rFont val="ＭＳ Ｐゴシック"/>
        <family val="3"/>
        <charset val="128"/>
      </rPr>
      <t>、</t>
    </r>
    <r>
      <rPr>
        <sz val="9"/>
        <rFont val="Arial"/>
        <family val="2"/>
      </rPr>
      <t>D2G-Fin</t>
    </r>
    <r>
      <rPr>
        <sz val="9"/>
        <rFont val="ＭＳ Ｐゴシック"/>
        <family val="3"/>
        <charset val="128"/>
      </rPr>
      <t>接続時に必要。</t>
    </r>
    <phoneticPr fontId="8"/>
  </si>
  <si>
    <t>PL3</t>
    <phoneticPr fontId="8"/>
  </si>
  <si>
    <t>PL2</t>
    <phoneticPr fontId="8"/>
  </si>
  <si>
    <t>HCS2</t>
    <phoneticPr fontId="8"/>
  </si>
  <si>
    <t>重連(2連)時の2台目(右側)。</t>
    <rPh sb="6" eb="7">
      <t>ジ</t>
    </rPh>
    <rPh sb="12" eb="13">
      <t>ミギ</t>
    </rPh>
    <phoneticPr fontId="8"/>
  </si>
  <si>
    <t>参考</t>
    <rPh sb="0" eb="2">
      <t>サンコウ</t>
    </rPh>
    <phoneticPr fontId="8"/>
  </si>
  <si>
    <r>
      <t>PF3.6 HCF</t>
    </r>
    <r>
      <rPr>
        <sz val="9"/>
        <rFont val="ＭＳ Ｐゴシック"/>
        <family val="3"/>
        <charset val="128"/>
      </rPr>
      <t>。単結用。</t>
    </r>
    <phoneticPr fontId="8"/>
  </si>
  <si>
    <r>
      <t>PF3.6 HCF</t>
    </r>
    <r>
      <rPr>
        <sz val="9"/>
        <rFont val="ＭＳ Ｐゴシック"/>
        <family val="3"/>
        <charset val="128"/>
      </rPr>
      <t>。単結用。
長尺オプション付。</t>
    </r>
    <rPh sb="15" eb="17">
      <t>チョウジャク</t>
    </rPh>
    <rPh sb="22" eb="23">
      <t>ツキ</t>
    </rPh>
    <phoneticPr fontId="8"/>
  </si>
  <si>
    <t>―</t>
  </si>
  <si>
    <t>"1Tray"</t>
    <phoneticPr fontId="8"/>
  </si>
  <si>
    <t>"2Tray"</t>
  </si>
  <si>
    <t>"3Tray"</t>
  </si>
  <si>
    <t>"4Tray"</t>
  </si>
  <si>
    <t>"5Tray"</t>
  </si>
  <si>
    <t>"6Tray"</t>
  </si>
  <si>
    <t>"7Tray"</t>
  </si>
  <si>
    <t>"8Tray"</t>
  </si>
  <si>
    <t>"9Tray"</t>
  </si>
  <si>
    <t>PFV_OPT_DEV_</t>
    <phoneticPr fontId="8"/>
  </si>
  <si>
    <t>1TRAYCAB</t>
  </si>
  <si>
    <t>2TRAYCAB</t>
  </si>
  <si>
    <t>3TRAYCAB</t>
  </si>
  <si>
    <t>4TRAYCAB</t>
  </si>
  <si>
    <t>5TRAYCAB</t>
  </si>
  <si>
    <t>6TRAYCAB</t>
  </si>
  <si>
    <t>7TRAYCAB</t>
  </si>
  <si>
    <t>8TRAYCAB</t>
  </si>
  <si>
    <t>9TRAYCAB</t>
  </si>
  <si>
    <t>SMH</t>
  </si>
  <si>
    <t>INTERPOSER</t>
  </si>
  <si>
    <t>MULTITRAY</t>
  </si>
  <si>
    <t>TTM</t>
  </si>
  <si>
    <t>STM</t>
  </si>
  <si>
    <t>HTM</t>
  </si>
  <si>
    <t>HCF1</t>
  </si>
  <si>
    <t>HCF2</t>
  </si>
  <si>
    <t>HCF3</t>
  </si>
  <si>
    <t>HCF3_1</t>
  </si>
  <si>
    <t>HCF3_2</t>
  </si>
  <si>
    <t>HCF3_5_2ND</t>
  </si>
  <si>
    <t>DUPLEXER</t>
  </si>
  <si>
    <t>CENTER_TRAY</t>
  </si>
  <si>
    <t>CENTER_TRAY2</t>
  </si>
  <si>
    <t>SIDE_TRAY</t>
  </si>
  <si>
    <t>SIDE_TRAY_KIT</t>
  </si>
  <si>
    <t xml:space="preserve">SIMPLE_CATCH_TRAY </t>
  </si>
  <si>
    <t>OFFSET_CATCH_TRAY</t>
  </si>
  <si>
    <t>CENTER_TRAY_OCT_MODULE</t>
  </si>
  <si>
    <t>CENTER_TRAY2_OCT_MODULE</t>
  </si>
  <si>
    <t>FINISHER_A</t>
  </si>
  <si>
    <t>FINISHER_GA</t>
  </si>
  <si>
    <t>FINISHER_B</t>
  </si>
  <si>
    <t>FINISHER_SB</t>
  </si>
  <si>
    <t>FINISHER_C</t>
  </si>
  <si>
    <t>FINISHER_D</t>
  </si>
  <si>
    <t>FINISHER_A4</t>
  </si>
  <si>
    <t>FINISHER_GA4_FIN</t>
  </si>
  <si>
    <t>FINISHER_GA4_MBX</t>
  </si>
  <si>
    <t>IF_MODULE</t>
  </si>
  <si>
    <t>HCS_1</t>
  </si>
  <si>
    <t>HCS_2</t>
  </si>
  <si>
    <t>COIL_PUNCHER</t>
  </si>
  <si>
    <t>SPARTA_COIL_PUNCHER</t>
  </si>
  <si>
    <t>MAILBOX</t>
  </si>
  <si>
    <t>PUNCHER</t>
  </si>
  <si>
    <t>BOOKLET</t>
  </si>
  <si>
    <t>BOOKLET_TRIMMER</t>
  </si>
  <si>
    <t>FOLDER</t>
  </si>
  <si>
    <t>STAPLER_PIN_CUT</t>
  </si>
  <si>
    <t>DEODORANT_FILTER</t>
  </si>
  <si>
    <t>STAMPER</t>
  </si>
  <si>
    <t>PB</t>
  </si>
  <si>
    <t>FINISHER_CH</t>
  </si>
  <si>
    <t>INVERTER</t>
  </si>
  <si>
    <t>HCF_PF2_1</t>
  </si>
  <si>
    <t>FINISHER_D2G</t>
  </si>
  <si>
    <t>IF_MODULE_CDM</t>
  </si>
  <si>
    <t>SHEET_TRIMMER</t>
  </si>
  <si>
    <t>CREASER</t>
  </si>
  <si>
    <t>FINISHER_GB</t>
  </si>
  <si>
    <t>STAPLER</t>
  </si>
  <si>
    <t>STAPLELESS_STAPLER</t>
  </si>
  <si>
    <t>CATCH_TRAY_MODULE</t>
  </si>
  <si>
    <r>
      <rPr>
        <sz val="10"/>
        <rFont val="ＭＳ Ｐゴシック"/>
        <family val="3"/>
        <charset val="128"/>
      </rPr>
      <t>項目</t>
    </r>
  </si>
  <si>
    <r>
      <rPr>
        <sz val="10"/>
        <rFont val="ＭＳ Ｐゴシック"/>
        <family val="3"/>
        <charset val="128"/>
      </rPr>
      <t>設定</t>
    </r>
  </si>
  <si>
    <r>
      <rPr>
        <sz val="10"/>
        <rFont val="ＭＳ Ｐゴシック"/>
        <family val="3"/>
        <charset val="128"/>
      </rPr>
      <t>デフォルト値</t>
    </r>
  </si>
  <si>
    <r>
      <rPr>
        <sz val="10"/>
        <rFont val="ＭＳ Ｐゴシック"/>
        <family val="3"/>
        <charset val="128"/>
      </rPr>
      <t>設定範囲</t>
    </r>
  </si>
  <si>
    <t>Interposer</t>
  </si>
  <si>
    <t>Unit</t>
  </si>
  <si>
    <t>TCBM</t>
  </si>
  <si>
    <t xml:space="preserve">Folder </t>
  </si>
  <si>
    <t xml:space="preserve">Finisher </t>
  </si>
  <si>
    <t>CZ Folder</t>
  </si>
  <si>
    <t>Multi Folder</t>
  </si>
  <si>
    <t xml:space="preserve">Interposer </t>
    <phoneticPr fontId="8"/>
  </si>
  <si>
    <t>MailBox</t>
    <phoneticPr fontId="8"/>
  </si>
  <si>
    <t>CH-Finisher (w Booklet)</t>
    <phoneticPr fontId="8"/>
  </si>
  <si>
    <t>CH-Finisher (w Booklet)</t>
    <phoneticPr fontId="8"/>
  </si>
  <si>
    <t>―</t>
    <phoneticPr fontId="8"/>
  </si>
  <si>
    <t>CH-Finisher (Base)</t>
    <phoneticPr fontId="8"/>
  </si>
  <si>
    <t>CH-Finisher (Base)</t>
    <phoneticPr fontId="8"/>
  </si>
  <si>
    <t>TSQF</t>
  </si>
  <si>
    <t>TSQF</t>
    <phoneticPr fontId="8"/>
  </si>
  <si>
    <t>PFIM
Unit</t>
    <phoneticPr fontId="8"/>
  </si>
  <si>
    <t>故障オプション機能項目</t>
  </si>
  <si>
    <t>Tray</t>
  </si>
  <si>
    <t>DM</t>
  </si>
  <si>
    <t>トレイ用紙サイズ自動検知</t>
  </si>
  <si>
    <t>不可</t>
  </si>
  <si>
    <t>なし</t>
  </si>
  <si>
    <t>トレイ選択</t>
  </si>
  <si>
    <t>トレイ用紙残量検知</t>
  </si>
  <si>
    <t>自動両面</t>
  </si>
  <si>
    <t>SCT</t>
  </si>
  <si>
    <t>OCT</t>
  </si>
  <si>
    <t>排出先選択</t>
  </si>
  <si>
    <t>フルスタック検知</t>
  </si>
  <si>
    <r>
      <t>Offset</t>
    </r>
    <r>
      <rPr>
        <sz val="9"/>
        <rFont val="ＭＳ Ｐゴシック"/>
        <family val="3"/>
        <charset val="128"/>
      </rPr>
      <t>排出</t>
    </r>
  </si>
  <si>
    <t>Staple</t>
  </si>
  <si>
    <t>Punch</t>
  </si>
  <si>
    <t>Coil Punch</t>
  </si>
  <si>
    <r>
      <t>Z</t>
    </r>
    <r>
      <rPr>
        <sz val="9"/>
        <rFont val="ＭＳ Ｐゴシック"/>
        <family val="3"/>
        <charset val="128"/>
      </rPr>
      <t>折り</t>
    </r>
  </si>
  <si>
    <r>
      <t>Letter</t>
    </r>
    <r>
      <rPr>
        <sz val="9"/>
        <rFont val="ＭＳ Ｐゴシック"/>
        <family val="3"/>
        <charset val="128"/>
      </rPr>
      <t>折り</t>
    </r>
  </si>
  <si>
    <t>二つ折り</t>
  </si>
  <si>
    <t>中綴じ</t>
  </si>
  <si>
    <r>
      <t>Crease(</t>
    </r>
    <r>
      <rPr>
        <sz val="9"/>
        <rFont val="ＭＳ Ｐゴシック"/>
        <family val="3"/>
        <charset val="128"/>
      </rPr>
      <t>折り筋</t>
    </r>
    <r>
      <rPr>
        <sz val="9"/>
        <rFont val="Arial"/>
        <family val="2"/>
      </rPr>
      <t>)</t>
    </r>
  </si>
  <si>
    <r>
      <t>Fold Enhance(</t>
    </r>
    <r>
      <rPr>
        <sz val="9"/>
        <rFont val="ＭＳ Ｐゴシック"/>
        <family val="3"/>
        <charset val="128"/>
      </rPr>
      <t>折り強化</t>
    </r>
    <r>
      <rPr>
        <sz val="9"/>
        <rFont val="Arial"/>
        <family val="2"/>
      </rPr>
      <t>)</t>
    </r>
  </si>
  <si>
    <t>Sheet Trimmer</t>
  </si>
  <si>
    <t>Finisher Tray</t>
  </si>
  <si>
    <t>Mailbox</t>
  </si>
  <si>
    <t>Stapler</t>
  </si>
  <si>
    <t>Puncher</t>
  </si>
  <si>
    <t>Coil Puncher</t>
  </si>
  <si>
    <t>Creaser</t>
  </si>
  <si>
    <t>Booklet
Tray</t>
    <phoneticPr fontId="8"/>
  </si>
  <si>
    <t>Folder
Tray</t>
    <phoneticPr fontId="8"/>
  </si>
  <si>
    <t>Offset</t>
    <phoneticPr fontId="8"/>
  </si>
  <si>
    <t>OCT</t>
    <phoneticPr fontId="8"/>
  </si>
  <si>
    <t xml:space="preserve">Top Tray </t>
    <phoneticPr fontId="8"/>
  </si>
  <si>
    <t>HCS
Staker Tray</t>
    <phoneticPr fontId="8"/>
  </si>
  <si>
    <t>HCS
Top Tray</t>
    <phoneticPr fontId="8"/>
  </si>
  <si>
    <t>Finisher 
Top Tray</t>
    <phoneticPr fontId="8"/>
  </si>
  <si>
    <t>Finsher Tray</t>
    <phoneticPr fontId="8"/>
  </si>
  <si>
    <t>能力</t>
  </si>
  <si>
    <t>Tray1</t>
  </si>
  <si>
    <t>Tray2</t>
  </si>
  <si>
    <t>Tray3</t>
  </si>
  <si>
    <t>Tray4</t>
  </si>
  <si>
    <t>Tray6</t>
  </si>
  <si>
    <t>Tray7</t>
  </si>
  <si>
    <t>IP</t>
  </si>
  <si>
    <t>備考</t>
  </si>
  <si>
    <t>あり</t>
  </si>
  <si>
    <t>【状態】</t>
  </si>
  <si>
    <t>状態</t>
  </si>
  <si>
    <t>給紙可</t>
  </si>
  <si>
    <t>用紙が入っていて給紙が可能な状態</t>
  </si>
  <si>
    <t>用紙なし</t>
  </si>
  <si>
    <t>用紙が入っていない状態</t>
  </si>
  <si>
    <t>トレイなし</t>
  </si>
  <si>
    <r>
      <t>トレイが抜かれている状態　</t>
    </r>
    <r>
      <rPr>
        <sz val="9"/>
        <rFont val="Arial"/>
        <family val="2"/>
      </rPr>
      <t>*1</t>
    </r>
  </si>
  <si>
    <t>リフトアップ中</t>
  </si>
  <si>
    <t>トレイがセットされ、リフトアップしている状態</t>
  </si>
  <si>
    <t>使用不可</t>
  </si>
  <si>
    <t>トレイが利用不可の状態</t>
  </si>
  <si>
    <t>故障</t>
  </si>
  <si>
    <t>故障により使用不可能な状態</t>
  </si>
  <si>
    <t>用紙サイズ不明</t>
  </si>
  <si>
    <t>用紙サイズが検知できない状態</t>
  </si>
  <si>
    <t>不明</t>
  </si>
  <si>
    <t>状態が不明</t>
  </si>
  <si>
    <t>未装着</t>
  </si>
  <si>
    <t>未装着時。</t>
  </si>
  <si>
    <r>
      <t>*1 Lift Up NG</t>
    </r>
    <r>
      <rPr>
        <sz val="9"/>
        <rFont val="ＭＳ Ｐゴシック"/>
        <family val="3"/>
        <charset val="128"/>
      </rPr>
      <t>の状態は、「トレイなし」の状態としてあらわす。</t>
    </r>
    <r>
      <rPr>
        <sz val="9"/>
        <rFont val="Arial"/>
        <family val="2"/>
      </rPr>
      <t>Lift Up NG</t>
    </r>
    <r>
      <rPr>
        <sz val="9"/>
        <rFont val="ＭＳ Ｐゴシック"/>
        <family val="3"/>
        <charset val="128"/>
      </rPr>
      <t>の状態はトレイの抜き差しで回復可能。</t>
    </r>
  </si>
  <si>
    <t>用紙ミスセット</t>
  </si>
  <si>
    <t>用紙ミスセット状態</t>
  </si>
  <si>
    <t>用紙トレイを暖め中の状態</t>
  </si>
  <si>
    <t>上記以外</t>
  </si>
  <si>
    <r>
      <t>用紙残量</t>
    </r>
    <r>
      <rPr>
        <sz val="9"/>
        <rFont val="Arial"/>
        <family val="2"/>
      </rPr>
      <t>0</t>
    </r>
    <r>
      <rPr>
        <sz val="9"/>
        <rFont val="ＭＳ Ｐゴシック"/>
        <family val="3"/>
        <charset val="128"/>
      </rPr>
      <t>％（用紙なし）</t>
    </r>
  </si>
  <si>
    <t>用紙切れ</t>
  </si>
  <si>
    <r>
      <t>用紙残量</t>
    </r>
    <r>
      <rPr>
        <sz val="9"/>
        <rFont val="Arial"/>
        <family val="2"/>
      </rPr>
      <t>25</t>
    </r>
    <r>
      <rPr>
        <sz val="9"/>
        <rFont val="ＭＳ Ｐゴシック"/>
        <family val="3"/>
        <charset val="128"/>
      </rPr>
      <t>％</t>
    </r>
  </si>
  <si>
    <r>
      <t>ほぼ</t>
    </r>
    <r>
      <rPr>
        <sz val="9"/>
        <rFont val="Arial"/>
        <family val="2"/>
      </rPr>
      <t>1/4</t>
    </r>
    <r>
      <rPr>
        <sz val="9"/>
        <rFont val="ＭＳ Ｐゴシック"/>
        <family val="3"/>
        <charset val="128"/>
      </rPr>
      <t>未満</t>
    </r>
  </si>
  <si>
    <r>
      <t>用紙残量</t>
    </r>
    <r>
      <rPr>
        <sz val="9"/>
        <rFont val="Arial"/>
        <family val="2"/>
      </rPr>
      <t>50</t>
    </r>
    <r>
      <rPr>
        <sz val="9"/>
        <rFont val="ＭＳ Ｐゴシック"/>
        <family val="3"/>
        <charset val="128"/>
      </rPr>
      <t>％</t>
    </r>
  </si>
  <si>
    <r>
      <t>ほぼ</t>
    </r>
    <r>
      <rPr>
        <sz val="9"/>
        <rFont val="Arial"/>
        <family val="2"/>
      </rPr>
      <t>1/4</t>
    </r>
    <r>
      <rPr>
        <sz val="9"/>
        <rFont val="ＭＳ Ｐゴシック"/>
        <family val="3"/>
        <charset val="128"/>
      </rPr>
      <t>以上</t>
    </r>
    <r>
      <rPr>
        <sz val="9"/>
        <rFont val="Arial"/>
        <family val="2"/>
      </rPr>
      <t>2/4</t>
    </r>
    <r>
      <rPr>
        <sz val="9"/>
        <rFont val="ＭＳ Ｐゴシック"/>
        <family val="3"/>
        <charset val="128"/>
      </rPr>
      <t>以下</t>
    </r>
  </si>
  <si>
    <r>
      <t>用紙残量</t>
    </r>
    <r>
      <rPr>
        <sz val="9"/>
        <rFont val="Arial"/>
        <family val="2"/>
      </rPr>
      <t>75</t>
    </r>
    <r>
      <rPr>
        <sz val="9"/>
        <rFont val="ＭＳ Ｐゴシック"/>
        <family val="3"/>
        <charset val="128"/>
      </rPr>
      <t>％</t>
    </r>
  </si>
  <si>
    <r>
      <t>ほぼ</t>
    </r>
    <r>
      <rPr>
        <sz val="9"/>
        <rFont val="Arial"/>
        <family val="2"/>
      </rPr>
      <t>2/4</t>
    </r>
    <r>
      <rPr>
        <sz val="9"/>
        <rFont val="ＭＳ Ｐゴシック"/>
        <family val="3"/>
        <charset val="128"/>
      </rPr>
      <t>以上</t>
    </r>
    <r>
      <rPr>
        <sz val="9"/>
        <rFont val="Arial"/>
        <family val="2"/>
      </rPr>
      <t>3/4</t>
    </r>
    <r>
      <rPr>
        <sz val="9"/>
        <rFont val="ＭＳ Ｐゴシック"/>
        <family val="3"/>
        <charset val="128"/>
      </rPr>
      <t>以下</t>
    </r>
  </si>
  <si>
    <r>
      <t>用紙残量</t>
    </r>
    <r>
      <rPr>
        <sz val="9"/>
        <rFont val="Arial"/>
        <family val="2"/>
      </rPr>
      <t>100</t>
    </r>
    <r>
      <rPr>
        <sz val="9"/>
        <rFont val="ＭＳ Ｐゴシック"/>
        <family val="3"/>
        <charset val="128"/>
      </rPr>
      <t>％</t>
    </r>
  </si>
  <si>
    <r>
      <t>ほぼ</t>
    </r>
    <r>
      <rPr>
        <sz val="9"/>
        <rFont val="Arial"/>
        <family val="2"/>
      </rPr>
      <t>3/4</t>
    </r>
    <r>
      <rPr>
        <sz val="9"/>
        <rFont val="ＭＳ Ｐゴシック"/>
        <family val="3"/>
        <charset val="128"/>
      </rPr>
      <t>以上</t>
    </r>
  </si>
  <si>
    <t>用紙残量不明</t>
  </si>
  <si>
    <r>
      <t>1.</t>
    </r>
    <r>
      <rPr>
        <sz val="7"/>
        <rFont val="Times New Roman"/>
        <family val="1"/>
      </rPr>
      <t xml:space="preserve">   </t>
    </r>
    <r>
      <rPr>
        <sz val="9"/>
        <rFont val="ＭＳ Ｐゴシック"/>
        <family val="3"/>
        <charset val="128"/>
      </rPr>
      <t>自動サイズ検知能力</t>
    </r>
    <phoneticPr fontId="8"/>
  </si>
  <si>
    <t>用紙残量</t>
    <phoneticPr fontId="8"/>
  </si>
  <si>
    <r>
      <rPr>
        <sz val="9"/>
        <rFont val="Times New Roman"/>
        <family val="1"/>
      </rPr>
      <t>2</t>
    </r>
    <r>
      <rPr>
        <sz val="9"/>
        <rFont val="Arial"/>
        <family val="2"/>
      </rPr>
      <t>.</t>
    </r>
    <r>
      <rPr>
        <sz val="7"/>
        <rFont val="Times New Roman"/>
        <family val="1"/>
      </rPr>
      <t xml:space="preserve">   </t>
    </r>
    <r>
      <rPr>
        <sz val="9"/>
        <rFont val="ＭＳ Ｐゴシック"/>
        <family val="3"/>
        <charset val="128"/>
      </rPr>
      <t>トレイ状態</t>
    </r>
    <phoneticPr fontId="8"/>
  </si>
  <si>
    <t>Warmup中</t>
  </si>
  <si>
    <t>Tray8</t>
  </si>
  <si>
    <t>Tray9</t>
  </si>
  <si>
    <r>
      <rPr>
        <sz val="9"/>
        <rFont val="Times New Roman"/>
        <family val="1"/>
      </rPr>
      <t>4</t>
    </r>
    <r>
      <rPr>
        <sz val="9"/>
        <rFont val="Arial"/>
        <family val="2"/>
      </rPr>
      <t>.</t>
    </r>
    <r>
      <rPr>
        <sz val="7"/>
        <rFont val="Times New Roman"/>
        <family val="1"/>
      </rPr>
      <t xml:space="preserve">   </t>
    </r>
    <r>
      <rPr>
        <sz val="9"/>
        <rFont val="ＭＳ Ｐゴシック"/>
        <family val="3"/>
        <charset val="128"/>
      </rPr>
      <t>用紙残量情報</t>
    </r>
    <phoneticPr fontId="8"/>
  </si>
  <si>
    <r>
      <t>1.</t>
    </r>
    <r>
      <rPr>
        <sz val="7"/>
        <rFont val="Times New Roman"/>
        <family val="1"/>
      </rPr>
      <t xml:space="preserve">   </t>
    </r>
    <r>
      <rPr>
        <sz val="9"/>
        <rFont val="ＭＳ Ｐゴシック"/>
        <family val="3"/>
        <charset val="128"/>
      </rPr>
      <t>排出トレイ、両面モジュールの状態</t>
    </r>
  </si>
  <si>
    <t>出力可</t>
  </si>
  <si>
    <t>排紙が可能な状態</t>
  </si>
  <si>
    <t>トレイフル</t>
  </si>
  <si>
    <t>用紙がフルの状態</t>
  </si>
  <si>
    <t>トレイニアフル</t>
  </si>
  <si>
    <t>用紙がニアフルの状態</t>
  </si>
  <si>
    <t>出力不可</t>
  </si>
  <si>
    <t>リフトダウンしているまたは降下した状態</t>
  </si>
  <si>
    <t>リフトアップしている状態</t>
  </si>
  <si>
    <t>トレイ抜け</t>
  </si>
  <si>
    <t>トレイが抜けている状態</t>
  </si>
  <si>
    <t>ドアオープン</t>
  </si>
  <si>
    <t>ドアがオープンしている状態。</t>
  </si>
  <si>
    <t>未装着時</t>
  </si>
  <si>
    <t>Booklet Tray</t>
  </si>
  <si>
    <t>Folder Tray</t>
  </si>
  <si>
    <t>MailBox Bin</t>
  </si>
  <si>
    <t>SCT(LCT)</t>
    <phoneticPr fontId="8"/>
  </si>
  <si>
    <t>HCS
Stacker Tray</t>
    <phoneticPr fontId="8"/>
  </si>
  <si>
    <t>Finisher
Top Tray</t>
    <phoneticPr fontId="8"/>
  </si>
  <si>
    <t>Duplex</t>
    <phoneticPr fontId="8"/>
  </si>
  <si>
    <r>
      <t>排出</t>
    </r>
    <r>
      <rPr>
        <sz val="9"/>
        <rFont val="Arial"/>
        <family val="2"/>
      </rPr>
      <t>(</t>
    </r>
    <r>
      <rPr>
        <sz val="9"/>
        <rFont val="ＭＳ Ｐゴシック"/>
        <family val="3"/>
        <charset val="128"/>
      </rPr>
      <t>後処理</t>
    </r>
    <r>
      <rPr>
        <sz val="9"/>
        <rFont val="Arial"/>
        <family val="2"/>
      </rPr>
      <t>)</t>
    </r>
    <r>
      <rPr>
        <sz val="9"/>
        <rFont val="ＭＳ Ｐゴシック"/>
        <family val="3"/>
        <charset val="128"/>
      </rPr>
      <t>装置側の接続順は次のようになる。</t>
    </r>
  </si>
  <si>
    <r>
      <t>01)</t>
    </r>
    <r>
      <rPr>
        <sz val="7"/>
        <rFont val="Times New Roman"/>
        <family val="1"/>
      </rPr>
      <t xml:space="preserve"> </t>
    </r>
    <r>
      <rPr>
        <sz val="9"/>
        <rFont val="Arial"/>
        <family val="2"/>
      </rPr>
      <t xml:space="preserve"> (IOT)</t>
    </r>
    <r>
      <rPr>
        <sz val="9"/>
        <rFont val="ＭＳ Ｐゴシック"/>
        <family val="3"/>
        <charset val="128"/>
      </rPr>
      <t>→</t>
    </r>
    <r>
      <rPr>
        <sz val="9"/>
        <rFont val="Arial"/>
        <family val="2"/>
      </rPr>
      <t>SCT</t>
    </r>
    <r>
      <rPr>
        <sz val="9"/>
        <rFont val="ＭＳ Ｐゴシック"/>
        <family val="3"/>
        <charset val="128"/>
      </rPr>
      <t>　</t>
    </r>
    <r>
      <rPr>
        <sz val="9"/>
        <rFont val="Arial"/>
        <family val="2"/>
      </rPr>
      <t>(LCT)</t>
    </r>
  </si>
  <si>
    <r>
      <t>02)</t>
    </r>
    <r>
      <rPr>
        <sz val="7"/>
        <rFont val="Times New Roman"/>
        <family val="1"/>
      </rPr>
      <t xml:space="preserve"> </t>
    </r>
    <r>
      <rPr>
        <sz val="9"/>
        <rFont val="Arial"/>
        <family val="2"/>
      </rPr>
      <t xml:space="preserve"> (IOT)</t>
    </r>
    <r>
      <rPr>
        <sz val="9"/>
        <rFont val="ＭＳ Ｐゴシック"/>
        <family val="3"/>
        <charset val="128"/>
      </rPr>
      <t>→</t>
    </r>
    <r>
      <rPr>
        <sz val="9"/>
        <rFont val="Arial"/>
        <family val="2"/>
      </rPr>
      <t>OCT</t>
    </r>
  </si>
  <si>
    <t>補足：</t>
  </si>
  <si>
    <r>
      <t>CH-Fin</t>
    </r>
    <r>
      <rPr>
        <sz val="9"/>
        <rFont val="ＭＳ Ｐゴシック"/>
        <family val="3"/>
        <charset val="128"/>
      </rPr>
      <t>の場合は、</t>
    </r>
    <r>
      <rPr>
        <sz val="9"/>
        <rFont val="Arial"/>
        <family val="2"/>
      </rPr>
      <t>IOT</t>
    </r>
    <r>
      <rPr>
        <sz val="9"/>
        <rFont val="ＭＳ Ｐゴシック"/>
        <family val="3"/>
        <charset val="128"/>
      </rPr>
      <t>と</t>
    </r>
    <r>
      <rPr>
        <sz val="9"/>
        <rFont val="Arial"/>
        <family val="2"/>
      </rPr>
      <t>CH-Fin</t>
    </r>
    <r>
      <rPr>
        <sz val="9"/>
        <rFont val="ＭＳ Ｐゴシック"/>
        <family val="3"/>
        <charset val="128"/>
      </rPr>
      <t>または</t>
    </r>
    <r>
      <rPr>
        <sz val="9"/>
        <rFont val="Arial"/>
        <family val="2"/>
      </rPr>
      <t>Folder Unit</t>
    </r>
    <r>
      <rPr>
        <sz val="9"/>
        <rFont val="ＭＳ Ｐゴシック"/>
        <family val="3"/>
        <charset val="128"/>
      </rPr>
      <t>の間に、</t>
    </r>
    <r>
      <rPr>
        <sz val="9"/>
        <rFont val="Arial"/>
        <family val="2"/>
      </rPr>
      <t>CH-Fin</t>
    </r>
    <r>
      <rPr>
        <sz val="9"/>
        <rFont val="ＭＳ Ｐゴシック"/>
        <family val="3"/>
        <charset val="128"/>
      </rPr>
      <t>の</t>
    </r>
    <r>
      <rPr>
        <sz val="9"/>
        <rFont val="Arial"/>
        <family val="2"/>
      </rPr>
      <t>Unit</t>
    </r>
    <r>
      <rPr>
        <sz val="9"/>
        <rFont val="ＭＳ Ｐゴシック"/>
        <family val="3"/>
        <charset val="128"/>
      </rPr>
      <t>である接続装置</t>
    </r>
    <r>
      <rPr>
        <sz val="9"/>
        <rFont val="Arial"/>
        <family val="2"/>
      </rPr>
      <t>(TransPath Unit)</t>
    </r>
    <r>
      <rPr>
        <sz val="9"/>
        <rFont val="ＭＳ Ｐゴシック"/>
        <family val="3"/>
        <charset val="128"/>
      </rPr>
      <t>が入る。</t>
    </r>
  </si>
  <si>
    <t>項目</t>
  </si>
  <si>
    <t>設定</t>
  </si>
  <si>
    <t>デフォルト値</t>
  </si>
  <si>
    <t>設定範囲</t>
  </si>
  <si>
    <r>
      <t>Puncher</t>
    </r>
    <r>
      <rPr>
        <sz val="9"/>
        <rFont val="ＭＳ Ｐゴシック"/>
        <family val="3"/>
        <charset val="128"/>
      </rPr>
      <t>の構成</t>
    </r>
  </si>
  <si>
    <t>自動検知</t>
  </si>
  <si>
    <r>
      <t>PuncherUnit</t>
    </r>
    <r>
      <rPr>
        <sz val="9"/>
        <rFont val="ＭＳ Ｐゴシック"/>
        <family val="3"/>
        <charset val="128"/>
      </rPr>
      <t>種別</t>
    </r>
  </si>
  <si>
    <r>
      <t>"</t>
    </r>
    <r>
      <rPr>
        <sz val="9"/>
        <rFont val="ＭＳ Ｐゴシック"/>
        <family val="3"/>
        <charset val="128"/>
      </rPr>
      <t>無し</t>
    </r>
    <r>
      <rPr>
        <sz val="9"/>
        <rFont val="Arial"/>
        <family val="2"/>
      </rPr>
      <t>"
"2</t>
    </r>
    <r>
      <rPr>
        <sz val="9"/>
        <rFont val="ＭＳ Ｐゴシック"/>
        <family val="3"/>
        <charset val="128"/>
      </rPr>
      <t>穴</t>
    </r>
    <r>
      <rPr>
        <sz val="9"/>
        <rFont val="Arial"/>
        <family val="2"/>
      </rPr>
      <t>"
"3</t>
    </r>
    <r>
      <rPr>
        <sz val="9"/>
        <rFont val="ＭＳ Ｐゴシック"/>
        <family val="3"/>
        <charset val="128"/>
      </rPr>
      <t>穴</t>
    </r>
    <r>
      <rPr>
        <sz val="9"/>
        <rFont val="Arial"/>
        <family val="2"/>
      </rPr>
      <t>"
"4</t>
    </r>
    <r>
      <rPr>
        <sz val="9"/>
        <rFont val="ＭＳ Ｐゴシック"/>
        <family val="3"/>
        <charset val="128"/>
      </rPr>
      <t>穴</t>
    </r>
    <r>
      <rPr>
        <sz val="9"/>
        <rFont val="Arial"/>
        <family val="2"/>
      </rPr>
      <t>"</t>
    </r>
    <phoneticPr fontId="8"/>
  </si>
  <si>
    <r>
      <t>"</t>
    </r>
    <r>
      <rPr>
        <sz val="9"/>
        <rFont val="ＭＳ Ｐゴシック"/>
        <family val="3"/>
        <charset val="128"/>
      </rPr>
      <t>標準仕様</t>
    </r>
    <r>
      <rPr>
        <sz val="9"/>
        <rFont val="Arial"/>
        <family val="2"/>
      </rPr>
      <t>"
"</t>
    </r>
    <r>
      <rPr>
        <sz val="9"/>
        <rFont val="ＭＳ Ｐゴシック"/>
        <family val="3"/>
        <charset val="128"/>
      </rPr>
      <t>スウェーデン仕様</t>
    </r>
    <r>
      <rPr>
        <sz val="9"/>
        <rFont val="Arial"/>
        <family val="2"/>
      </rPr>
      <t>"</t>
    </r>
    <phoneticPr fontId="8"/>
  </si>
  <si>
    <r>
      <t>Punch</t>
    </r>
    <r>
      <rPr>
        <sz val="9"/>
        <rFont val="ＭＳ Ｐゴシック"/>
        <family val="3"/>
        <charset val="128"/>
      </rPr>
      <t>の構成は、次のシステムデータで入手できる。</t>
    </r>
  </si>
  <si>
    <t>CH-Fin</t>
  </si>
  <si>
    <r>
      <t>1</t>
    </r>
    <r>
      <rPr>
        <sz val="9"/>
        <rFont val="ＭＳ Ｐゴシック"/>
        <family val="3"/>
        <charset val="128"/>
      </rPr>
      <t>セットの最大用紙枚数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</si>
  <si>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t>CE</t>
  </si>
  <si>
    <r>
      <t>Fin NVM</t>
    </r>
    <r>
      <rPr>
        <sz val="9"/>
        <rFont val="ＭＳ Ｐゴシック"/>
        <family val="3"/>
        <charset val="128"/>
      </rPr>
      <t>参照</t>
    </r>
  </si>
  <si>
    <r>
      <t>1</t>
    </r>
    <r>
      <rPr>
        <sz val="9"/>
        <rFont val="ＭＳ Ｐゴシック"/>
        <family val="3"/>
        <charset val="128"/>
      </rPr>
      <t>セットの最大用紙枚数</t>
    </r>
    <r>
      <rPr>
        <sz val="9"/>
        <rFont val="Arial"/>
        <family val="2"/>
      </rPr>
      <t xml:space="preserve"> (</t>
    </r>
    <r>
      <rPr>
        <sz val="9"/>
        <rFont val="ＭＳ Ｐゴシック"/>
        <family val="3"/>
        <charset val="128"/>
      </rPr>
      <t>　</t>
    </r>
    <r>
      <rPr>
        <sz val="9"/>
        <rFont val="Arial"/>
        <family val="2"/>
      </rPr>
      <t>50</t>
    </r>
    <r>
      <rPr>
        <sz val="9"/>
        <rFont val="ＭＳ Ｐゴシック"/>
        <family val="3"/>
        <charset val="128"/>
      </rPr>
      <t>枚カートリッジ</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</si>
  <si>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"50</t>
    </r>
    <r>
      <rPr>
        <sz val="9"/>
        <rFont val="ＭＳ Ｐゴシック"/>
        <family val="3"/>
        <charset val="128"/>
      </rPr>
      <t>枚</t>
    </r>
    <r>
      <rPr>
        <sz val="9"/>
        <rFont val="Arial"/>
        <family val="2"/>
      </rPr>
      <t>"</t>
    </r>
  </si>
  <si>
    <r>
      <t>1</t>
    </r>
    <r>
      <rPr>
        <sz val="9"/>
        <rFont val="ＭＳ Ｐゴシック"/>
        <family val="3"/>
        <charset val="128"/>
      </rPr>
      <t>セットの最大用紙枚数</t>
    </r>
    <r>
      <rPr>
        <sz val="9"/>
        <rFont val="Arial"/>
        <family val="2"/>
      </rPr>
      <t xml:space="preserve"> (</t>
    </r>
    <r>
      <rPr>
        <sz val="9"/>
        <rFont val="ＭＳ Ｐゴシック"/>
        <family val="3"/>
        <charset val="128"/>
      </rPr>
      <t>　</t>
    </r>
    <r>
      <rPr>
        <sz val="9"/>
        <rFont val="Arial"/>
        <family val="2"/>
      </rPr>
      <t>65</t>
    </r>
    <r>
      <rPr>
        <sz val="9"/>
        <rFont val="ＭＳ Ｐゴシック"/>
        <family val="3"/>
        <charset val="128"/>
      </rPr>
      <t>枚カートリッジ</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</si>
  <si>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"65</t>
    </r>
    <r>
      <rPr>
        <sz val="9"/>
        <rFont val="ＭＳ Ｐゴシック"/>
        <family val="3"/>
        <charset val="128"/>
      </rPr>
      <t>枚</t>
    </r>
    <r>
      <rPr>
        <sz val="9"/>
        <rFont val="Arial"/>
        <family val="2"/>
      </rPr>
      <t>"</t>
    </r>
  </si>
  <si>
    <r>
      <t>1</t>
    </r>
    <r>
      <rPr>
        <sz val="9"/>
        <rFont val="ＭＳ Ｐゴシック"/>
        <family val="3"/>
        <charset val="128"/>
      </rPr>
      <t>セットの最大用紙枚数</t>
    </r>
    <r>
      <rPr>
        <sz val="9"/>
        <rFont val="Arial"/>
        <family val="2"/>
      </rPr>
      <t xml:space="preserve"> (100</t>
    </r>
    <r>
      <rPr>
        <sz val="9"/>
        <rFont val="ＭＳ Ｐゴシック"/>
        <family val="3"/>
        <charset val="128"/>
      </rPr>
      <t>枚カートリッジ</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</si>
  <si>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1</t>
    </r>
    <r>
      <rPr>
        <sz val="9"/>
        <rFont val="ＭＳ Ｐゴシック"/>
        <family val="3"/>
        <charset val="128"/>
      </rPr>
      <t>セットの最大用紙枚数</t>
    </r>
    <r>
      <rPr>
        <sz val="9"/>
        <rFont val="Arial"/>
        <family val="2"/>
      </rPr>
      <t xml:space="preserve"> (</t>
    </r>
    <r>
      <rPr>
        <sz val="9"/>
        <rFont val="ＭＳ Ｐゴシック"/>
        <family val="3"/>
        <charset val="128"/>
      </rPr>
      <t>小サイズ</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</si>
  <si>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1</t>
    </r>
    <r>
      <rPr>
        <sz val="9"/>
        <rFont val="ＭＳ Ｐゴシック"/>
        <family val="3"/>
        <charset val="128"/>
      </rPr>
      <t>セットの最大用紙枚数</t>
    </r>
    <r>
      <rPr>
        <sz val="9"/>
        <rFont val="Arial"/>
        <family val="2"/>
      </rPr>
      <t xml:space="preserve"> (</t>
    </r>
    <r>
      <rPr>
        <sz val="9"/>
        <rFont val="ＭＳ Ｐゴシック"/>
        <family val="3"/>
        <charset val="128"/>
      </rPr>
      <t>大サイズ</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</si>
  <si>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Z</t>
    </r>
    <r>
      <rPr>
        <sz val="9"/>
        <rFont val="ＭＳ Ｐゴシック"/>
        <family val="3"/>
        <charset val="128"/>
      </rPr>
      <t>折り換算枚数</t>
    </r>
    <r>
      <rPr>
        <sz val="9"/>
        <rFont val="Arial"/>
        <family val="2"/>
      </rPr>
      <t xml:space="preserve">(A3 SEF/11x17 SEF) </t>
    </r>
    <r>
      <rPr>
        <sz val="9"/>
        <rFont val="ＭＳ Ｐゴシック"/>
        <family val="3"/>
        <charset val="128"/>
      </rPr>
      <t>（</t>
    </r>
    <r>
      <rPr>
        <sz val="9"/>
        <rFont val="Arial"/>
        <family val="2"/>
      </rPr>
      <t>IOT NVM</t>
    </r>
    <r>
      <rPr>
        <sz val="9"/>
        <rFont val="ＭＳ Ｐゴシック"/>
        <family val="3"/>
        <charset val="128"/>
      </rPr>
      <t>）</t>
    </r>
  </si>
  <si>
    <r>
      <t>"10</t>
    </r>
    <r>
      <rPr>
        <sz val="9"/>
        <rFont val="ＭＳ Ｐゴシック"/>
        <family val="3"/>
        <charset val="128"/>
      </rPr>
      <t>枚</t>
    </r>
    <r>
      <rPr>
        <sz val="9"/>
        <rFont val="Arial"/>
        <family val="2"/>
      </rPr>
      <t>"</t>
    </r>
  </si>
  <si>
    <r>
      <t>Z</t>
    </r>
    <r>
      <rPr>
        <sz val="9"/>
        <rFont val="ＭＳ Ｐゴシック"/>
        <family val="3"/>
        <charset val="128"/>
      </rPr>
      <t>折り換算枚数</t>
    </r>
    <r>
      <rPr>
        <sz val="9"/>
        <rFont val="Arial"/>
        <family val="2"/>
      </rPr>
      <t>(A3 SEF/11x17 SEF</t>
    </r>
    <r>
      <rPr>
        <sz val="9"/>
        <rFont val="ＭＳ Ｐゴシック"/>
        <family val="3"/>
        <charset val="128"/>
      </rPr>
      <t>以外</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</si>
  <si>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"20</t>
    </r>
    <r>
      <rPr>
        <sz val="9"/>
        <rFont val="ＭＳ Ｐゴシック"/>
        <family val="3"/>
        <charset val="128"/>
      </rPr>
      <t>枚</t>
    </r>
    <r>
      <rPr>
        <sz val="9"/>
        <rFont val="Arial"/>
        <family val="2"/>
      </rPr>
      <t>"</t>
    </r>
  </si>
  <si>
    <r>
      <t>非コート紙</t>
    </r>
    <r>
      <rPr>
        <sz val="9"/>
        <rFont val="Arial"/>
        <family val="2"/>
      </rPr>
      <t>64</t>
    </r>
    <r>
      <rPr>
        <sz val="9"/>
        <rFont val="ＭＳ Ｐゴシック"/>
        <family val="3"/>
        <charset val="128"/>
      </rPr>
      <t>～</t>
    </r>
    <r>
      <rPr>
        <sz val="9"/>
        <rFont val="Arial"/>
        <family val="2"/>
      </rPr>
      <t>79 gsm</t>
    </r>
    <r>
      <rPr>
        <sz val="9"/>
        <rFont val="ＭＳ Ｐゴシック"/>
        <family val="3"/>
        <charset val="128"/>
      </rPr>
      <t>の最大用紙枚数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</si>
  <si>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非コート紙</t>
    </r>
    <r>
      <rPr>
        <sz val="9"/>
        <rFont val="Arial"/>
        <family val="2"/>
      </rPr>
      <t>80</t>
    </r>
    <r>
      <rPr>
        <sz val="9"/>
        <rFont val="ＭＳ Ｐゴシック"/>
        <family val="3"/>
        <charset val="128"/>
      </rPr>
      <t>～</t>
    </r>
    <r>
      <rPr>
        <sz val="9"/>
        <rFont val="Arial"/>
        <family val="2"/>
      </rPr>
      <t>90 gsm</t>
    </r>
    <r>
      <rPr>
        <sz val="9"/>
        <rFont val="ＭＳ Ｐゴシック"/>
        <family val="3"/>
        <charset val="128"/>
      </rPr>
      <t>の最大用紙枚数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</si>
  <si>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非コート紙</t>
    </r>
    <r>
      <rPr>
        <sz val="9"/>
        <rFont val="Arial"/>
        <family val="2"/>
      </rPr>
      <t>91</t>
    </r>
    <r>
      <rPr>
        <sz val="9"/>
        <rFont val="ＭＳ Ｐゴシック"/>
        <family val="3"/>
        <charset val="128"/>
      </rPr>
      <t>～</t>
    </r>
    <r>
      <rPr>
        <sz val="9"/>
        <rFont val="Arial"/>
        <family val="2"/>
      </rPr>
      <t>105 gsm</t>
    </r>
    <r>
      <rPr>
        <sz val="9"/>
        <rFont val="ＭＳ Ｐゴシック"/>
        <family val="3"/>
        <charset val="128"/>
      </rPr>
      <t>の最大用紙枚数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</si>
  <si>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"30</t>
    </r>
    <r>
      <rPr>
        <sz val="9"/>
        <rFont val="ＭＳ Ｐゴシック"/>
        <family val="3"/>
        <charset val="128"/>
      </rPr>
      <t>枚</t>
    </r>
    <r>
      <rPr>
        <sz val="9"/>
        <rFont val="Arial"/>
        <family val="2"/>
      </rPr>
      <t>"</t>
    </r>
  </si>
  <si>
    <r>
      <t>非コート紙</t>
    </r>
    <r>
      <rPr>
        <sz val="9"/>
        <rFont val="Arial"/>
        <family val="2"/>
      </rPr>
      <t>106</t>
    </r>
    <r>
      <rPr>
        <sz val="9"/>
        <rFont val="ＭＳ Ｐゴシック"/>
        <family val="3"/>
        <charset val="128"/>
      </rPr>
      <t>～</t>
    </r>
    <r>
      <rPr>
        <sz val="9"/>
        <rFont val="Arial"/>
        <family val="2"/>
      </rPr>
      <t>128 gsm</t>
    </r>
    <r>
      <rPr>
        <sz val="9"/>
        <rFont val="ＭＳ Ｐゴシック"/>
        <family val="3"/>
        <charset val="128"/>
      </rPr>
      <t>の最大用紙枚数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</si>
  <si>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"25</t>
    </r>
    <r>
      <rPr>
        <sz val="9"/>
        <rFont val="ＭＳ Ｐゴシック"/>
        <family val="3"/>
        <charset val="128"/>
      </rPr>
      <t>枚</t>
    </r>
    <r>
      <rPr>
        <sz val="9"/>
        <rFont val="Arial"/>
        <family val="2"/>
      </rPr>
      <t>"</t>
    </r>
  </si>
  <si>
    <r>
      <t>非コート紙</t>
    </r>
    <r>
      <rPr>
        <sz val="9"/>
        <rFont val="Arial"/>
        <family val="2"/>
      </rPr>
      <t>129</t>
    </r>
    <r>
      <rPr>
        <sz val="9"/>
        <rFont val="ＭＳ Ｐゴシック"/>
        <family val="3"/>
        <charset val="128"/>
      </rPr>
      <t>～</t>
    </r>
    <r>
      <rPr>
        <sz val="9"/>
        <rFont val="Arial"/>
        <family val="2"/>
      </rPr>
      <t>150 gsm</t>
    </r>
    <r>
      <rPr>
        <sz val="9"/>
        <rFont val="ＭＳ Ｐゴシック"/>
        <family val="3"/>
        <charset val="128"/>
      </rPr>
      <t>の最大用紙枚数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</si>
  <si>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非コート紙</t>
    </r>
    <r>
      <rPr>
        <sz val="9"/>
        <rFont val="Arial"/>
        <family val="2"/>
      </rPr>
      <t>151</t>
    </r>
    <r>
      <rPr>
        <sz val="9"/>
        <rFont val="ＭＳ Ｐゴシック"/>
        <family val="3"/>
        <charset val="128"/>
      </rPr>
      <t>～</t>
    </r>
    <r>
      <rPr>
        <sz val="9"/>
        <rFont val="Arial"/>
        <family val="2"/>
      </rPr>
      <t>176 gsm</t>
    </r>
    <r>
      <rPr>
        <sz val="9"/>
        <rFont val="ＭＳ Ｐゴシック"/>
        <family val="3"/>
        <charset val="128"/>
      </rPr>
      <t>の最大用紙枚数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</si>
  <si>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"15</t>
    </r>
    <r>
      <rPr>
        <sz val="9"/>
        <rFont val="ＭＳ Ｐゴシック"/>
        <family val="3"/>
        <charset val="128"/>
      </rPr>
      <t>枚</t>
    </r>
    <r>
      <rPr>
        <sz val="9"/>
        <rFont val="Arial"/>
        <family val="2"/>
      </rPr>
      <t>"</t>
    </r>
  </si>
  <si>
    <r>
      <t>非コート紙</t>
    </r>
    <r>
      <rPr>
        <sz val="9"/>
        <rFont val="Arial"/>
        <family val="2"/>
      </rPr>
      <t>177</t>
    </r>
    <r>
      <rPr>
        <sz val="9"/>
        <rFont val="ＭＳ Ｐゴシック"/>
        <family val="3"/>
        <charset val="128"/>
      </rPr>
      <t>～</t>
    </r>
    <r>
      <rPr>
        <sz val="9"/>
        <rFont val="Arial"/>
        <family val="2"/>
      </rPr>
      <t>220 gsm</t>
    </r>
    <r>
      <rPr>
        <sz val="9"/>
        <rFont val="ＭＳ Ｐゴシック"/>
        <family val="3"/>
        <charset val="128"/>
      </rPr>
      <t>の最大用紙枚数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</si>
  <si>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非コート紙</t>
    </r>
    <r>
      <rPr>
        <sz val="9"/>
        <rFont val="Arial"/>
        <family val="2"/>
      </rPr>
      <t>221</t>
    </r>
    <r>
      <rPr>
        <sz val="9"/>
        <rFont val="ＭＳ Ｐゴシック"/>
        <family val="3"/>
        <charset val="128"/>
      </rPr>
      <t>～</t>
    </r>
    <r>
      <rPr>
        <sz val="9"/>
        <rFont val="Arial"/>
        <family val="2"/>
      </rPr>
      <t>256 gsm</t>
    </r>
    <r>
      <rPr>
        <sz val="9"/>
        <rFont val="ＭＳ Ｐゴシック"/>
        <family val="3"/>
        <charset val="128"/>
      </rPr>
      <t>の最大用紙枚数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</si>
  <si>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"3</t>
    </r>
    <r>
      <rPr>
        <sz val="9"/>
        <rFont val="ＭＳ Ｐゴシック"/>
        <family val="3"/>
        <charset val="128"/>
      </rPr>
      <t>枚</t>
    </r>
    <r>
      <rPr>
        <sz val="9"/>
        <rFont val="Arial"/>
        <family val="2"/>
      </rPr>
      <t>"</t>
    </r>
  </si>
  <si>
    <r>
      <t>非コート紙</t>
    </r>
    <r>
      <rPr>
        <sz val="9"/>
        <rFont val="Arial"/>
        <family val="2"/>
      </rPr>
      <t>257</t>
    </r>
    <r>
      <rPr>
        <sz val="9"/>
        <rFont val="ＭＳ Ｐゴシック"/>
        <family val="3"/>
        <charset val="128"/>
      </rPr>
      <t>～</t>
    </r>
    <r>
      <rPr>
        <sz val="9"/>
        <rFont val="Arial"/>
        <family val="2"/>
      </rPr>
      <t>300 gsm</t>
    </r>
    <r>
      <rPr>
        <sz val="9"/>
        <rFont val="ＭＳ Ｐゴシック"/>
        <family val="3"/>
        <charset val="128"/>
      </rPr>
      <t>の最大用紙枚数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</si>
  <si>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コート紙</t>
    </r>
    <r>
      <rPr>
        <sz val="9"/>
        <rFont val="Arial"/>
        <family val="2"/>
      </rPr>
      <t>106</t>
    </r>
    <r>
      <rPr>
        <sz val="9"/>
        <rFont val="ＭＳ Ｐゴシック"/>
        <family val="3"/>
        <charset val="128"/>
      </rPr>
      <t>～</t>
    </r>
    <r>
      <rPr>
        <sz val="9"/>
        <rFont val="Arial"/>
        <family val="2"/>
      </rPr>
      <t>128 gsm</t>
    </r>
    <r>
      <rPr>
        <sz val="9"/>
        <rFont val="ＭＳ Ｐゴシック"/>
        <family val="3"/>
        <charset val="128"/>
      </rPr>
      <t>の最大用紙枚数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</si>
  <si>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コート紙</t>
    </r>
    <r>
      <rPr>
        <sz val="9"/>
        <rFont val="Arial"/>
        <family val="2"/>
      </rPr>
      <t>129</t>
    </r>
    <r>
      <rPr>
        <sz val="9"/>
        <rFont val="ＭＳ Ｐゴシック"/>
        <family val="3"/>
        <charset val="128"/>
      </rPr>
      <t>～</t>
    </r>
    <r>
      <rPr>
        <sz val="9"/>
        <rFont val="Arial"/>
        <family val="2"/>
      </rPr>
      <t>150 gsm</t>
    </r>
    <r>
      <rPr>
        <sz val="9"/>
        <rFont val="ＭＳ Ｐゴシック"/>
        <family val="3"/>
        <charset val="128"/>
      </rPr>
      <t>の最大用紙枚数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</si>
  <si>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コート紙</t>
    </r>
    <r>
      <rPr>
        <sz val="9"/>
        <rFont val="Arial"/>
        <family val="2"/>
      </rPr>
      <t>151</t>
    </r>
    <r>
      <rPr>
        <sz val="9"/>
        <rFont val="ＭＳ Ｐゴシック"/>
        <family val="3"/>
        <charset val="128"/>
      </rPr>
      <t>～</t>
    </r>
    <r>
      <rPr>
        <sz val="9"/>
        <rFont val="Arial"/>
        <family val="2"/>
      </rPr>
      <t>176 gsm</t>
    </r>
    <r>
      <rPr>
        <sz val="9"/>
        <rFont val="ＭＳ Ｐゴシック"/>
        <family val="3"/>
        <charset val="128"/>
      </rPr>
      <t>の最大用紙枚数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</si>
  <si>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"7</t>
    </r>
    <r>
      <rPr>
        <sz val="9"/>
        <rFont val="ＭＳ Ｐゴシック"/>
        <family val="3"/>
        <charset val="128"/>
      </rPr>
      <t>枚</t>
    </r>
    <r>
      <rPr>
        <sz val="9"/>
        <rFont val="Arial"/>
        <family val="2"/>
      </rPr>
      <t>"</t>
    </r>
  </si>
  <si>
    <r>
      <t>コート紙</t>
    </r>
    <r>
      <rPr>
        <sz val="9"/>
        <rFont val="Arial"/>
        <family val="2"/>
      </rPr>
      <t>177</t>
    </r>
    <r>
      <rPr>
        <sz val="9"/>
        <rFont val="ＭＳ Ｐゴシック"/>
        <family val="3"/>
        <charset val="128"/>
      </rPr>
      <t>～</t>
    </r>
    <r>
      <rPr>
        <sz val="9"/>
        <rFont val="Arial"/>
        <family val="2"/>
      </rPr>
      <t>220 gsm</t>
    </r>
    <r>
      <rPr>
        <sz val="9"/>
        <rFont val="ＭＳ Ｐゴシック"/>
        <family val="3"/>
        <charset val="128"/>
      </rPr>
      <t>の最大用紙枚数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</si>
  <si>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"5</t>
    </r>
    <r>
      <rPr>
        <sz val="9"/>
        <rFont val="ＭＳ Ｐゴシック"/>
        <family val="3"/>
        <charset val="128"/>
      </rPr>
      <t>枚</t>
    </r>
    <r>
      <rPr>
        <sz val="9"/>
        <rFont val="Arial"/>
        <family val="2"/>
      </rPr>
      <t>"</t>
    </r>
  </si>
  <si>
    <r>
      <t>コート紙</t>
    </r>
    <r>
      <rPr>
        <sz val="9"/>
        <rFont val="Arial"/>
        <family val="2"/>
      </rPr>
      <t>221</t>
    </r>
    <r>
      <rPr>
        <sz val="9"/>
        <rFont val="ＭＳ Ｐゴシック"/>
        <family val="3"/>
        <charset val="128"/>
      </rPr>
      <t>～</t>
    </r>
    <r>
      <rPr>
        <sz val="9"/>
        <rFont val="Arial"/>
        <family val="2"/>
      </rPr>
      <t>256 gsm</t>
    </r>
    <r>
      <rPr>
        <sz val="9"/>
        <rFont val="ＭＳ Ｐゴシック"/>
        <family val="3"/>
        <charset val="128"/>
      </rPr>
      <t>の最大用紙枚数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</si>
  <si>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コート紙</t>
    </r>
    <r>
      <rPr>
        <sz val="9"/>
        <rFont val="Arial"/>
        <family val="2"/>
      </rPr>
      <t>257</t>
    </r>
    <r>
      <rPr>
        <sz val="9"/>
        <rFont val="ＭＳ Ｐゴシック"/>
        <family val="3"/>
        <charset val="128"/>
      </rPr>
      <t>～</t>
    </r>
    <r>
      <rPr>
        <sz val="9"/>
        <rFont val="Arial"/>
        <family val="2"/>
      </rPr>
      <t>300 gsm</t>
    </r>
    <r>
      <rPr>
        <sz val="9"/>
        <rFont val="ＭＳ Ｐゴシック"/>
        <family val="3"/>
        <charset val="128"/>
      </rPr>
      <t>の最大用紙枚数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</si>
  <si>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Staple</t>
    </r>
    <r>
      <rPr>
        <sz val="9"/>
        <rFont val="ＭＳ Ｐゴシック"/>
        <family val="3"/>
        <charset val="128"/>
      </rPr>
      <t>カートリッジ種別</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</si>
  <si>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t>"XE"</t>
  </si>
  <si>
    <t>"XH"</t>
  </si>
  <si>
    <t>"XE","XH"</t>
  </si>
  <si>
    <t>(D2G-Fin)</t>
  </si>
  <si>
    <t>共通</t>
  </si>
  <si>
    <t>小サイズ</t>
  </si>
  <si>
    <t>大サイズ</t>
  </si>
  <si>
    <r>
      <t>"100</t>
    </r>
    <r>
      <rPr>
        <sz val="9"/>
        <rFont val="ＭＳ Ｐゴシック"/>
        <family val="3"/>
        <charset val="128"/>
      </rPr>
      <t>枚</t>
    </r>
    <r>
      <rPr>
        <sz val="9"/>
        <rFont val="Arial"/>
        <family val="2"/>
      </rPr>
      <t>"</t>
    </r>
  </si>
  <si>
    <r>
      <t>Fin NVM</t>
    </r>
    <r>
      <rPr>
        <sz val="9"/>
        <rFont val="ＭＳ Ｐゴシック"/>
        <family val="3"/>
        <charset val="128"/>
      </rPr>
      <t>参照</t>
    </r>
    <r>
      <rPr>
        <sz val="9"/>
        <rFont val="Arial"/>
        <family val="2"/>
      </rPr>
      <t xml:space="preserve"> </t>
    </r>
    <r>
      <rPr>
        <sz val="9"/>
        <rFont val="ＭＳ Ｐゴシック"/>
        <family val="3"/>
        <charset val="128"/>
      </rPr>
      <t>　</t>
    </r>
    <r>
      <rPr>
        <sz val="9"/>
        <rFont val="Arial"/>
        <family val="2"/>
      </rPr>
      <t>*1</t>
    </r>
  </si>
  <si>
    <t>"1000"</t>
  </si>
  <si>
    <r>
      <t>Fin NVM</t>
    </r>
    <r>
      <rPr>
        <sz val="9"/>
        <rFont val="ＭＳ Ｐゴシック"/>
        <family val="3"/>
        <charset val="128"/>
      </rPr>
      <t>参照</t>
    </r>
    <r>
      <rPr>
        <sz val="9"/>
        <rFont val="Arial"/>
        <family val="2"/>
      </rPr>
      <t xml:space="preserve"> </t>
    </r>
    <r>
      <rPr>
        <sz val="9"/>
        <rFont val="ＭＳ Ｐゴシック"/>
        <family val="3"/>
        <charset val="128"/>
      </rPr>
      <t>　</t>
    </r>
    <r>
      <rPr>
        <sz val="9"/>
        <rFont val="Arial"/>
        <family val="2"/>
      </rPr>
      <t>*3</t>
    </r>
  </si>
  <si>
    <t>"2000"</t>
  </si>
  <si>
    <r>
      <t>非コート紙</t>
    </r>
    <r>
      <rPr>
        <sz val="9"/>
        <rFont val="Arial"/>
        <family val="2"/>
      </rPr>
      <t xml:space="preserve">    </t>
    </r>
    <r>
      <rPr>
        <sz val="9"/>
        <rFont val="ＭＳ Ｐゴシック"/>
        <family val="3"/>
        <charset val="128"/>
      </rPr>
      <t>～</t>
    </r>
    <r>
      <rPr>
        <sz val="9"/>
        <rFont val="Arial"/>
        <family val="2"/>
      </rPr>
      <t xml:space="preserve">  51 gsm</t>
    </r>
    <r>
      <rPr>
        <sz val="9"/>
        <rFont val="ＭＳ Ｐゴシック"/>
        <family val="3"/>
        <charset val="128"/>
      </rPr>
      <t>の換算枚数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</si>
  <si>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t>"0"</t>
  </si>
  <si>
    <r>
      <t>Fin NVM</t>
    </r>
    <r>
      <rPr>
        <sz val="9"/>
        <rFont val="ＭＳ Ｐゴシック"/>
        <family val="3"/>
        <charset val="128"/>
      </rPr>
      <t>参照</t>
    </r>
    <r>
      <rPr>
        <sz val="9"/>
        <rFont val="Arial"/>
        <family val="2"/>
      </rPr>
      <t xml:space="preserve"> </t>
    </r>
    <r>
      <rPr>
        <sz val="9"/>
        <rFont val="ＭＳ Ｐゴシック"/>
        <family val="3"/>
        <charset val="128"/>
      </rPr>
      <t>　</t>
    </r>
    <r>
      <rPr>
        <sz val="9"/>
        <rFont val="Arial"/>
        <family val="2"/>
      </rPr>
      <t>*5</t>
    </r>
  </si>
  <si>
    <r>
      <t>非コート紙</t>
    </r>
    <r>
      <rPr>
        <sz val="9"/>
        <rFont val="Arial"/>
        <family val="2"/>
      </rPr>
      <t xml:space="preserve">  52</t>
    </r>
    <r>
      <rPr>
        <sz val="9"/>
        <rFont val="ＭＳ Ｐゴシック"/>
        <family val="3"/>
        <charset val="128"/>
      </rPr>
      <t>～</t>
    </r>
    <r>
      <rPr>
        <sz val="9"/>
        <rFont val="Arial"/>
        <family val="2"/>
      </rPr>
      <t xml:space="preserve">  80 gsm</t>
    </r>
    <r>
      <rPr>
        <sz val="9"/>
        <rFont val="ＭＳ Ｐゴシック"/>
        <family val="3"/>
        <charset val="128"/>
      </rPr>
      <t>の換算枚数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</si>
  <si>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t>"100"</t>
  </si>
  <si>
    <t>"153"</t>
  </si>
  <si>
    <r>
      <t>非コート紙</t>
    </r>
    <r>
      <rPr>
        <sz val="9"/>
        <rFont val="Arial"/>
        <family val="2"/>
      </rPr>
      <t xml:space="preserve">  81</t>
    </r>
    <r>
      <rPr>
        <sz val="9"/>
        <rFont val="ＭＳ Ｐゴシック"/>
        <family val="3"/>
        <charset val="128"/>
      </rPr>
      <t>～</t>
    </r>
    <r>
      <rPr>
        <sz val="9"/>
        <rFont val="Arial"/>
        <family val="2"/>
      </rPr>
      <t xml:space="preserve">  90 gsm</t>
    </r>
    <r>
      <rPr>
        <sz val="9"/>
        <rFont val="ＭＳ Ｐゴシック"/>
        <family val="3"/>
        <charset val="128"/>
      </rPr>
      <t>の換算枚数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</si>
  <si>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非コート紙</t>
    </r>
    <r>
      <rPr>
        <sz val="9"/>
        <rFont val="Arial"/>
        <family val="2"/>
      </rPr>
      <t xml:space="preserve">  91</t>
    </r>
    <r>
      <rPr>
        <sz val="9"/>
        <rFont val="ＭＳ Ｐゴシック"/>
        <family val="3"/>
        <charset val="128"/>
      </rPr>
      <t>～</t>
    </r>
    <r>
      <rPr>
        <sz val="9"/>
        <rFont val="Arial"/>
        <family val="2"/>
      </rPr>
      <t xml:space="preserve"> 105 gsm</t>
    </r>
    <r>
      <rPr>
        <sz val="9"/>
        <rFont val="ＭＳ Ｐゴシック"/>
        <family val="3"/>
        <charset val="128"/>
      </rPr>
      <t>の換算枚数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</si>
  <si>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t>"200"</t>
  </si>
  <si>
    <r>
      <t>非コート紙</t>
    </r>
    <r>
      <rPr>
        <sz val="9"/>
        <rFont val="Arial"/>
        <family val="2"/>
      </rPr>
      <t>106</t>
    </r>
    <r>
      <rPr>
        <sz val="9"/>
        <rFont val="ＭＳ Ｐゴシック"/>
        <family val="3"/>
        <charset val="128"/>
      </rPr>
      <t>～</t>
    </r>
    <r>
      <rPr>
        <sz val="9"/>
        <rFont val="Arial"/>
        <family val="2"/>
      </rPr>
      <t xml:space="preserve"> 128 gsm</t>
    </r>
    <r>
      <rPr>
        <sz val="9"/>
        <rFont val="ＭＳ Ｐゴシック"/>
        <family val="3"/>
        <charset val="128"/>
      </rPr>
      <t>の換算枚数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</si>
  <si>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t>"220"</t>
  </si>
  <si>
    <r>
      <t>非コート紙</t>
    </r>
    <r>
      <rPr>
        <sz val="9"/>
        <rFont val="Arial"/>
        <family val="2"/>
      </rPr>
      <t>129</t>
    </r>
    <r>
      <rPr>
        <sz val="9"/>
        <rFont val="ＭＳ Ｐゴシック"/>
        <family val="3"/>
        <charset val="128"/>
      </rPr>
      <t>～</t>
    </r>
    <r>
      <rPr>
        <sz val="9"/>
        <rFont val="Arial"/>
        <family val="2"/>
      </rPr>
      <t xml:space="preserve"> 150 gsm</t>
    </r>
    <r>
      <rPr>
        <sz val="9"/>
        <rFont val="ＭＳ Ｐゴシック"/>
        <family val="3"/>
        <charset val="128"/>
      </rPr>
      <t>の換算枚数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</si>
  <si>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t>"500"</t>
  </si>
  <si>
    <r>
      <t>非コート紙</t>
    </r>
    <r>
      <rPr>
        <sz val="9"/>
        <rFont val="Arial"/>
        <family val="2"/>
      </rPr>
      <t>151</t>
    </r>
    <r>
      <rPr>
        <sz val="9"/>
        <rFont val="ＭＳ Ｐゴシック"/>
        <family val="3"/>
        <charset val="128"/>
      </rPr>
      <t>～</t>
    </r>
    <r>
      <rPr>
        <sz val="9"/>
        <rFont val="Arial"/>
        <family val="2"/>
      </rPr>
      <t xml:space="preserve"> 176 gsm</t>
    </r>
    <r>
      <rPr>
        <sz val="9"/>
        <rFont val="ＭＳ Ｐゴシック"/>
        <family val="3"/>
        <charset val="128"/>
      </rPr>
      <t>の換算枚数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</si>
  <si>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非コート紙</t>
    </r>
    <r>
      <rPr>
        <sz val="9"/>
        <rFont val="Arial"/>
        <family val="2"/>
      </rPr>
      <t>177</t>
    </r>
    <r>
      <rPr>
        <sz val="9"/>
        <rFont val="ＭＳ Ｐゴシック"/>
        <family val="3"/>
        <charset val="128"/>
      </rPr>
      <t>～</t>
    </r>
    <r>
      <rPr>
        <sz val="9"/>
        <rFont val="Arial"/>
        <family val="2"/>
      </rPr>
      <t xml:space="preserve"> 220 gsm</t>
    </r>
    <r>
      <rPr>
        <sz val="9"/>
        <rFont val="ＭＳ Ｐゴシック"/>
        <family val="3"/>
        <charset val="128"/>
      </rPr>
      <t>の換算枚数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</si>
  <si>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非コート紙</t>
    </r>
    <r>
      <rPr>
        <sz val="9"/>
        <rFont val="Arial"/>
        <family val="2"/>
      </rPr>
      <t>221</t>
    </r>
    <r>
      <rPr>
        <sz val="9"/>
        <rFont val="ＭＳ Ｐゴシック"/>
        <family val="3"/>
        <charset val="128"/>
      </rPr>
      <t>～</t>
    </r>
    <r>
      <rPr>
        <sz val="9"/>
        <rFont val="Arial"/>
        <family val="2"/>
      </rPr>
      <t xml:space="preserve"> 256 gsm</t>
    </r>
    <r>
      <rPr>
        <sz val="9"/>
        <rFont val="ＭＳ Ｐゴシック"/>
        <family val="3"/>
        <charset val="128"/>
      </rPr>
      <t>の換算枚数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</si>
  <si>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非コート紙</t>
    </r>
    <r>
      <rPr>
        <sz val="9"/>
        <rFont val="Arial"/>
        <family val="2"/>
      </rPr>
      <t>257</t>
    </r>
    <r>
      <rPr>
        <sz val="9"/>
        <rFont val="ＭＳ Ｐゴシック"/>
        <family val="3"/>
        <charset val="128"/>
      </rPr>
      <t>～</t>
    </r>
    <r>
      <rPr>
        <sz val="9"/>
        <rFont val="Arial"/>
        <family val="2"/>
      </rPr>
      <t xml:space="preserve"> 300 gsm</t>
    </r>
    <r>
      <rPr>
        <sz val="9"/>
        <rFont val="ＭＳ Ｐゴシック"/>
        <family val="3"/>
        <charset val="128"/>
      </rPr>
      <t>の換算枚数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</si>
  <si>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非コート紙</t>
    </r>
    <r>
      <rPr>
        <sz val="9"/>
        <rFont val="Arial"/>
        <family val="2"/>
      </rPr>
      <t>301</t>
    </r>
    <r>
      <rPr>
        <sz val="9"/>
        <rFont val="ＭＳ Ｐゴシック"/>
        <family val="3"/>
        <charset val="128"/>
      </rPr>
      <t>～</t>
    </r>
    <r>
      <rPr>
        <sz val="9"/>
        <rFont val="Arial"/>
        <family val="2"/>
      </rPr>
      <t xml:space="preserve"> 350 gsm</t>
    </r>
    <r>
      <rPr>
        <sz val="9"/>
        <rFont val="ＭＳ Ｐゴシック"/>
        <family val="3"/>
        <charset val="128"/>
      </rPr>
      <t>の換算枚数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</si>
  <si>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非コート紙</t>
    </r>
    <r>
      <rPr>
        <sz val="9"/>
        <rFont val="Arial"/>
        <family val="2"/>
      </rPr>
      <t>351</t>
    </r>
    <r>
      <rPr>
        <sz val="9"/>
        <rFont val="ＭＳ Ｐゴシック"/>
        <family val="3"/>
        <charset val="128"/>
      </rPr>
      <t>～</t>
    </r>
    <r>
      <rPr>
        <sz val="9"/>
        <rFont val="Arial"/>
        <family val="2"/>
      </rPr>
      <t>1023 gsm</t>
    </r>
    <r>
      <rPr>
        <sz val="9"/>
        <rFont val="ＭＳ Ｐゴシック"/>
        <family val="3"/>
        <charset val="128"/>
      </rPr>
      <t>の換算枚数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</si>
  <si>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コート紙</t>
    </r>
    <r>
      <rPr>
        <sz val="9"/>
        <rFont val="Arial"/>
        <family val="2"/>
      </rPr>
      <t xml:space="preserve">    </t>
    </r>
    <r>
      <rPr>
        <sz val="9"/>
        <rFont val="ＭＳ Ｐゴシック"/>
        <family val="3"/>
        <charset val="128"/>
      </rPr>
      <t>～</t>
    </r>
    <r>
      <rPr>
        <sz val="9"/>
        <rFont val="Arial"/>
        <family val="2"/>
      </rPr>
      <t xml:space="preserve">  51 gsm</t>
    </r>
    <r>
      <rPr>
        <sz val="9"/>
        <rFont val="ＭＳ Ｐゴシック"/>
        <family val="3"/>
        <charset val="128"/>
      </rPr>
      <t>の換算枚数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</si>
  <si>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コート紙</t>
    </r>
    <r>
      <rPr>
        <sz val="9"/>
        <rFont val="Arial"/>
        <family val="2"/>
      </rPr>
      <t xml:space="preserve">  52</t>
    </r>
    <r>
      <rPr>
        <sz val="9"/>
        <rFont val="ＭＳ Ｐゴシック"/>
        <family val="3"/>
        <charset val="128"/>
      </rPr>
      <t>～</t>
    </r>
    <r>
      <rPr>
        <sz val="9"/>
        <rFont val="Arial"/>
        <family val="2"/>
      </rPr>
      <t xml:space="preserve">  80 gsm</t>
    </r>
    <r>
      <rPr>
        <sz val="9"/>
        <rFont val="ＭＳ Ｐゴシック"/>
        <family val="3"/>
        <charset val="128"/>
      </rPr>
      <t>の換算枚数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</si>
  <si>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t>"285"</t>
  </si>
  <si>
    <r>
      <t>コート紙</t>
    </r>
    <r>
      <rPr>
        <sz val="9"/>
        <rFont val="Arial"/>
        <family val="2"/>
      </rPr>
      <t xml:space="preserve">  81</t>
    </r>
    <r>
      <rPr>
        <sz val="9"/>
        <rFont val="ＭＳ Ｐゴシック"/>
        <family val="3"/>
        <charset val="128"/>
      </rPr>
      <t>～</t>
    </r>
    <r>
      <rPr>
        <sz val="9"/>
        <rFont val="Arial"/>
        <family val="2"/>
      </rPr>
      <t xml:space="preserve">  90 gsm</t>
    </r>
    <r>
      <rPr>
        <sz val="9"/>
        <rFont val="ＭＳ Ｐゴシック"/>
        <family val="3"/>
        <charset val="128"/>
      </rPr>
      <t>の換算枚数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</si>
  <si>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コート紙</t>
    </r>
    <r>
      <rPr>
        <sz val="9"/>
        <rFont val="Arial"/>
        <family val="2"/>
      </rPr>
      <t xml:space="preserve">  91</t>
    </r>
    <r>
      <rPr>
        <sz val="9"/>
        <rFont val="ＭＳ Ｐゴシック"/>
        <family val="3"/>
        <charset val="128"/>
      </rPr>
      <t>～</t>
    </r>
    <r>
      <rPr>
        <sz val="9"/>
        <rFont val="Arial"/>
        <family val="2"/>
      </rPr>
      <t xml:space="preserve"> 105 gsm</t>
    </r>
    <r>
      <rPr>
        <sz val="9"/>
        <rFont val="ＭＳ Ｐゴシック"/>
        <family val="3"/>
        <charset val="128"/>
      </rPr>
      <t>の換算枚数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</si>
  <si>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t>"330"</t>
  </si>
  <si>
    <r>
      <t>コート紙</t>
    </r>
    <r>
      <rPr>
        <sz val="9"/>
        <rFont val="Arial"/>
        <family val="2"/>
      </rPr>
      <t>106</t>
    </r>
    <r>
      <rPr>
        <sz val="9"/>
        <rFont val="ＭＳ Ｐゴシック"/>
        <family val="3"/>
        <charset val="128"/>
      </rPr>
      <t>～</t>
    </r>
    <r>
      <rPr>
        <sz val="9"/>
        <rFont val="Arial"/>
        <family val="2"/>
      </rPr>
      <t xml:space="preserve"> 128 gsm</t>
    </r>
    <r>
      <rPr>
        <sz val="9"/>
        <rFont val="ＭＳ Ｐゴシック"/>
        <family val="3"/>
        <charset val="128"/>
      </rPr>
      <t>の換算枚数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</si>
  <si>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コート紙</t>
    </r>
    <r>
      <rPr>
        <sz val="9"/>
        <rFont val="Arial"/>
        <family val="2"/>
      </rPr>
      <t>129</t>
    </r>
    <r>
      <rPr>
        <sz val="9"/>
        <rFont val="ＭＳ Ｐゴシック"/>
        <family val="3"/>
        <charset val="128"/>
      </rPr>
      <t>～</t>
    </r>
    <r>
      <rPr>
        <sz val="9"/>
        <rFont val="Arial"/>
        <family val="2"/>
      </rPr>
      <t xml:space="preserve"> 150 gsm</t>
    </r>
    <r>
      <rPr>
        <sz val="9"/>
        <rFont val="ＭＳ Ｐゴシック"/>
        <family val="3"/>
        <charset val="128"/>
      </rPr>
      <t>の換算枚数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</si>
  <si>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コート紙</t>
    </r>
    <r>
      <rPr>
        <sz val="9"/>
        <rFont val="Arial"/>
        <family val="2"/>
      </rPr>
      <t>151</t>
    </r>
    <r>
      <rPr>
        <sz val="9"/>
        <rFont val="ＭＳ Ｐゴシック"/>
        <family val="3"/>
        <charset val="128"/>
      </rPr>
      <t>～</t>
    </r>
    <r>
      <rPr>
        <sz val="9"/>
        <rFont val="Arial"/>
        <family val="2"/>
      </rPr>
      <t xml:space="preserve"> 176 gsm</t>
    </r>
    <r>
      <rPr>
        <sz val="9"/>
        <rFont val="ＭＳ Ｐゴシック"/>
        <family val="3"/>
        <charset val="128"/>
      </rPr>
      <t>の換算枚数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</si>
  <si>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コート紙</t>
    </r>
    <r>
      <rPr>
        <sz val="9"/>
        <rFont val="Arial"/>
        <family val="2"/>
      </rPr>
      <t>177</t>
    </r>
    <r>
      <rPr>
        <sz val="9"/>
        <rFont val="ＭＳ Ｐゴシック"/>
        <family val="3"/>
        <charset val="128"/>
      </rPr>
      <t>～</t>
    </r>
    <r>
      <rPr>
        <sz val="9"/>
        <rFont val="Arial"/>
        <family val="2"/>
      </rPr>
      <t xml:space="preserve"> 220 gsm</t>
    </r>
    <r>
      <rPr>
        <sz val="9"/>
        <rFont val="ＭＳ Ｐゴシック"/>
        <family val="3"/>
        <charset val="128"/>
      </rPr>
      <t>の換算枚数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</si>
  <si>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コート紙</t>
    </r>
    <r>
      <rPr>
        <sz val="9"/>
        <rFont val="Arial"/>
        <family val="2"/>
      </rPr>
      <t>221</t>
    </r>
    <r>
      <rPr>
        <sz val="9"/>
        <rFont val="ＭＳ Ｐゴシック"/>
        <family val="3"/>
        <charset val="128"/>
      </rPr>
      <t>～</t>
    </r>
    <r>
      <rPr>
        <sz val="9"/>
        <rFont val="Arial"/>
        <family val="2"/>
      </rPr>
      <t xml:space="preserve"> 256 gsm</t>
    </r>
    <r>
      <rPr>
        <sz val="9"/>
        <rFont val="ＭＳ Ｐゴシック"/>
        <family val="3"/>
        <charset val="128"/>
      </rPr>
      <t>の換算枚数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</si>
  <si>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コート紙</t>
    </r>
    <r>
      <rPr>
        <sz val="9"/>
        <rFont val="Arial"/>
        <family val="2"/>
      </rPr>
      <t>257</t>
    </r>
    <r>
      <rPr>
        <sz val="9"/>
        <rFont val="ＭＳ Ｐゴシック"/>
        <family val="3"/>
        <charset val="128"/>
      </rPr>
      <t>～</t>
    </r>
    <r>
      <rPr>
        <sz val="9"/>
        <rFont val="Arial"/>
        <family val="2"/>
      </rPr>
      <t xml:space="preserve"> 300 gsm</t>
    </r>
    <r>
      <rPr>
        <sz val="9"/>
        <rFont val="ＭＳ Ｐゴシック"/>
        <family val="3"/>
        <charset val="128"/>
      </rPr>
      <t>の換算枚数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</si>
  <si>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コート紙</t>
    </r>
    <r>
      <rPr>
        <sz val="9"/>
        <rFont val="Arial"/>
        <family val="2"/>
      </rPr>
      <t>301</t>
    </r>
    <r>
      <rPr>
        <sz val="9"/>
        <rFont val="ＭＳ Ｐゴシック"/>
        <family val="3"/>
        <charset val="128"/>
      </rPr>
      <t>～</t>
    </r>
    <r>
      <rPr>
        <sz val="9"/>
        <rFont val="Arial"/>
        <family val="2"/>
      </rPr>
      <t xml:space="preserve"> 350 gsm</t>
    </r>
    <r>
      <rPr>
        <sz val="9"/>
        <rFont val="ＭＳ Ｐゴシック"/>
        <family val="3"/>
        <charset val="128"/>
      </rPr>
      <t>の換算枚数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</si>
  <si>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コート紙</t>
    </r>
    <r>
      <rPr>
        <sz val="9"/>
        <rFont val="Arial"/>
        <family val="2"/>
      </rPr>
      <t>351</t>
    </r>
    <r>
      <rPr>
        <sz val="9"/>
        <rFont val="ＭＳ Ｐゴシック"/>
        <family val="3"/>
        <charset val="128"/>
      </rPr>
      <t>～</t>
    </r>
    <r>
      <rPr>
        <sz val="9"/>
        <rFont val="Arial"/>
        <family val="2"/>
      </rPr>
      <t>1023 gsm</t>
    </r>
    <r>
      <rPr>
        <sz val="9"/>
        <rFont val="ＭＳ Ｐゴシック"/>
        <family val="3"/>
        <charset val="128"/>
      </rPr>
      <t>の換算枚数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</si>
  <si>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1</t>
    </r>
    <r>
      <rPr>
        <sz val="9"/>
        <rFont val="ＭＳ Ｐゴシック"/>
        <family val="3"/>
        <charset val="128"/>
      </rPr>
      <t>セットの最大用紙枚数</t>
    </r>
  </si>
  <si>
    <t>*2</t>
  </si>
  <si>
    <r>
      <t>Z</t>
    </r>
    <r>
      <rPr>
        <sz val="9"/>
        <rFont val="ＭＳ Ｐゴシック"/>
        <family val="3"/>
        <charset val="128"/>
      </rPr>
      <t>折り換算枚数</t>
    </r>
    <r>
      <rPr>
        <sz val="9"/>
        <rFont val="Arial"/>
        <family val="2"/>
      </rPr>
      <t>(A3 SEF/11x17 SEF)</t>
    </r>
  </si>
  <si>
    <t>*4</t>
  </si>
  <si>
    <r>
      <t>Z</t>
    </r>
    <r>
      <rPr>
        <sz val="9"/>
        <rFont val="ＭＳ Ｐゴシック"/>
        <family val="3"/>
        <charset val="128"/>
      </rPr>
      <t>折り換算枚数</t>
    </r>
    <r>
      <rPr>
        <sz val="9"/>
        <rFont val="Arial"/>
        <family val="2"/>
      </rPr>
      <t>(A3 SEF/11x17 SEF</t>
    </r>
    <r>
      <rPr>
        <sz val="9"/>
        <rFont val="ＭＳ Ｐゴシック"/>
        <family val="3"/>
        <charset val="128"/>
      </rPr>
      <t>以外</t>
    </r>
    <r>
      <rPr>
        <sz val="9"/>
        <rFont val="Arial"/>
        <family val="2"/>
      </rPr>
      <t>)</t>
    </r>
  </si>
  <si>
    <r>
      <t>非コート紙</t>
    </r>
    <r>
      <rPr>
        <sz val="9"/>
        <rFont val="Arial"/>
        <family val="2"/>
      </rPr>
      <t xml:space="preserve">    </t>
    </r>
    <r>
      <rPr>
        <sz val="9"/>
        <rFont val="ＭＳ Ｐゴシック"/>
        <family val="3"/>
        <charset val="128"/>
      </rPr>
      <t>～</t>
    </r>
    <r>
      <rPr>
        <sz val="9"/>
        <rFont val="Arial"/>
        <family val="2"/>
      </rPr>
      <t xml:space="preserve">  51 gsm</t>
    </r>
    <r>
      <rPr>
        <sz val="9"/>
        <rFont val="ＭＳ Ｐゴシック"/>
        <family val="3"/>
        <charset val="128"/>
      </rPr>
      <t>の最大用紙枚数</t>
    </r>
  </si>
  <si>
    <r>
      <t>"0</t>
    </r>
    <r>
      <rPr>
        <sz val="9"/>
        <rFont val="ＭＳ Ｐゴシック"/>
        <family val="3"/>
        <charset val="128"/>
      </rPr>
      <t>枚</t>
    </r>
    <r>
      <rPr>
        <sz val="9"/>
        <rFont val="Arial"/>
        <family val="2"/>
      </rPr>
      <t>"</t>
    </r>
  </si>
  <si>
    <t>*6</t>
  </si>
  <si>
    <r>
      <t>非コート紙</t>
    </r>
    <r>
      <rPr>
        <sz val="9"/>
        <rFont val="Arial"/>
        <family val="2"/>
      </rPr>
      <t xml:space="preserve">  52</t>
    </r>
    <r>
      <rPr>
        <sz val="9"/>
        <rFont val="ＭＳ Ｐゴシック"/>
        <family val="3"/>
        <charset val="128"/>
      </rPr>
      <t>～</t>
    </r>
    <r>
      <rPr>
        <sz val="9"/>
        <rFont val="Arial"/>
        <family val="2"/>
      </rPr>
      <t xml:space="preserve">  80 gsm</t>
    </r>
    <r>
      <rPr>
        <sz val="9"/>
        <rFont val="ＭＳ Ｐゴシック"/>
        <family val="3"/>
        <charset val="128"/>
      </rPr>
      <t>の最大用紙枚数</t>
    </r>
  </si>
  <si>
    <r>
      <t>非コート紙</t>
    </r>
    <r>
      <rPr>
        <sz val="9"/>
        <rFont val="Arial"/>
        <family val="2"/>
      </rPr>
      <t xml:space="preserve">  81</t>
    </r>
    <r>
      <rPr>
        <sz val="9"/>
        <rFont val="ＭＳ Ｐゴシック"/>
        <family val="3"/>
        <charset val="128"/>
      </rPr>
      <t>～</t>
    </r>
    <r>
      <rPr>
        <sz val="9"/>
        <rFont val="Arial"/>
        <family val="2"/>
      </rPr>
      <t xml:space="preserve">  90 gsm</t>
    </r>
    <r>
      <rPr>
        <sz val="9"/>
        <rFont val="ＭＳ Ｐゴシック"/>
        <family val="3"/>
        <charset val="128"/>
      </rPr>
      <t>の最大用紙枚数</t>
    </r>
  </si>
  <si>
    <r>
      <t>非コート紙</t>
    </r>
    <r>
      <rPr>
        <sz val="9"/>
        <rFont val="Arial"/>
        <family val="2"/>
      </rPr>
      <t xml:space="preserve">  91</t>
    </r>
    <r>
      <rPr>
        <sz val="9"/>
        <rFont val="ＭＳ Ｐゴシック"/>
        <family val="3"/>
        <charset val="128"/>
      </rPr>
      <t>～</t>
    </r>
    <r>
      <rPr>
        <sz val="9"/>
        <rFont val="Arial"/>
        <family val="2"/>
      </rPr>
      <t xml:space="preserve"> 105 gsm</t>
    </r>
    <r>
      <rPr>
        <sz val="9"/>
        <rFont val="ＭＳ Ｐゴシック"/>
        <family val="3"/>
        <charset val="128"/>
      </rPr>
      <t>の最大用紙枚数</t>
    </r>
  </si>
  <si>
    <r>
      <t>非コート紙</t>
    </r>
    <r>
      <rPr>
        <sz val="9"/>
        <rFont val="Arial"/>
        <family val="2"/>
      </rPr>
      <t>106</t>
    </r>
    <r>
      <rPr>
        <sz val="9"/>
        <rFont val="ＭＳ Ｐゴシック"/>
        <family val="3"/>
        <charset val="128"/>
      </rPr>
      <t>～</t>
    </r>
    <r>
      <rPr>
        <sz val="9"/>
        <rFont val="Arial"/>
        <family val="2"/>
      </rPr>
      <t xml:space="preserve"> 128 gsm</t>
    </r>
    <r>
      <rPr>
        <sz val="9"/>
        <rFont val="ＭＳ Ｐゴシック"/>
        <family val="3"/>
        <charset val="128"/>
      </rPr>
      <t>の最大用紙枚数</t>
    </r>
  </si>
  <si>
    <r>
      <t>"45</t>
    </r>
    <r>
      <rPr>
        <sz val="9"/>
        <rFont val="ＭＳ Ｐゴシック"/>
        <family val="3"/>
        <charset val="128"/>
      </rPr>
      <t>枚</t>
    </r>
    <r>
      <rPr>
        <sz val="9"/>
        <rFont val="Arial"/>
        <family val="2"/>
      </rPr>
      <t>"</t>
    </r>
  </si>
  <si>
    <r>
      <t>非コート紙</t>
    </r>
    <r>
      <rPr>
        <sz val="9"/>
        <rFont val="Arial"/>
        <family val="2"/>
      </rPr>
      <t>129</t>
    </r>
    <r>
      <rPr>
        <sz val="9"/>
        <rFont val="ＭＳ Ｐゴシック"/>
        <family val="3"/>
        <charset val="128"/>
      </rPr>
      <t>～</t>
    </r>
    <r>
      <rPr>
        <sz val="9"/>
        <rFont val="Arial"/>
        <family val="2"/>
      </rPr>
      <t xml:space="preserve"> 150 gsm</t>
    </r>
    <r>
      <rPr>
        <sz val="9"/>
        <rFont val="ＭＳ Ｐゴシック"/>
        <family val="3"/>
        <charset val="128"/>
      </rPr>
      <t>の最大用紙枚数</t>
    </r>
  </si>
  <si>
    <r>
      <t>非コート紙</t>
    </r>
    <r>
      <rPr>
        <sz val="9"/>
        <rFont val="Arial"/>
        <family val="2"/>
      </rPr>
      <t>151</t>
    </r>
    <r>
      <rPr>
        <sz val="9"/>
        <rFont val="ＭＳ Ｐゴシック"/>
        <family val="3"/>
        <charset val="128"/>
      </rPr>
      <t>～</t>
    </r>
    <r>
      <rPr>
        <sz val="9"/>
        <rFont val="Arial"/>
        <family val="2"/>
      </rPr>
      <t xml:space="preserve"> 176 gsm</t>
    </r>
    <r>
      <rPr>
        <sz val="9"/>
        <rFont val="ＭＳ Ｐゴシック"/>
        <family val="3"/>
        <charset val="128"/>
      </rPr>
      <t>の最大用紙枚数</t>
    </r>
  </si>
  <si>
    <r>
      <t>非コート紙</t>
    </r>
    <r>
      <rPr>
        <sz val="9"/>
        <rFont val="Arial"/>
        <family val="2"/>
      </rPr>
      <t>177</t>
    </r>
    <r>
      <rPr>
        <sz val="9"/>
        <rFont val="ＭＳ Ｐゴシック"/>
        <family val="3"/>
        <charset val="128"/>
      </rPr>
      <t>～</t>
    </r>
    <r>
      <rPr>
        <sz val="9"/>
        <rFont val="Arial"/>
        <family val="2"/>
      </rPr>
      <t xml:space="preserve"> 220 gsm</t>
    </r>
    <r>
      <rPr>
        <sz val="9"/>
        <rFont val="ＭＳ Ｐゴシック"/>
        <family val="3"/>
        <charset val="128"/>
      </rPr>
      <t>の最大用紙枚数</t>
    </r>
  </si>
  <si>
    <r>
      <t>非コート紙</t>
    </r>
    <r>
      <rPr>
        <sz val="9"/>
        <rFont val="Arial"/>
        <family val="2"/>
      </rPr>
      <t>221</t>
    </r>
    <r>
      <rPr>
        <sz val="9"/>
        <rFont val="ＭＳ Ｐゴシック"/>
        <family val="3"/>
        <charset val="128"/>
      </rPr>
      <t>～</t>
    </r>
    <r>
      <rPr>
        <sz val="9"/>
        <rFont val="Arial"/>
        <family val="2"/>
      </rPr>
      <t xml:space="preserve"> 256 gsm</t>
    </r>
    <r>
      <rPr>
        <sz val="9"/>
        <rFont val="ＭＳ Ｐゴシック"/>
        <family val="3"/>
        <charset val="128"/>
      </rPr>
      <t>の最大用紙枚数</t>
    </r>
  </si>
  <si>
    <r>
      <t>非コート紙</t>
    </r>
    <r>
      <rPr>
        <sz val="9"/>
        <rFont val="Arial"/>
        <family val="2"/>
      </rPr>
      <t>257</t>
    </r>
    <r>
      <rPr>
        <sz val="9"/>
        <rFont val="ＭＳ Ｐゴシック"/>
        <family val="3"/>
        <charset val="128"/>
      </rPr>
      <t>～</t>
    </r>
    <r>
      <rPr>
        <sz val="9"/>
        <rFont val="Arial"/>
        <family val="2"/>
      </rPr>
      <t xml:space="preserve"> 300 gsm</t>
    </r>
    <r>
      <rPr>
        <sz val="9"/>
        <rFont val="ＭＳ Ｐゴシック"/>
        <family val="3"/>
        <charset val="128"/>
      </rPr>
      <t>の最大用紙枚数</t>
    </r>
  </si>
  <si>
    <r>
      <t>10</t>
    </r>
    <r>
      <rPr>
        <sz val="9"/>
        <rFont val="ＭＳ Ｐゴシック"/>
        <family val="3"/>
        <charset val="128"/>
      </rPr>
      <t>枚</t>
    </r>
    <r>
      <rPr>
        <sz val="9"/>
        <rFont val="Arial"/>
        <family val="2"/>
      </rPr>
      <t>"</t>
    </r>
  </si>
  <si>
    <r>
      <t>非コート紙</t>
    </r>
    <r>
      <rPr>
        <sz val="9"/>
        <rFont val="Arial"/>
        <family val="2"/>
      </rPr>
      <t>301</t>
    </r>
    <r>
      <rPr>
        <sz val="9"/>
        <rFont val="ＭＳ Ｐゴシック"/>
        <family val="3"/>
        <charset val="128"/>
      </rPr>
      <t>～</t>
    </r>
    <r>
      <rPr>
        <sz val="9"/>
        <rFont val="Arial"/>
        <family val="2"/>
      </rPr>
      <t xml:space="preserve"> 350 gsm</t>
    </r>
    <r>
      <rPr>
        <sz val="9"/>
        <rFont val="ＭＳ Ｐゴシック"/>
        <family val="3"/>
        <charset val="128"/>
      </rPr>
      <t>の最大用紙枚数</t>
    </r>
  </si>
  <si>
    <r>
      <t>非コート紙</t>
    </r>
    <r>
      <rPr>
        <sz val="9"/>
        <rFont val="Arial"/>
        <family val="2"/>
      </rPr>
      <t>351</t>
    </r>
    <r>
      <rPr>
        <sz val="9"/>
        <rFont val="ＭＳ Ｐゴシック"/>
        <family val="3"/>
        <charset val="128"/>
      </rPr>
      <t>～</t>
    </r>
    <r>
      <rPr>
        <sz val="9"/>
        <rFont val="Arial"/>
        <family val="2"/>
      </rPr>
      <t>1023 gsm</t>
    </r>
    <r>
      <rPr>
        <sz val="9"/>
        <rFont val="ＭＳ Ｐゴシック"/>
        <family val="3"/>
        <charset val="128"/>
      </rPr>
      <t>の最大用紙枚数</t>
    </r>
  </si>
  <si>
    <r>
      <t>コート紙</t>
    </r>
    <r>
      <rPr>
        <sz val="9"/>
        <rFont val="Arial"/>
        <family val="2"/>
      </rPr>
      <t xml:space="preserve">    </t>
    </r>
    <r>
      <rPr>
        <sz val="9"/>
        <rFont val="ＭＳ Ｐゴシック"/>
        <family val="3"/>
        <charset val="128"/>
      </rPr>
      <t>～</t>
    </r>
    <r>
      <rPr>
        <sz val="9"/>
        <rFont val="Arial"/>
        <family val="2"/>
      </rPr>
      <t xml:space="preserve">  51 gsm</t>
    </r>
    <r>
      <rPr>
        <sz val="9"/>
        <rFont val="ＭＳ Ｐゴシック"/>
        <family val="3"/>
        <charset val="128"/>
      </rPr>
      <t>の最大用紙枚数</t>
    </r>
  </si>
  <si>
    <r>
      <t>コート紙</t>
    </r>
    <r>
      <rPr>
        <sz val="9"/>
        <rFont val="Arial"/>
        <family val="2"/>
      </rPr>
      <t xml:space="preserve">  52</t>
    </r>
    <r>
      <rPr>
        <sz val="9"/>
        <rFont val="ＭＳ Ｐゴシック"/>
        <family val="3"/>
        <charset val="128"/>
      </rPr>
      <t>～</t>
    </r>
    <r>
      <rPr>
        <sz val="9"/>
        <rFont val="Arial"/>
        <family val="2"/>
      </rPr>
      <t xml:space="preserve">  80 gsm</t>
    </r>
    <r>
      <rPr>
        <sz val="9"/>
        <rFont val="ＭＳ Ｐゴシック"/>
        <family val="3"/>
        <charset val="128"/>
      </rPr>
      <t>の最大用紙枚数</t>
    </r>
  </si>
  <si>
    <r>
      <t>"35</t>
    </r>
    <r>
      <rPr>
        <sz val="9"/>
        <rFont val="ＭＳ Ｐゴシック"/>
        <family val="3"/>
        <charset val="128"/>
      </rPr>
      <t>枚</t>
    </r>
    <r>
      <rPr>
        <sz val="9"/>
        <rFont val="Arial"/>
        <family val="2"/>
      </rPr>
      <t>"</t>
    </r>
  </si>
  <si>
    <r>
      <t>コート紙</t>
    </r>
    <r>
      <rPr>
        <sz val="9"/>
        <rFont val="Arial"/>
        <family val="2"/>
      </rPr>
      <t xml:space="preserve">  81</t>
    </r>
    <r>
      <rPr>
        <sz val="9"/>
        <rFont val="ＭＳ Ｐゴシック"/>
        <family val="3"/>
        <charset val="128"/>
      </rPr>
      <t>～</t>
    </r>
    <r>
      <rPr>
        <sz val="9"/>
        <rFont val="Arial"/>
        <family val="2"/>
      </rPr>
      <t xml:space="preserve">  90 gsm</t>
    </r>
    <r>
      <rPr>
        <sz val="9"/>
        <rFont val="ＭＳ Ｐゴシック"/>
        <family val="3"/>
        <charset val="128"/>
      </rPr>
      <t>の最大用紙枚数</t>
    </r>
  </si>
  <si>
    <r>
      <t>コート紙</t>
    </r>
    <r>
      <rPr>
        <sz val="9"/>
        <rFont val="Arial"/>
        <family val="2"/>
      </rPr>
      <t xml:space="preserve">  91</t>
    </r>
    <r>
      <rPr>
        <sz val="9"/>
        <rFont val="ＭＳ Ｐゴシック"/>
        <family val="3"/>
        <charset val="128"/>
      </rPr>
      <t>～</t>
    </r>
    <r>
      <rPr>
        <sz val="9"/>
        <rFont val="Arial"/>
        <family val="2"/>
      </rPr>
      <t xml:space="preserve"> 105 gsm</t>
    </r>
    <r>
      <rPr>
        <sz val="9"/>
        <rFont val="ＭＳ Ｐゴシック"/>
        <family val="3"/>
        <charset val="128"/>
      </rPr>
      <t>の最大用紙枚数</t>
    </r>
  </si>
  <si>
    <r>
      <t>コート紙</t>
    </r>
    <r>
      <rPr>
        <sz val="9"/>
        <rFont val="Arial"/>
        <family val="2"/>
      </rPr>
      <t>106</t>
    </r>
    <r>
      <rPr>
        <sz val="9"/>
        <rFont val="ＭＳ Ｐゴシック"/>
        <family val="3"/>
        <charset val="128"/>
      </rPr>
      <t>～</t>
    </r>
    <r>
      <rPr>
        <sz val="9"/>
        <rFont val="Arial"/>
        <family val="2"/>
      </rPr>
      <t xml:space="preserve"> 128 gsm</t>
    </r>
    <r>
      <rPr>
        <sz val="9"/>
        <rFont val="ＭＳ Ｐゴシック"/>
        <family val="3"/>
        <charset val="128"/>
      </rPr>
      <t>の最大用紙枚数</t>
    </r>
  </si>
  <si>
    <r>
      <t>コート紙</t>
    </r>
    <r>
      <rPr>
        <sz val="9"/>
        <rFont val="Arial"/>
        <family val="2"/>
      </rPr>
      <t>129</t>
    </r>
    <r>
      <rPr>
        <sz val="9"/>
        <rFont val="ＭＳ Ｐゴシック"/>
        <family val="3"/>
        <charset val="128"/>
      </rPr>
      <t>～</t>
    </r>
    <r>
      <rPr>
        <sz val="9"/>
        <rFont val="Arial"/>
        <family val="2"/>
      </rPr>
      <t xml:space="preserve"> 150 gsm</t>
    </r>
    <r>
      <rPr>
        <sz val="9"/>
        <rFont val="ＭＳ Ｐゴシック"/>
        <family val="3"/>
        <charset val="128"/>
      </rPr>
      <t>の最大用紙枚数</t>
    </r>
  </si>
  <si>
    <r>
      <t>コート紙</t>
    </r>
    <r>
      <rPr>
        <sz val="9"/>
        <rFont val="Arial"/>
        <family val="2"/>
      </rPr>
      <t>151</t>
    </r>
    <r>
      <rPr>
        <sz val="9"/>
        <rFont val="ＭＳ Ｐゴシック"/>
        <family val="3"/>
        <charset val="128"/>
      </rPr>
      <t>～</t>
    </r>
    <r>
      <rPr>
        <sz val="9"/>
        <rFont val="Arial"/>
        <family val="2"/>
      </rPr>
      <t xml:space="preserve"> 176 gsm</t>
    </r>
    <r>
      <rPr>
        <sz val="9"/>
        <rFont val="ＭＳ Ｐゴシック"/>
        <family val="3"/>
        <charset val="128"/>
      </rPr>
      <t>の最大用紙枚数</t>
    </r>
  </si>
  <si>
    <r>
      <t>コート紙</t>
    </r>
    <r>
      <rPr>
        <sz val="9"/>
        <rFont val="Arial"/>
        <family val="2"/>
      </rPr>
      <t>177</t>
    </r>
    <r>
      <rPr>
        <sz val="9"/>
        <rFont val="ＭＳ Ｐゴシック"/>
        <family val="3"/>
        <charset val="128"/>
      </rPr>
      <t>～</t>
    </r>
    <r>
      <rPr>
        <sz val="9"/>
        <rFont val="Arial"/>
        <family val="2"/>
      </rPr>
      <t xml:space="preserve"> 220 gsm</t>
    </r>
    <r>
      <rPr>
        <sz val="9"/>
        <rFont val="ＭＳ Ｐゴシック"/>
        <family val="3"/>
        <charset val="128"/>
      </rPr>
      <t>の最大用紙枚数</t>
    </r>
  </si>
  <si>
    <r>
      <t>コート紙</t>
    </r>
    <r>
      <rPr>
        <sz val="9"/>
        <rFont val="Arial"/>
        <family val="2"/>
      </rPr>
      <t>221</t>
    </r>
    <r>
      <rPr>
        <sz val="9"/>
        <rFont val="ＭＳ Ｐゴシック"/>
        <family val="3"/>
        <charset val="128"/>
      </rPr>
      <t>～</t>
    </r>
    <r>
      <rPr>
        <sz val="9"/>
        <rFont val="Arial"/>
        <family val="2"/>
      </rPr>
      <t xml:space="preserve"> 256 gsm</t>
    </r>
    <r>
      <rPr>
        <sz val="9"/>
        <rFont val="ＭＳ Ｐゴシック"/>
        <family val="3"/>
        <charset val="128"/>
      </rPr>
      <t>の最大用紙枚数</t>
    </r>
  </si>
  <si>
    <r>
      <t>20</t>
    </r>
    <r>
      <rPr>
        <sz val="9"/>
        <rFont val="ＭＳ Ｐゴシック"/>
        <family val="3"/>
        <charset val="128"/>
      </rPr>
      <t>枚</t>
    </r>
    <r>
      <rPr>
        <sz val="9"/>
        <rFont val="Arial"/>
        <family val="2"/>
      </rPr>
      <t>"</t>
    </r>
  </si>
  <si>
    <r>
      <t>コート紙</t>
    </r>
    <r>
      <rPr>
        <sz val="9"/>
        <rFont val="Arial"/>
        <family val="2"/>
      </rPr>
      <t>257</t>
    </r>
    <r>
      <rPr>
        <sz val="9"/>
        <rFont val="ＭＳ Ｐゴシック"/>
        <family val="3"/>
        <charset val="128"/>
      </rPr>
      <t>～</t>
    </r>
    <r>
      <rPr>
        <sz val="9"/>
        <rFont val="Arial"/>
        <family val="2"/>
      </rPr>
      <t xml:space="preserve"> 300 gsm</t>
    </r>
    <r>
      <rPr>
        <sz val="9"/>
        <rFont val="ＭＳ Ｐゴシック"/>
        <family val="3"/>
        <charset val="128"/>
      </rPr>
      <t>の最大用紙枚数</t>
    </r>
  </si>
  <si>
    <r>
      <t>コート紙</t>
    </r>
    <r>
      <rPr>
        <sz val="9"/>
        <rFont val="Arial"/>
        <family val="2"/>
      </rPr>
      <t>301</t>
    </r>
    <r>
      <rPr>
        <sz val="9"/>
        <rFont val="ＭＳ Ｐゴシック"/>
        <family val="3"/>
        <charset val="128"/>
      </rPr>
      <t>～</t>
    </r>
    <r>
      <rPr>
        <sz val="9"/>
        <rFont val="Arial"/>
        <family val="2"/>
      </rPr>
      <t xml:space="preserve"> 350 gsm</t>
    </r>
    <r>
      <rPr>
        <sz val="9"/>
        <rFont val="ＭＳ Ｐゴシック"/>
        <family val="3"/>
        <charset val="128"/>
      </rPr>
      <t>の最大用紙枚数</t>
    </r>
  </si>
  <si>
    <r>
      <t>コート紙</t>
    </r>
    <r>
      <rPr>
        <sz val="9"/>
        <rFont val="Arial"/>
        <family val="2"/>
      </rPr>
      <t>351</t>
    </r>
    <r>
      <rPr>
        <sz val="9"/>
        <rFont val="ＭＳ Ｐゴシック"/>
        <family val="3"/>
        <charset val="128"/>
      </rPr>
      <t>～</t>
    </r>
    <r>
      <rPr>
        <sz val="9"/>
        <rFont val="Arial"/>
        <family val="2"/>
      </rPr>
      <t>1023 gsm</t>
    </r>
    <r>
      <rPr>
        <sz val="9"/>
        <rFont val="ＭＳ Ｐゴシック"/>
        <family val="3"/>
        <charset val="128"/>
      </rPr>
      <t>の最大用紙枚数</t>
    </r>
  </si>
  <si>
    <t>*1</t>
  </si>
  <si>
    <r>
      <t>単位は</t>
    </r>
    <r>
      <rPr>
        <sz val="9"/>
        <rFont val="Arial"/>
        <family val="2"/>
      </rPr>
      <t>1</t>
    </r>
    <r>
      <rPr>
        <sz val="9"/>
        <rFont val="ＭＳ Ｐゴシック"/>
        <family val="3"/>
        <charset val="128"/>
      </rPr>
      <t>枚。</t>
    </r>
  </si>
  <si>
    <r>
      <t>Controller</t>
    </r>
    <r>
      <rPr>
        <sz val="9"/>
        <rFont val="ＭＳ Ｐゴシック"/>
        <family val="3"/>
        <charset val="128"/>
      </rPr>
      <t>への通知は、</t>
    </r>
    <r>
      <rPr>
        <sz val="9"/>
        <rFont val="Arial"/>
        <family val="2"/>
      </rPr>
      <t>D-Fin</t>
    </r>
    <r>
      <rPr>
        <sz val="9"/>
        <rFont val="ＭＳ Ｐゴシック"/>
        <family val="3"/>
        <charset val="128"/>
      </rPr>
      <t>の場合と同じく</t>
    </r>
    <r>
      <rPr>
        <sz val="9"/>
        <rFont val="Arial"/>
        <family val="2"/>
      </rPr>
      <t>Staple</t>
    </r>
    <r>
      <rPr>
        <sz val="9"/>
        <rFont val="ＭＳ Ｐゴシック"/>
        <family val="3"/>
        <charset val="128"/>
      </rPr>
      <t>可能な一セットと最大用紙枚数と、それの小サイズ用、大サイズ用の最大用紙枚数として通知される。</t>
    </r>
  </si>
  <si>
    <t>*3</t>
  </si>
  <si>
    <r>
      <t>単位は、</t>
    </r>
    <r>
      <rPr>
        <sz val="9"/>
        <rFont val="Arial"/>
        <family val="2"/>
      </rPr>
      <t>0.01</t>
    </r>
    <r>
      <rPr>
        <sz val="9"/>
        <rFont val="ＭＳ Ｐゴシック"/>
        <family val="3"/>
        <charset val="128"/>
      </rPr>
      <t>枚</t>
    </r>
    <r>
      <rPr>
        <sz val="9"/>
        <rFont val="Arial"/>
        <family val="2"/>
      </rPr>
      <t>(</t>
    </r>
    <r>
      <rPr>
        <sz val="9"/>
        <rFont val="ＭＳ Ｐゴシック"/>
        <family val="3"/>
        <charset val="128"/>
      </rPr>
      <t>つまり、</t>
    </r>
    <r>
      <rPr>
        <sz val="9"/>
        <rFont val="Arial"/>
        <family val="2"/>
      </rPr>
      <t>100</t>
    </r>
    <r>
      <rPr>
        <sz val="9"/>
        <rFont val="ＭＳ Ｐゴシック"/>
        <family val="3"/>
        <charset val="128"/>
      </rPr>
      <t>の場合は</t>
    </r>
    <r>
      <rPr>
        <sz val="9"/>
        <rFont val="Arial"/>
        <family val="2"/>
      </rPr>
      <t>1</t>
    </r>
    <r>
      <rPr>
        <sz val="9"/>
        <rFont val="ＭＳ Ｐゴシック"/>
        <family val="3"/>
        <charset val="128"/>
      </rPr>
      <t>枚ということ</t>
    </r>
    <r>
      <rPr>
        <sz val="9"/>
        <rFont val="Arial"/>
        <family val="2"/>
      </rPr>
      <t>)</t>
    </r>
    <r>
      <rPr>
        <sz val="9"/>
        <rFont val="ＭＳ Ｐゴシック"/>
        <family val="3"/>
        <charset val="128"/>
      </rPr>
      <t>。</t>
    </r>
  </si>
  <si>
    <r>
      <t>Controller</t>
    </r>
    <r>
      <rPr>
        <sz val="9"/>
        <rFont val="ＭＳ Ｐゴシック"/>
        <family val="3"/>
        <charset val="128"/>
      </rPr>
      <t>への通知は、</t>
    </r>
    <r>
      <rPr>
        <sz val="9"/>
        <rFont val="Arial"/>
        <family val="2"/>
      </rPr>
      <t>CH-Fin</t>
    </r>
    <r>
      <rPr>
        <sz val="9"/>
        <rFont val="ＭＳ Ｐゴシック"/>
        <family val="3"/>
        <charset val="128"/>
      </rPr>
      <t>や</t>
    </r>
    <r>
      <rPr>
        <sz val="9"/>
        <rFont val="Arial"/>
        <family val="2"/>
      </rPr>
      <t>D-Fin</t>
    </r>
    <r>
      <rPr>
        <sz val="9"/>
        <rFont val="ＭＳ Ｐゴシック"/>
        <family val="3"/>
        <charset val="128"/>
      </rPr>
      <t>の場合と同じく単位は</t>
    </r>
    <r>
      <rPr>
        <sz val="9"/>
        <rFont val="Arial"/>
        <family val="2"/>
      </rPr>
      <t>1</t>
    </r>
    <r>
      <rPr>
        <sz val="9"/>
        <rFont val="ＭＳ Ｐゴシック"/>
        <family val="3"/>
        <charset val="128"/>
      </rPr>
      <t>枚。</t>
    </r>
  </si>
  <si>
    <t>*5</t>
  </si>
  <si>
    <r>
      <t>単位は、</t>
    </r>
    <r>
      <rPr>
        <sz val="9"/>
        <rFont val="Arial"/>
        <family val="2"/>
      </rPr>
      <t>0.01</t>
    </r>
    <r>
      <rPr>
        <sz val="9"/>
        <rFont val="ＭＳ Ｐゴシック"/>
        <family val="3"/>
        <charset val="128"/>
      </rPr>
      <t>枚</t>
    </r>
    <r>
      <rPr>
        <sz val="9"/>
        <rFont val="Arial"/>
        <family val="2"/>
      </rPr>
      <t>(</t>
    </r>
    <r>
      <rPr>
        <sz val="9"/>
        <rFont val="ＭＳ Ｐゴシック"/>
        <family val="3"/>
        <charset val="128"/>
      </rPr>
      <t>つまり、</t>
    </r>
    <r>
      <rPr>
        <sz val="9"/>
        <rFont val="Arial"/>
        <family val="2"/>
      </rPr>
      <t>100</t>
    </r>
    <r>
      <rPr>
        <sz val="9"/>
        <rFont val="ＭＳ Ｐゴシック"/>
        <family val="3"/>
        <charset val="128"/>
      </rPr>
      <t>の場合は</t>
    </r>
    <r>
      <rPr>
        <sz val="9"/>
        <rFont val="Arial"/>
        <family val="2"/>
      </rPr>
      <t>1</t>
    </r>
    <r>
      <rPr>
        <sz val="9"/>
        <rFont val="ＭＳ Ｐゴシック"/>
        <family val="3"/>
        <charset val="128"/>
      </rPr>
      <t>枚ということ</t>
    </r>
    <r>
      <rPr>
        <sz val="9"/>
        <rFont val="Arial"/>
        <family val="2"/>
      </rPr>
      <t>)</t>
    </r>
    <r>
      <rPr>
        <sz val="9"/>
        <rFont val="ＭＳ Ｐゴシック"/>
        <family val="3"/>
        <charset val="128"/>
      </rPr>
      <t>。換算枚数が</t>
    </r>
    <r>
      <rPr>
        <sz val="9"/>
        <rFont val="Arial"/>
        <family val="2"/>
      </rPr>
      <t>0</t>
    </r>
    <r>
      <rPr>
        <sz val="9"/>
        <rFont val="ＭＳ Ｐゴシック"/>
        <family val="3"/>
        <charset val="128"/>
      </rPr>
      <t>のときは</t>
    </r>
    <r>
      <rPr>
        <sz val="9"/>
        <rFont val="Arial"/>
        <family val="2"/>
      </rPr>
      <t>Staple</t>
    </r>
    <r>
      <rPr>
        <sz val="9"/>
        <rFont val="ＭＳ Ｐゴシック"/>
        <family val="3"/>
        <charset val="128"/>
      </rPr>
      <t>不可という意味。</t>
    </r>
  </si>
  <si>
    <r>
      <t>IOT(Finisher)</t>
    </r>
    <r>
      <rPr>
        <sz val="9"/>
        <rFont val="ＭＳ Ｐゴシック"/>
        <family val="3"/>
        <charset val="128"/>
      </rPr>
      <t>の</t>
    </r>
    <r>
      <rPr>
        <sz val="9"/>
        <rFont val="Arial"/>
        <family val="2"/>
      </rPr>
      <t>NVM</t>
    </r>
    <r>
      <rPr>
        <sz val="9"/>
        <rFont val="ＭＳ Ｐゴシック"/>
        <family val="3"/>
        <charset val="128"/>
      </rPr>
      <t>で保持される換算枚数を</t>
    </r>
    <r>
      <rPr>
        <sz val="9"/>
        <rFont val="Arial"/>
        <family val="2"/>
      </rPr>
      <t>CH-Fin</t>
    </r>
    <r>
      <rPr>
        <sz val="9"/>
        <rFont val="ＭＳ Ｐゴシック"/>
        <family val="3"/>
        <charset val="128"/>
      </rPr>
      <t>や</t>
    </r>
    <r>
      <rPr>
        <sz val="9"/>
        <rFont val="Arial"/>
        <family val="2"/>
      </rPr>
      <t>D-Fin</t>
    </r>
    <r>
      <rPr>
        <sz val="9"/>
        <rFont val="ＭＳ Ｐゴシック"/>
        <family val="3"/>
        <charset val="128"/>
      </rPr>
      <t>と同様に最大枚数に変換したもの。</t>
    </r>
  </si>
  <si>
    <r>
      <t>Controller</t>
    </r>
    <r>
      <rPr>
        <sz val="9"/>
        <rFont val="ＭＳ Ｐゴシック"/>
        <family val="3"/>
        <charset val="128"/>
      </rPr>
      <t>への通知は、</t>
    </r>
    <r>
      <rPr>
        <sz val="9"/>
        <rFont val="Arial"/>
        <family val="2"/>
      </rPr>
      <t>CH-Fin</t>
    </r>
    <r>
      <rPr>
        <sz val="9"/>
        <rFont val="ＭＳ Ｐゴシック"/>
        <family val="3"/>
        <charset val="128"/>
      </rPr>
      <t>や</t>
    </r>
    <r>
      <rPr>
        <sz val="9"/>
        <rFont val="Arial"/>
        <family val="2"/>
      </rPr>
      <t>D-Fin</t>
    </r>
    <r>
      <rPr>
        <sz val="9"/>
        <rFont val="ＭＳ Ｐゴシック"/>
        <family val="3"/>
        <charset val="128"/>
      </rPr>
      <t>の場合と同じく変換された最大用紙枚数が通知される。</t>
    </r>
  </si>
  <si>
    <r>
      <t>通知された最大用紙枚数が</t>
    </r>
    <r>
      <rPr>
        <sz val="9"/>
        <rFont val="Arial"/>
        <family val="2"/>
      </rPr>
      <t>"0</t>
    </r>
    <r>
      <rPr>
        <sz val="9"/>
        <rFont val="ＭＳ Ｐゴシック"/>
        <family val="3"/>
        <charset val="128"/>
      </rPr>
      <t>枚</t>
    </r>
    <r>
      <rPr>
        <sz val="9"/>
        <rFont val="Arial"/>
        <family val="2"/>
      </rPr>
      <t>"</t>
    </r>
    <r>
      <rPr>
        <sz val="9"/>
        <rFont val="ＭＳ Ｐゴシック"/>
        <family val="3"/>
        <charset val="128"/>
      </rPr>
      <t>のときは、不可とする。</t>
    </r>
  </si>
  <si>
    <r>
      <t>坪量クラスの関連付け一覧表については、</t>
    </r>
    <r>
      <rPr>
        <sz val="9"/>
        <rFont val="Arial"/>
        <family val="2"/>
      </rPr>
      <t>Appendix</t>
    </r>
    <r>
      <rPr>
        <sz val="9"/>
        <rFont val="ＭＳ Ｐゴシック"/>
        <family val="3"/>
        <charset val="128"/>
      </rPr>
      <t>の中綴じ・ステイプル坪量クラス分類を参照のこと。</t>
    </r>
  </si>
  <si>
    <t>欠番。</t>
  </si>
  <si>
    <r>
      <t>小サイズと大サイズの区別方法、混在したときの扱い、</t>
    </r>
    <r>
      <rPr>
        <sz val="9"/>
        <rFont val="Arial"/>
        <family val="2"/>
      </rPr>
      <t>Z</t>
    </r>
    <r>
      <rPr>
        <sz val="9"/>
        <rFont val="ＭＳ Ｐゴシック"/>
        <family val="3"/>
        <charset val="128"/>
      </rPr>
      <t>折りされた場合の扱いについては、共通編から変更なし。</t>
    </r>
  </si>
  <si>
    <r>
      <t>Staple</t>
    </r>
    <r>
      <rPr>
        <sz val="9"/>
        <rFont val="ＭＳ Ｐゴシック"/>
        <family val="3"/>
        <charset val="128"/>
      </rPr>
      <t>セット内の</t>
    </r>
    <r>
      <rPr>
        <sz val="9"/>
        <rFont val="Arial"/>
        <family val="2"/>
      </rPr>
      <t>Z</t>
    </r>
    <r>
      <rPr>
        <sz val="9"/>
        <rFont val="ＭＳ Ｐゴシック"/>
        <family val="3"/>
        <charset val="128"/>
      </rPr>
      <t>折りした用紙については、システムデータ「</t>
    </r>
    <r>
      <rPr>
        <sz val="9"/>
        <rFont val="Arial"/>
        <family val="2"/>
      </rPr>
      <t>Z</t>
    </r>
    <r>
      <rPr>
        <sz val="9"/>
        <rFont val="ＭＳ Ｐゴシック"/>
        <family val="3"/>
        <charset val="128"/>
      </rPr>
      <t>折り換算枚数」の換算枚数を累積する。</t>
    </r>
  </si>
  <si>
    <r>
      <t>Staple</t>
    </r>
    <r>
      <rPr>
        <sz val="9"/>
        <rFont val="ＭＳ Ｐゴシック"/>
        <family val="3"/>
        <charset val="128"/>
      </rPr>
      <t>セット内の</t>
    </r>
    <r>
      <rPr>
        <sz val="9"/>
        <rFont val="Arial"/>
        <family val="2"/>
      </rPr>
      <t>Z</t>
    </r>
    <r>
      <rPr>
        <sz val="9"/>
        <rFont val="ＭＳ Ｐゴシック"/>
        <family val="3"/>
        <charset val="128"/>
      </rPr>
      <t>折りしない用紙については、用紙種類と坪量から割り出される換算枚数で累積する。</t>
    </r>
  </si>
  <si>
    <t>用紙種類と坪量ごとの換算枚数は、上記システムデータのそれぞれの「用紙種類と坪量ごとの最大用紙枚数」から次のように算出する。</t>
  </si>
  <si>
    <r>
      <t>(</t>
    </r>
    <r>
      <rPr>
        <sz val="9"/>
        <rFont val="ＭＳ Ｐゴシック"/>
        <family val="3"/>
        <charset val="128"/>
      </rPr>
      <t>最終的に同じ値を通知してくることになったので本部位については特に意味をもたない</t>
    </r>
    <r>
      <rPr>
        <sz val="9"/>
        <rFont val="Arial"/>
        <family val="2"/>
      </rPr>
      <t>)</t>
    </r>
  </si>
  <si>
    <t>用紙種類は、割り付けられた制御分類によって上記システムデータの非コート紙、コート紙に分類される。</t>
  </si>
  <si>
    <r>
      <t>非コート紙、コート紙の分類については、</t>
    </r>
    <r>
      <rPr>
        <sz val="9"/>
        <rFont val="Arial"/>
        <family val="2"/>
      </rPr>
      <t>Appendix</t>
    </r>
    <r>
      <rPr>
        <sz val="9"/>
        <rFont val="ＭＳ Ｐゴシック"/>
        <family val="3"/>
        <charset val="128"/>
      </rPr>
      <t>の中綴じ・ステイプル坪量クラス分類を参照のこと。</t>
    </r>
  </si>
  <si>
    <r>
      <t>Stape</t>
    </r>
    <r>
      <rPr>
        <sz val="9"/>
        <rFont val="ＭＳ Ｐゴシック"/>
        <family val="3"/>
        <charset val="128"/>
      </rPr>
      <t>セットの用紙枚数は、上記のように累積した換算枚数が、</t>
    </r>
    <r>
      <rPr>
        <sz val="9"/>
        <rFont val="Arial"/>
        <family val="2"/>
      </rPr>
      <t>1</t>
    </r>
    <r>
      <rPr>
        <sz val="9"/>
        <rFont val="ＭＳ Ｐゴシック"/>
        <family val="3"/>
        <charset val="128"/>
      </rPr>
      <t>セットの最大用紙枚数以下、かつ、</t>
    </r>
    <r>
      <rPr>
        <sz val="9"/>
        <rFont val="Arial"/>
        <family val="2"/>
      </rPr>
      <t>1</t>
    </r>
    <r>
      <rPr>
        <sz val="9"/>
        <rFont val="ＭＳ Ｐゴシック"/>
        <family val="3"/>
        <charset val="128"/>
      </rPr>
      <t>セットの最大用紙枚数</t>
    </r>
    <r>
      <rPr>
        <sz val="9"/>
        <rFont val="Arial"/>
        <family val="2"/>
      </rPr>
      <t>(</t>
    </r>
    <r>
      <rPr>
        <sz val="9"/>
        <rFont val="ＭＳ Ｐゴシック"/>
        <family val="3"/>
        <charset val="128"/>
      </rPr>
      <t>小サイズまたは大サイズ</t>
    </r>
    <r>
      <rPr>
        <sz val="9"/>
        <rFont val="Arial"/>
        <family val="2"/>
      </rPr>
      <t>)</t>
    </r>
    <r>
      <rPr>
        <sz val="9"/>
        <rFont val="ＭＳ Ｐゴシック"/>
        <family val="3"/>
        <charset val="128"/>
      </rPr>
      <t>以下でなければならない。</t>
    </r>
  </si>
  <si>
    <r>
      <t>(D2G-Fin</t>
    </r>
    <r>
      <rPr>
        <sz val="9"/>
        <rFont val="ＭＳ Ｐゴシック"/>
        <family val="3"/>
        <charset val="128"/>
      </rPr>
      <t>の場合は最終的に同じ値ではあるがそれぞれの意味で最大枚数を通知してくるので</t>
    </r>
    <r>
      <rPr>
        <sz val="9"/>
        <rFont val="Arial"/>
        <family val="2"/>
      </rPr>
      <t>CH-Fin</t>
    </r>
    <r>
      <rPr>
        <sz val="9"/>
        <rFont val="ＭＳ Ｐゴシック"/>
        <family val="3"/>
        <charset val="128"/>
      </rPr>
      <t>や</t>
    </r>
    <r>
      <rPr>
        <sz val="9"/>
        <rFont val="Arial"/>
        <family val="2"/>
      </rPr>
      <t>D-Fin</t>
    </r>
    <r>
      <rPr>
        <sz val="9"/>
        <rFont val="ＭＳ Ｐゴシック"/>
        <family val="3"/>
        <charset val="128"/>
      </rPr>
      <t>と同じ基準が適応される</t>
    </r>
    <r>
      <rPr>
        <sz val="9"/>
        <rFont val="Arial"/>
        <family val="2"/>
      </rPr>
      <t>)</t>
    </r>
  </si>
  <si>
    <r>
      <t>Staple</t>
    </r>
    <r>
      <rPr>
        <sz val="9"/>
        <rFont val="ＭＳ Ｐゴシック"/>
        <family val="3"/>
        <charset val="128"/>
      </rPr>
      <t>の用紙枚数制限は、紙質指定なしの</t>
    </r>
    <r>
      <rPr>
        <sz val="9"/>
        <rFont val="Arial"/>
        <family val="2"/>
      </rPr>
      <t>APS/ATS</t>
    </r>
    <r>
      <rPr>
        <sz val="9"/>
        <rFont val="ＭＳ Ｐゴシック"/>
        <family val="3"/>
        <charset val="128"/>
      </rPr>
      <t>で以下の通りとなる。</t>
    </r>
  </si>
  <si>
    <t>普通紙の各用紙坪量レンジの上限制限のうち、実際に自動選択可能と設定されている用紙種類に対して紐付けられている坪量レンジの中で、もっとも重い坪量レンジで制限をかける。</t>
  </si>
  <si>
    <r>
      <t>(</t>
    </r>
    <r>
      <rPr>
        <sz val="9"/>
        <rFont val="ＭＳ Ｐゴシック"/>
        <family val="3"/>
        <charset val="128"/>
      </rPr>
      <t>＝例えば、自動選択可能な用紙種類として、普通紙、再生紙、ユーザー定義</t>
    </r>
    <r>
      <rPr>
        <sz val="9"/>
        <rFont val="Arial"/>
        <family val="2"/>
      </rPr>
      <t>1</t>
    </r>
    <r>
      <rPr>
        <sz val="9"/>
        <rFont val="ＭＳ Ｐゴシック"/>
        <family val="3"/>
        <charset val="128"/>
      </rPr>
      <t>が設定されているとき、普通紙が普通紙</t>
    </r>
    <r>
      <rPr>
        <sz val="9"/>
        <rFont val="Arial"/>
        <family val="2"/>
      </rPr>
      <t>A</t>
    </r>
    <r>
      <rPr>
        <sz val="9"/>
        <rFont val="ＭＳ Ｐゴシック"/>
        <family val="3"/>
        <charset val="128"/>
      </rPr>
      <t>に、再生紙が再生紙</t>
    </r>
    <r>
      <rPr>
        <sz val="9"/>
        <rFont val="Arial"/>
        <family val="2"/>
      </rPr>
      <t>C</t>
    </r>
    <r>
      <rPr>
        <sz val="9"/>
        <rFont val="ＭＳ Ｐゴシック"/>
        <family val="3"/>
        <charset val="128"/>
      </rPr>
      <t>に、ユーザー定義</t>
    </r>
    <r>
      <rPr>
        <sz val="9"/>
        <rFont val="Arial"/>
        <family val="2"/>
      </rPr>
      <t>1</t>
    </r>
    <r>
      <rPr>
        <sz val="9"/>
        <rFont val="ＭＳ Ｐゴシック"/>
        <family val="3"/>
        <charset val="128"/>
      </rPr>
      <t>が普通紙</t>
    </r>
    <r>
      <rPr>
        <sz val="9"/>
        <rFont val="Arial"/>
        <family val="2"/>
      </rPr>
      <t>A</t>
    </r>
    <r>
      <rPr>
        <sz val="9"/>
        <rFont val="ＭＳ Ｐゴシック"/>
        <family val="3"/>
        <charset val="128"/>
      </rPr>
      <t>にひも付けされている。再生紙</t>
    </r>
    <r>
      <rPr>
        <sz val="9"/>
        <rFont val="Arial"/>
        <family val="2"/>
      </rPr>
      <t>C</t>
    </r>
    <r>
      <rPr>
        <sz val="9"/>
        <rFont val="ＭＳ Ｐゴシック"/>
        <family val="3"/>
        <charset val="128"/>
      </rPr>
      <t>は普通紙</t>
    </r>
    <r>
      <rPr>
        <sz val="9"/>
        <rFont val="Arial"/>
        <family val="2"/>
      </rPr>
      <t>A</t>
    </r>
    <r>
      <rPr>
        <sz val="9"/>
        <rFont val="ＭＳ Ｐゴシック"/>
        <family val="3"/>
        <charset val="128"/>
      </rPr>
      <t>より坪量が重いので、再生紙</t>
    </r>
    <r>
      <rPr>
        <sz val="9"/>
        <rFont val="Arial"/>
        <family val="2"/>
      </rPr>
      <t>C</t>
    </r>
    <r>
      <rPr>
        <sz val="9"/>
        <rFont val="ＭＳ Ｐゴシック"/>
        <family val="3"/>
        <charset val="128"/>
      </rPr>
      <t>の坪量レンジでの制限がかかる。</t>
    </r>
    <r>
      <rPr>
        <sz val="9"/>
        <rFont val="Arial"/>
        <family val="2"/>
      </rPr>
      <t>)</t>
    </r>
  </si>
  <si>
    <r>
      <t>注</t>
    </r>
    <r>
      <rPr>
        <sz val="9"/>
        <rFont val="Arial"/>
        <family val="2"/>
      </rPr>
      <t>0</t>
    </r>
    <phoneticPr fontId="8"/>
  </si>
  <si>
    <r>
      <t>注</t>
    </r>
    <r>
      <rPr>
        <sz val="9"/>
        <rFont val="Arial"/>
        <family val="2"/>
      </rPr>
      <t>1</t>
    </r>
    <phoneticPr fontId="8"/>
  </si>
  <si>
    <r>
      <t>注</t>
    </r>
    <r>
      <rPr>
        <sz val="9"/>
        <rFont val="Arial"/>
        <family val="2"/>
      </rPr>
      <t>2</t>
    </r>
    <phoneticPr fontId="8"/>
  </si>
  <si>
    <r>
      <t>注</t>
    </r>
    <r>
      <rPr>
        <sz val="9"/>
        <rFont val="Arial"/>
        <family val="2"/>
      </rPr>
      <t>3</t>
    </r>
    <phoneticPr fontId="8"/>
  </si>
  <si>
    <r>
      <t>注</t>
    </r>
    <r>
      <rPr>
        <sz val="9"/>
        <rFont val="Arial"/>
        <family val="2"/>
      </rPr>
      <t>4</t>
    </r>
    <phoneticPr fontId="8"/>
  </si>
  <si>
    <r>
      <rPr>
        <sz val="9"/>
        <rFont val="Arial"/>
        <family val="2"/>
      </rPr>
      <t>D2G-Fin</t>
    </r>
    <r>
      <rPr>
        <sz val="9"/>
        <rFont val="ＭＳ Ｐゴシック"/>
        <family val="3"/>
        <charset val="128"/>
      </rPr>
      <t>の場合、換算枚数は、小サイズと大サイズごとに算出し、その際</t>
    </r>
    <r>
      <rPr>
        <sz val="9"/>
        <rFont val="Arial"/>
        <family val="2"/>
      </rPr>
      <t>1</t>
    </r>
    <r>
      <rPr>
        <sz val="9"/>
        <rFont val="ＭＳ Ｐゴシック"/>
        <family val="3"/>
        <charset val="128"/>
      </rPr>
      <t>セットの最大用紙枚数も小サイズ用大サイズ用をそれぞれ用いる。</t>
    </r>
    <phoneticPr fontId="8"/>
  </si>
  <si>
    <t>※</t>
    <phoneticPr fontId="8"/>
  </si>
  <si>
    <r>
      <t>Staple</t>
    </r>
    <r>
      <rPr>
        <sz val="9"/>
        <rFont val="ＭＳ Ｐゴシック"/>
        <family val="3"/>
        <charset val="128"/>
      </rPr>
      <t>セット内の用紙の坪量が、</t>
    </r>
    <r>
      <rPr>
        <sz val="9"/>
        <rFont val="Arial"/>
        <family val="2"/>
      </rPr>
      <t>83gsm</t>
    </r>
    <r>
      <rPr>
        <sz val="9"/>
        <rFont val="ＭＳ Ｐゴシック"/>
        <family val="3"/>
        <charset val="128"/>
      </rPr>
      <t>以上のものの枚数が</t>
    </r>
    <r>
      <rPr>
        <sz val="9"/>
        <rFont val="Arial"/>
        <family val="2"/>
      </rPr>
      <t>2</t>
    </r>
    <r>
      <rPr>
        <sz val="9"/>
        <rFont val="ＭＳ Ｐゴシック"/>
        <family val="3"/>
        <charset val="128"/>
      </rPr>
      <t>枚以下の場合は、すべて、非コート紙の</t>
    </r>
    <r>
      <rPr>
        <sz val="9"/>
        <rFont val="Arial"/>
        <family val="2"/>
      </rPr>
      <t>64</t>
    </r>
    <r>
      <rPr>
        <sz val="9"/>
        <rFont val="ＭＳ Ｐゴシック"/>
        <family val="3"/>
        <charset val="128"/>
      </rPr>
      <t>～</t>
    </r>
    <r>
      <rPr>
        <sz val="9"/>
        <rFont val="Arial"/>
        <family val="2"/>
      </rPr>
      <t>80gsm</t>
    </r>
    <r>
      <rPr>
        <sz val="9"/>
        <rFont val="ＭＳ Ｐゴシック"/>
        <family val="3"/>
        <charset val="128"/>
      </rPr>
      <t>であるものとして、累積する。
これは、おもてうらの表紙に厚紙を使用しても、本文がもっとも薄い</t>
    </r>
    <r>
      <rPr>
        <sz val="9"/>
        <rFont val="Arial"/>
        <family val="2"/>
      </rPr>
      <t>79gsm</t>
    </r>
    <r>
      <rPr>
        <sz val="9"/>
        <rFont val="ＭＳ Ｐゴシック"/>
        <family val="3"/>
        <charset val="128"/>
      </rPr>
      <t>以下の非コート紙で、最大枚数の</t>
    </r>
    <r>
      <rPr>
        <sz val="9"/>
        <rFont val="Arial"/>
        <family val="2"/>
      </rPr>
      <t>Staple</t>
    </r>
    <r>
      <rPr>
        <sz val="9"/>
        <rFont val="ＭＳ Ｐゴシック"/>
        <family val="3"/>
        <charset val="128"/>
      </rPr>
      <t xml:space="preserve">を許可するためのものである。
</t>
    </r>
    <r>
      <rPr>
        <sz val="9"/>
        <rFont val="Arial"/>
        <family val="2"/>
      </rPr>
      <t>(Tarzan</t>
    </r>
    <r>
      <rPr>
        <sz val="9"/>
        <rFont val="ＭＳ Ｐゴシック"/>
        <family val="3"/>
        <charset val="128"/>
      </rPr>
      <t>などで許していた仕様の継承</t>
    </r>
    <r>
      <rPr>
        <sz val="9"/>
        <rFont val="Arial"/>
        <family val="2"/>
      </rPr>
      <t>)</t>
    </r>
    <phoneticPr fontId="8"/>
  </si>
  <si>
    <r>
      <rPr>
        <sz val="9"/>
        <rFont val="ＭＳ Ｐゴシック"/>
        <family val="3"/>
        <charset val="128"/>
      </rPr>
      <t>補足：</t>
    </r>
    <r>
      <rPr>
        <sz val="9"/>
        <rFont val="Arial"/>
        <family val="2"/>
      </rPr>
      <t>Staple</t>
    </r>
    <r>
      <rPr>
        <sz val="9"/>
        <rFont val="ＭＳ Ｐゴシック"/>
        <family val="3"/>
        <charset val="128"/>
      </rPr>
      <t>不可な用紙種類は、いずれにも割付されない。</t>
    </r>
    <phoneticPr fontId="8"/>
  </si>
  <si>
    <t>注5</t>
    <phoneticPr fontId="8"/>
  </si>
  <si>
    <r>
      <t>注</t>
    </r>
    <r>
      <rPr>
        <sz val="9"/>
        <rFont val="Arial"/>
        <family val="2"/>
      </rPr>
      <t>6</t>
    </r>
    <phoneticPr fontId="8"/>
  </si>
  <si>
    <r>
      <t>注</t>
    </r>
    <r>
      <rPr>
        <sz val="9"/>
        <rFont val="Arial"/>
        <family val="2"/>
      </rPr>
      <t>7</t>
    </r>
    <phoneticPr fontId="8"/>
  </si>
  <si>
    <r>
      <t>注</t>
    </r>
    <r>
      <rPr>
        <sz val="9"/>
        <rFont val="Arial"/>
        <family val="2"/>
      </rPr>
      <t>8</t>
    </r>
    <phoneticPr fontId="8"/>
  </si>
  <si>
    <r>
      <t>"16</t>
    </r>
    <r>
      <rPr>
        <sz val="9"/>
        <rFont val="ＭＳ Ｐゴシック"/>
        <family val="3"/>
        <charset val="128"/>
      </rPr>
      <t>枚</t>
    </r>
    <r>
      <rPr>
        <sz val="9"/>
        <rFont val="Arial"/>
        <family val="2"/>
      </rPr>
      <t>"</t>
    </r>
  </si>
  <si>
    <r>
      <t>非コート紙</t>
    </r>
    <r>
      <rPr>
        <sz val="9"/>
        <rFont val="Arial"/>
        <family val="2"/>
      </rPr>
      <t>64</t>
    </r>
    <r>
      <rPr>
        <sz val="9"/>
        <rFont val="ＭＳ Ｐゴシック"/>
        <family val="3"/>
        <charset val="128"/>
      </rPr>
      <t>～</t>
    </r>
    <r>
      <rPr>
        <sz val="9"/>
        <rFont val="Arial"/>
        <family val="2"/>
      </rPr>
      <t>80 gsm</t>
    </r>
    <r>
      <rPr>
        <sz val="9"/>
        <rFont val="ＭＳ Ｐゴシック"/>
        <family val="3"/>
        <charset val="128"/>
      </rPr>
      <t>の最大用紙枚数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</si>
  <si>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非コート紙</t>
    </r>
    <r>
      <rPr>
        <sz val="9"/>
        <rFont val="Arial"/>
        <family val="2"/>
      </rPr>
      <t>81</t>
    </r>
    <r>
      <rPr>
        <sz val="9"/>
        <rFont val="ＭＳ Ｐゴシック"/>
        <family val="3"/>
        <charset val="128"/>
      </rPr>
      <t>～</t>
    </r>
    <r>
      <rPr>
        <sz val="9"/>
        <rFont val="Arial"/>
        <family val="2"/>
      </rPr>
      <t>90 gsm</t>
    </r>
    <r>
      <rPr>
        <sz val="9"/>
        <rFont val="ＭＳ Ｐゴシック"/>
        <family val="3"/>
        <charset val="128"/>
      </rPr>
      <t>の最大用紙枚数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</si>
  <si>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t>D2G-Fin</t>
  </si>
  <si>
    <r>
      <t>非コート紙</t>
    </r>
    <r>
      <rPr>
        <sz val="9"/>
        <rFont val="Arial"/>
        <family val="2"/>
      </rPr>
      <t xml:space="preserve">    </t>
    </r>
    <r>
      <rPr>
        <sz val="9"/>
        <rFont val="ＭＳ Ｐゴシック"/>
        <family val="3"/>
        <charset val="128"/>
      </rPr>
      <t>～</t>
    </r>
    <r>
      <rPr>
        <sz val="9"/>
        <rFont val="Arial"/>
        <family val="2"/>
      </rPr>
      <t xml:space="preserve">  51 gsm</t>
    </r>
    <r>
      <rPr>
        <sz val="9"/>
        <rFont val="ＭＳ Ｐゴシック"/>
        <family val="3"/>
        <charset val="128"/>
      </rPr>
      <t>の最大用紙枚数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</si>
  <si>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非コート紙</t>
    </r>
    <r>
      <rPr>
        <sz val="9"/>
        <rFont val="Arial"/>
        <family val="2"/>
      </rPr>
      <t xml:space="preserve">  52</t>
    </r>
    <r>
      <rPr>
        <sz val="9"/>
        <rFont val="ＭＳ Ｐゴシック"/>
        <family val="3"/>
        <charset val="128"/>
      </rPr>
      <t>～</t>
    </r>
    <r>
      <rPr>
        <sz val="9"/>
        <rFont val="Arial"/>
        <family val="2"/>
      </rPr>
      <t xml:space="preserve">  80 gsm</t>
    </r>
    <r>
      <rPr>
        <sz val="9"/>
        <rFont val="ＭＳ Ｐゴシック"/>
        <family val="3"/>
        <charset val="128"/>
      </rPr>
      <t>の最大用紙枚数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</si>
  <si>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非コート紙</t>
    </r>
    <r>
      <rPr>
        <sz val="9"/>
        <rFont val="Arial"/>
        <family val="2"/>
      </rPr>
      <t xml:space="preserve">  81</t>
    </r>
    <r>
      <rPr>
        <sz val="9"/>
        <rFont val="ＭＳ Ｐゴシック"/>
        <family val="3"/>
        <charset val="128"/>
      </rPr>
      <t>～</t>
    </r>
    <r>
      <rPr>
        <sz val="9"/>
        <rFont val="Arial"/>
        <family val="2"/>
      </rPr>
      <t xml:space="preserve">  90 gsm</t>
    </r>
    <r>
      <rPr>
        <sz val="9"/>
        <rFont val="ＭＳ Ｐゴシック"/>
        <family val="3"/>
        <charset val="128"/>
      </rPr>
      <t>の最大用紙枚数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</si>
  <si>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非コート紙</t>
    </r>
    <r>
      <rPr>
        <sz val="9"/>
        <rFont val="Arial"/>
        <family val="2"/>
      </rPr>
      <t xml:space="preserve">  91</t>
    </r>
    <r>
      <rPr>
        <sz val="9"/>
        <rFont val="ＭＳ Ｐゴシック"/>
        <family val="3"/>
        <charset val="128"/>
      </rPr>
      <t>～</t>
    </r>
    <r>
      <rPr>
        <sz val="9"/>
        <rFont val="Arial"/>
        <family val="2"/>
      </rPr>
      <t xml:space="preserve"> 105 gsm</t>
    </r>
    <r>
      <rPr>
        <sz val="9"/>
        <rFont val="ＭＳ Ｐゴシック"/>
        <family val="3"/>
        <charset val="128"/>
      </rPr>
      <t>の最大用紙枚数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</si>
  <si>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非コート紙</t>
    </r>
    <r>
      <rPr>
        <sz val="9"/>
        <rFont val="Arial"/>
        <family val="2"/>
      </rPr>
      <t>106</t>
    </r>
    <r>
      <rPr>
        <sz val="9"/>
        <rFont val="ＭＳ Ｐゴシック"/>
        <family val="3"/>
        <charset val="128"/>
      </rPr>
      <t>～</t>
    </r>
    <r>
      <rPr>
        <sz val="9"/>
        <rFont val="Arial"/>
        <family val="2"/>
      </rPr>
      <t xml:space="preserve"> 128 gsm</t>
    </r>
    <r>
      <rPr>
        <sz val="9"/>
        <rFont val="ＭＳ Ｐゴシック"/>
        <family val="3"/>
        <charset val="128"/>
      </rPr>
      <t>の最大用紙枚数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</si>
  <si>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非コート紙</t>
    </r>
    <r>
      <rPr>
        <sz val="9"/>
        <rFont val="Arial"/>
        <family val="2"/>
      </rPr>
      <t>129</t>
    </r>
    <r>
      <rPr>
        <sz val="9"/>
        <rFont val="ＭＳ Ｐゴシック"/>
        <family val="3"/>
        <charset val="128"/>
      </rPr>
      <t>～</t>
    </r>
    <r>
      <rPr>
        <sz val="9"/>
        <rFont val="Arial"/>
        <family val="2"/>
      </rPr>
      <t xml:space="preserve"> 150 gsm</t>
    </r>
    <r>
      <rPr>
        <sz val="9"/>
        <rFont val="ＭＳ Ｐゴシック"/>
        <family val="3"/>
        <charset val="128"/>
      </rPr>
      <t>の最大用紙枚数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</si>
  <si>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非コート紙</t>
    </r>
    <r>
      <rPr>
        <sz val="9"/>
        <rFont val="Arial"/>
        <family val="2"/>
      </rPr>
      <t>151</t>
    </r>
    <r>
      <rPr>
        <sz val="9"/>
        <rFont val="ＭＳ Ｐゴシック"/>
        <family val="3"/>
        <charset val="128"/>
      </rPr>
      <t>～</t>
    </r>
    <r>
      <rPr>
        <sz val="9"/>
        <rFont val="Arial"/>
        <family val="2"/>
      </rPr>
      <t xml:space="preserve"> 176 gsm</t>
    </r>
    <r>
      <rPr>
        <sz val="9"/>
        <rFont val="ＭＳ Ｐゴシック"/>
        <family val="3"/>
        <charset val="128"/>
      </rPr>
      <t>の最大用紙枚数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</si>
  <si>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非コート紙</t>
    </r>
    <r>
      <rPr>
        <sz val="9"/>
        <rFont val="Arial"/>
        <family val="2"/>
      </rPr>
      <t>177</t>
    </r>
    <r>
      <rPr>
        <sz val="9"/>
        <rFont val="ＭＳ Ｐゴシック"/>
        <family val="3"/>
        <charset val="128"/>
      </rPr>
      <t>～</t>
    </r>
    <r>
      <rPr>
        <sz val="9"/>
        <rFont val="Arial"/>
        <family val="2"/>
      </rPr>
      <t xml:space="preserve"> 220 gsm</t>
    </r>
    <r>
      <rPr>
        <sz val="9"/>
        <rFont val="ＭＳ Ｐゴシック"/>
        <family val="3"/>
        <charset val="128"/>
      </rPr>
      <t>の最大用紙枚数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</si>
  <si>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非コート紙</t>
    </r>
    <r>
      <rPr>
        <sz val="9"/>
        <rFont val="Arial"/>
        <family val="2"/>
      </rPr>
      <t>221</t>
    </r>
    <r>
      <rPr>
        <sz val="9"/>
        <rFont val="ＭＳ Ｐゴシック"/>
        <family val="3"/>
        <charset val="128"/>
      </rPr>
      <t>～</t>
    </r>
    <r>
      <rPr>
        <sz val="9"/>
        <rFont val="Arial"/>
        <family val="2"/>
      </rPr>
      <t xml:space="preserve"> 256 gsm</t>
    </r>
    <r>
      <rPr>
        <sz val="9"/>
        <rFont val="ＭＳ Ｐゴシック"/>
        <family val="3"/>
        <charset val="128"/>
      </rPr>
      <t>の最大用紙枚数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</si>
  <si>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"4</t>
    </r>
    <r>
      <rPr>
        <sz val="9"/>
        <rFont val="ＭＳ Ｐゴシック"/>
        <family val="3"/>
        <charset val="128"/>
      </rPr>
      <t>枚</t>
    </r>
    <r>
      <rPr>
        <sz val="9"/>
        <rFont val="Arial"/>
        <family val="2"/>
      </rPr>
      <t>"</t>
    </r>
  </si>
  <si>
    <r>
      <t>非コート紙</t>
    </r>
    <r>
      <rPr>
        <sz val="9"/>
        <rFont val="Arial"/>
        <family val="2"/>
      </rPr>
      <t>257</t>
    </r>
    <r>
      <rPr>
        <sz val="9"/>
        <rFont val="ＭＳ Ｐゴシック"/>
        <family val="3"/>
        <charset val="128"/>
      </rPr>
      <t>～</t>
    </r>
    <r>
      <rPr>
        <sz val="9"/>
        <rFont val="Arial"/>
        <family val="2"/>
      </rPr>
      <t xml:space="preserve"> 300 gsm</t>
    </r>
    <r>
      <rPr>
        <sz val="9"/>
        <rFont val="ＭＳ Ｐゴシック"/>
        <family val="3"/>
        <charset val="128"/>
      </rPr>
      <t>の最大用紙枚数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</si>
  <si>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非コート紙</t>
    </r>
    <r>
      <rPr>
        <sz val="9"/>
        <rFont val="Arial"/>
        <family val="2"/>
      </rPr>
      <t>301</t>
    </r>
    <r>
      <rPr>
        <sz val="9"/>
        <rFont val="ＭＳ Ｐゴシック"/>
        <family val="3"/>
        <charset val="128"/>
      </rPr>
      <t>～</t>
    </r>
    <r>
      <rPr>
        <sz val="9"/>
        <rFont val="Arial"/>
        <family val="2"/>
      </rPr>
      <t xml:space="preserve"> 350 gsm</t>
    </r>
    <r>
      <rPr>
        <sz val="9"/>
        <rFont val="ＭＳ Ｐゴシック"/>
        <family val="3"/>
        <charset val="128"/>
      </rPr>
      <t>の最大用紙枚数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</si>
  <si>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非コート紙</t>
    </r>
    <r>
      <rPr>
        <sz val="9"/>
        <rFont val="Arial"/>
        <family val="2"/>
      </rPr>
      <t>351</t>
    </r>
    <r>
      <rPr>
        <sz val="9"/>
        <rFont val="ＭＳ Ｐゴシック"/>
        <family val="3"/>
        <charset val="128"/>
      </rPr>
      <t>～</t>
    </r>
    <r>
      <rPr>
        <sz val="9"/>
        <rFont val="Arial"/>
        <family val="2"/>
      </rPr>
      <t>1023 gsm</t>
    </r>
    <r>
      <rPr>
        <sz val="9"/>
        <rFont val="ＭＳ Ｐゴシック"/>
        <family val="3"/>
        <charset val="128"/>
      </rPr>
      <t>の最大用紙枚数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</si>
  <si>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コート紙</t>
    </r>
    <r>
      <rPr>
        <sz val="9"/>
        <rFont val="Arial"/>
        <family val="2"/>
      </rPr>
      <t xml:space="preserve">    </t>
    </r>
    <r>
      <rPr>
        <sz val="9"/>
        <rFont val="ＭＳ Ｐゴシック"/>
        <family val="3"/>
        <charset val="128"/>
      </rPr>
      <t>～</t>
    </r>
    <r>
      <rPr>
        <sz val="9"/>
        <rFont val="Arial"/>
        <family val="2"/>
      </rPr>
      <t xml:space="preserve">  51 gsm</t>
    </r>
    <r>
      <rPr>
        <sz val="9"/>
        <rFont val="ＭＳ Ｐゴシック"/>
        <family val="3"/>
        <charset val="128"/>
      </rPr>
      <t>の最大用紙枚数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</si>
  <si>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コート紙</t>
    </r>
    <r>
      <rPr>
        <sz val="9"/>
        <rFont val="Arial"/>
        <family val="2"/>
      </rPr>
      <t xml:space="preserve">  52</t>
    </r>
    <r>
      <rPr>
        <sz val="9"/>
        <rFont val="ＭＳ Ｐゴシック"/>
        <family val="3"/>
        <charset val="128"/>
      </rPr>
      <t>～</t>
    </r>
    <r>
      <rPr>
        <sz val="9"/>
        <rFont val="Arial"/>
        <family val="2"/>
      </rPr>
      <t xml:space="preserve">  80 gsm</t>
    </r>
    <r>
      <rPr>
        <sz val="9"/>
        <rFont val="ＭＳ Ｐゴシック"/>
        <family val="3"/>
        <charset val="128"/>
      </rPr>
      <t>の最大用紙枚数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</si>
  <si>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コート紙</t>
    </r>
    <r>
      <rPr>
        <sz val="9"/>
        <rFont val="Arial"/>
        <family val="2"/>
      </rPr>
      <t xml:space="preserve">  81</t>
    </r>
    <r>
      <rPr>
        <sz val="9"/>
        <rFont val="ＭＳ Ｐゴシック"/>
        <family val="3"/>
        <charset val="128"/>
      </rPr>
      <t>～</t>
    </r>
    <r>
      <rPr>
        <sz val="9"/>
        <rFont val="Arial"/>
        <family val="2"/>
      </rPr>
      <t xml:space="preserve">  90 gsm</t>
    </r>
    <r>
      <rPr>
        <sz val="9"/>
        <rFont val="ＭＳ Ｐゴシック"/>
        <family val="3"/>
        <charset val="128"/>
      </rPr>
      <t>の最大用紙枚数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</si>
  <si>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コート紙</t>
    </r>
    <r>
      <rPr>
        <sz val="9"/>
        <rFont val="Arial"/>
        <family val="2"/>
      </rPr>
      <t xml:space="preserve">  91</t>
    </r>
    <r>
      <rPr>
        <sz val="9"/>
        <rFont val="ＭＳ Ｐゴシック"/>
        <family val="3"/>
        <charset val="128"/>
      </rPr>
      <t>～</t>
    </r>
    <r>
      <rPr>
        <sz val="9"/>
        <rFont val="Arial"/>
        <family val="2"/>
      </rPr>
      <t xml:space="preserve"> 105 gsm</t>
    </r>
    <r>
      <rPr>
        <sz val="9"/>
        <rFont val="ＭＳ Ｐゴシック"/>
        <family val="3"/>
        <charset val="128"/>
      </rPr>
      <t>の最大用紙枚数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</si>
  <si>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コート紙</t>
    </r>
    <r>
      <rPr>
        <sz val="9"/>
        <rFont val="Arial"/>
        <family val="2"/>
      </rPr>
      <t>106</t>
    </r>
    <r>
      <rPr>
        <sz val="9"/>
        <rFont val="ＭＳ Ｐゴシック"/>
        <family val="3"/>
        <charset val="128"/>
      </rPr>
      <t>～</t>
    </r>
    <r>
      <rPr>
        <sz val="9"/>
        <rFont val="Arial"/>
        <family val="2"/>
      </rPr>
      <t xml:space="preserve"> 128 gsm</t>
    </r>
    <r>
      <rPr>
        <sz val="9"/>
        <rFont val="ＭＳ Ｐゴシック"/>
        <family val="3"/>
        <charset val="128"/>
      </rPr>
      <t>の最大用紙枚数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</si>
  <si>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コート紙</t>
    </r>
    <r>
      <rPr>
        <sz val="9"/>
        <rFont val="Arial"/>
        <family val="2"/>
      </rPr>
      <t>129</t>
    </r>
    <r>
      <rPr>
        <sz val="9"/>
        <rFont val="ＭＳ Ｐゴシック"/>
        <family val="3"/>
        <charset val="128"/>
      </rPr>
      <t>～</t>
    </r>
    <r>
      <rPr>
        <sz val="9"/>
        <rFont val="Arial"/>
        <family val="2"/>
      </rPr>
      <t xml:space="preserve"> 150 gsm</t>
    </r>
    <r>
      <rPr>
        <sz val="9"/>
        <rFont val="ＭＳ Ｐゴシック"/>
        <family val="3"/>
        <charset val="128"/>
      </rPr>
      <t>の最大用紙枚数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</si>
  <si>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コート紙</t>
    </r>
    <r>
      <rPr>
        <sz val="9"/>
        <rFont val="Arial"/>
        <family val="2"/>
      </rPr>
      <t>151</t>
    </r>
    <r>
      <rPr>
        <sz val="9"/>
        <rFont val="ＭＳ Ｐゴシック"/>
        <family val="3"/>
        <charset val="128"/>
      </rPr>
      <t>～</t>
    </r>
    <r>
      <rPr>
        <sz val="9"/>
        <rFont val="Arial"/>
        <family val="2"/>
      </rPr>
      <t xml:space="preserve"> 176 gsm</t>
    </r>
    <r>
      <rPr>
        <sz val="9"/>
        <rFont val="ＭＳ Ｐゴシック"/>
        <family val="3"/>
        <charset val="128"/>
      </rPr>
      <t>の最大用紙枚数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</si>
  <si>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コート紙</t>
    </r>
    <r>
      <rPr>
        <sz val="9"/>
        <rFont val="Arial"/>
        <family val="2"/>
      </rPr>
      <t>177</t>
    </r>
    <r>
      <rPr>
        <sz val="9"/>
        <rFont val="ＭＳ Ｐゴシック"/>
        <family val="3"/>
        <charset val="128"/>
      </rPr>
      <t>～</t>
    </r>
    <r>
      <rPr>
        <sz val="9"/>
        <rFont val="Arial"/>
        <family val="2"/>
      </rPr>
      <t xml:space="preserve"> 220 gsm</t>
    </r>
    <r>
      <rPr>
        <sz val="9"/>
        <rFont val="ＭＳ Ｐゴシック"/>
        <family val="3"/>
        <charset val="128"/>
      </rPr>
      <t>の最大用紙枚数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</si>
  <si>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コート紙</t>
    </r>
    <r>
      <rPr>
        <sz val="9"/>
        <rFont val="Arial"/>
        <family val="2"/>
      </rPr>
      <t>221</t>
    </r>
    <r>
      <rPr>
        <sz val="9"/>
        <rFont val="ＭＳ Ｐゴシック"/>
        <family val="3"/>
        <charset val="128"/>
      </rPr>
      <t>～</t>
    </r>
    <r>
      <rPr>
        <sz val="9"/>
        <rFont val="Arial"/>
        <family val="2"/>
      </rPr>
      <t xml:space="preserve"> 256 gsm</t>
    </r>
    <r>
      <rPr>
        <sz val="9"/>
        <rFont val="ＭＳ Ｐゴシック"/>
        <family val="3"/>
        <charset val="128"/>
      </rPr>
      <t>の最大用紙枚数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</si>
  <si>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コート紙</t>
    </r>
    <r>
      <rPr>
        <sz val="9"/>
        <rFont val="Arial"/>
        <family val="2"/>
      </rPr>
      <t>257</t>
    </r>
    <r>
      <rPr>
        <sz val="9"/>
        <rFont val="ＭＳ Ｐゴシック"/>
        <family val="3"/>
        <charset val="128"/>
      </rPr>
      <t>～</t>
    </r>
    <r>
      <rPr>
        <sz val="9"/>
        <rFont val="Arial"/>
        <family val="2"/>
      </rPr>
      <t xml:space="preserve"> 300 gsm</t>
    </r>
    <r>
      <rPr>
        <sz val="9"/>
        <rFont val="ＭＳ Ｐゴシック"/>
        <family val="3"/>
        <charset val="128"/>
      </rPr>
      <t>の最大用紙枚数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</si>
  <si>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コート紙</t>
    </r>
    <r>
      <rPr>
        <sz val="9"/>
        <rFont val="Arial"/>
        <family val="2"/>
      </rPr>
      <t>301</t>
    </r>
    <r>
      <rPr>
        <sz val="9"/>
        <rFont val="ＭＳ Ｐゴシック"/>
        <family val="3"/>
        <charset val="128"/>
      </rPr>
      <t>～</t>
    </r>
    <r>
      <rPr>
        <sz val="9"/>
        <rFont val="Arial"/>
        <family val="2"/>
      </rPr>
      <t xml:space="preserve"> 350 gsm</t>
    </r>
    <r>
      <rPr>
        <sz val="9"/>
        <rFont val="ＭＳ Ｐゴシック"/>
        <family val="3"/>
        <charset val="128"/>
      </rPr>
      <t>の最大用紙枚数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</si>
  <si>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コート紙</t>
    </r>
    <r>
      <rPr>
        <sz val="9"/>
        <rFont val="Arial"/>
        <family val="2"/>
      </rPr>
      <t>351</t>
    </r>
    <r>
      <rPr>
        <sz val="9"/>
        <rFont val="ＭＳ Ｐゴシック"/>
        <family val="3"/>
        <charset val="128"/>
      </rPr>
      <t>～</t>
    </r>
    <r>
      <rPr>
        <sz val="9"/>
        <rFont val="Arial"/>
        <family val="2"/>
      </rPr>
      <t>1023 gsm</t>
    </r>
    <r>
      <rPr>
        <sz val="9"/>
        <rFont val="ＭＳ Ｐゴシック"/>
        <family val="3"/>
        <charset val="128"/>
      </rPr>
      <t>の最大用紙枚数</t>
    </r>
    <r>
      <rPr>
        <sz val="9"/>
        <rFont val="Arial"/>
        <family val="2"/>
      </rPr>
      <t xml:space="preserve"> </t>
    </r>
    <r>
      <rPr>
        <sz val="9"/>
        <rFont val="ＭＳ Ｐゴシック"/>
        <family val="3"/>
        <charset val="128"/>
      </rPr>
      <t>（</t>
    </r>
    <r>
      <rPr>
        <sz val="9"/>
        <rFont val="Arial"/>
        <family val="2"/>
      </rPr>
      <t>IOT NVM</t>
    </r>
    <r>
      <rPr>
        <sz val="9"/>
        <rFont val="ＭＳ Ｐゴシック"/>
        <family val="3"/>
        <charset val="128"/>
      </rPr>
      <t>）</t>
    </r>
  </si>
  <si>
    <r>
      <t>補足：最大用紙枚数が</t>
    </r>
    <r>
      <rPr>
        <sz val="9"/>
        <rFont val="Arial"/>
        <family val="2"/>
      </rPr>
      <t>"0</t>
    </r>
    <r>
      <rPr>
        <sz val="9"/>
        <rFont val="ＭＳ Ｐゴシック"/>
        <family val="3"/>
        <charset val="128"/>
      </rPr>
      <t>枚</t>
    </r>
    <r>
      <rPr>
        <sz val="9"/>
        <rFont val="Arial"/>
        <family val="2"/>
      </rPr>
      <t>"</t>
    </r>
    <r>
      <rPr>
        <sz val="9"/>
        <rFont val="ＭＳ Ｐゴシック"/>
        <family val="3"/>
        <charset val="128"/>
      </rPr>
      <t>のときは、不可とする。</t>
    </r>
  </si>
  <si>
    <r>
      <t>その関連付けについては、「</t>
    </r>
    <r>
      <rPr>
        <sz val="9"/>
        <rFont val="Arial"/>
        <family val="2"/>
      </rPr>
      <t>4.4.4 Staple</t>
    </r>
    <r>
      <rPr>
        <sz val="9"/>
        <rFont val="ＭＳ Ｐゴシック"/>
        <family val="3"/>
        <charset val="128"/>
      </rPr>
      <t>指定」の「坪量クラスの関連付け一覧表」を参照のこと。</t>
    </r>
  </si>
  <si>
    <t>中綴じセット内の用紙について、用紙種類と坪量から割り出される換算枚数で累積する。</t>
  </si>
  <si>
    <r>
      <t>用紙種類と坪量ごとの換算枚数</t>
    </r>
    <r>
      <rPr>
        <sz val="9"/>
        <rFont val="Arial"/>
        <family val="2"/>
      </rPr>
      <t xml:space="preserve"> = 1</t>
    </r>
    <r>
      <rPr>
        <sz val="9"/>
        <rFont val="ＭＳ Ｐゴシック"/>
        <family val="3"/>
        <charset val="128"/>
      </rPr>
      <t>セットの最大用紙枚数</t>
    </r>
    <r>
      <rPr>
        <sz val="9"/>
        <rFont val="Arial"/>
        <family val="2"/>
      </rPr>
      <t xml:space="preserve"> </t>
    </r>
    <r>
      <rPr>
        <sz val="9"/>
        <rFont val="ＭＳ Ｐゴシック"/>
        <family val="3"/>
        <charset val="128"/>
      </rPr>
      <t>÷</t>
    </r>
    <r>
      <rPr>
        <sz val="9"/>
        <rFont val="Arial"/>
        <family val="2"/>
      </rPr>
      <t xml:space="preserve"> </t>
    </r>
    <r>
      <rPr>
        <sz val="9"/>
        <rFont val="ＭＳ Ｐゴシック"/>
        <family val="3"/>
        <charset val="128"/>
      </rPr>
      <t>用紙種類と坪量ごとの最大用紙枚数</t>
    </r>
  </si>
  <si>
    <r>
      <t>用紙種類は、上記システムデータの非コート紙、コート紙、それ以外に分類される。分類については、「</t>
    </r>
    <r>
      <rPr>
        <sz val="9"/>
        <rFont val="Arial"/>
        <family val="2"/>
      </rPr>
      <t>4.4.4 Staple</t>
    </r>
    <r>
      <rPr>
        <sz val="9"/>
        <rFont val="ＭＳ Ｐゴシック"/>
        <family val="3"/>
        <charset val="128"/>
      </rPr>
      <t>指定」の仕様に倣う。</t>
    </r>
  </si>
  <si>
    <r>
      <t>中綴じセット内の用紙の坪量が、</t>
    </r>
    <r>
      <rPr>
        <sz val="9"/>
        <rFont val="Arial"/>
        <family val="2"/>
      </rPr>
      <t>83gsm</t>
    </r>
    <r>
      <rPr>
        <sz val="9"/>
        <rFont val="ＭＳ Ｐゴシック"/>
        <family val="3"/>
        <charset val="128"/>
      </rPr>
      <t>以上のものの枚数が</t>
    </r>
    <r>
      <rPr>
        <sz val="9"/>
        <rFont val="Arial"/>
        <family val="2"/>
      </rPr>
      <t>1</t>
    </r>
    <r>
      <rPr>
        <sz val="9"/>
        <rFont val="ＭＳ Ｐゴシック"/>
        <family val="3"/>
        <charset val="128"/>
      </rPr>
      <t>枚以下の場合は、すべて、非コート紙の</t>
    </r>
    <r>
      <rPr>
        <sz val="9"/>
        <rFont val="Arial"/>
        <family val="2"/>
      </rPr>
      <t>64</t>
    </r>
    <r>
      <rPr>
        <sz val="9"/>
        <rFont val="ＭＳ Ｐゴシック"/>
        <family val="3"/>
        <charset val="128"/>
      </rPr>
      <t>～</t>
    </r>
    <r>
      <rPr>
        <sz val="9"/>
        <rFont val="Arial"/>
        <family val="2"/>
      </rPr>
      <t>82gsm</t>
    </r>
    <r>
      <rPr>
        <sz val="9"/>
        <rFont val="ＭＳ Ｐゴシック"/>
        <family val="3"/>
        <charset val="128"/>
      </rPr>
      <t>であるものとして、累積する。これは、おもて表紙に厚紙を使用しても、本文がもっとも薄い</t>
    </r>
    <r>
      <rPr>
        <sz val="9"/>
        <rFont val="Arial"/>
        <family val="2"/>
      </rPr>
      <t>79gsm</t>
    </r>
    <r>
      <rPr>
        <sz val="9"/>
        <rFont val="ＭＳ Ｐゴシック"/>
        <family val="3"/>
        <charset val="128"/>
      </rPr>
      <t>以下の非コート紙で、最大枚数の中綴じを許可するためのものである。</t>
    </r>
    <r>
      <rPr>
        <sz val="9"/>
        <rFont val="Arial"/>
        <family val="2"/>
      </rPr>
      <t>(Tarzan</t>
    </r>
    <r>
      <rPr>
        <sz val="9"/>
        <rFont val="ＭＳ Ｐゴシック"/>
        <family val="3"/>
        <charset val="128"/>
      </rPr>
      <t>などで許していた仕様の継承</t>
    </r>
    <r>
      <rPr>
        <sz val="9"/>
        <rFont val="Arial"/>
        <family val="2"/>
      </rPr>
      <t>)</t>
    </r>
  </si>
  <si>
    <r>
      <t>中綴じセットの用紙枚数は、上記のように累積した換算枚数が、</t>
    </r>
    <r>
      <rPr>
        <sz val="9"/>
        <rFont val="Arial"/>
        <family val="2"/>
      </rPr>
      <t>1</t>
    </r>
    <r>
      <rPr>
        <sz val="9"/>
        <rFont val="ＭＳ Ｐゴシック"/>
        <family val="3"/>
        <charset val="128"/>
      </rPr>
      <t>セットの最大用紙枚数以下でなければならない。</t>
    </r>
  </si>
  <si>
    <r>
      <t>中綴じ可能かどうかの判定は、</t>
    </r>
    <r>
      <rPr>
        <sz val="9"/>
        <rFont val="Arial"/>
        <family val="2"/>
      </rPr>
      <t>2</t>
    </r>
    <r>
      <rPr>
        <sz val="9"/>
        <rFont val="ＭＳ Ｐゴシック"/>
        <family val="3"/>
        <charset val="128"/>
      </rPr>
      <t>段階で実施する。</t>
    </r>
  </si>
  <si>
    <r>
      <t>本文</t>
    </r>
    <r>
      <rPr>
        <sz val="9"/>
        <rFont val="Arial"/>
        <family val="2"/>
      </rPr>
      <t>(</t>
    </r>
    <r>
      <rPr>
        <sz val="9"/>
        <rFont val="ＭＳ Ｐゴシック"/>
        <family val="3"/>
        <charset val="128"/>
      </rPr>
      <t>つまり表紙でない</t>
    </r>
    <r>
      <rPr>
        <sz val="9"/>
        <rFont val="Arial"/>
        <family val="2"/>
      </rPr>
      <t>)</t>
    </r>
    <r>
      <rPr>
        <sz val="9"/>
        <rFont val="ＭＳ Ｐゴシック"/>
        <family val="3"/>
        <charset val="128"/>
      </rPr>
      <t>の用紙種類が特定できない場合は、中綴じ可能な最大枚数で、中綴じ可能かどうかを判断する。</t>
    </r>
    <r>
      <rPr>
        <sz val="9"/>
        <rFont val="Arial"/>
        <family val="2"/>
      </rPr>
      <t>(</t>
    </r>
    <r>
      <rPr>
        <sz val="9"/>
        <rFont val="ＭＳ Ｐゴシック"/>
        <family val="3"/>
        <charset val="128"/>
      </rPr>
      <t>特定できた場合は、その用紙種類で特定できる中綴じ可能な最大枚数で判断する</t>
    </r>
    <r>
      <rPr>
        <sz val="9"/>
        <rFont val="Arial"/>
        <family val="2"/>
      </rPr>
      <t>)</t>
    </r>
    <r>
      <rPr>
        <sz val="9"/>
        <rFont val="ＭＳ Ｐゴシック"/>
        <family val="3"/>
        <charset val="128"/>
      </rPr>
      <t>。この判断で枚数オーバーした際の動作は、共通仕様に従う。</t>
    </r>
    <r>
      <rPr>
        <sz val="9"/>
        <rFont val="Arial"/>
        <family val="2"/>
      </rPr>
      <t>(</t>
    </r>
    <r>
      <rPr>
        <sz val="9"/>
        <rFont val="ＭＳ Ｐゴシック"/>
        <family val="3"/>
        <charset val="128"/>
      </rPr>
      <t>さらに各</t>
    </r>
    <r>
      <rPr>
        <sz val="9"/>
        <rFont val="Arial"/>
        <family val="2"/>
      </rPr>
      <t>DT Service</t>
    </r>
    <r>
      <rPr>
        <sz val="9"/>
        <rFont val="ＭＳ Ｐゴシック"/>
        <family val="3"/>
        <charset val="128"/>
      </rPr>
      <t>ごとの規定に従って動作する</t>
    </r>
    <r>
      <rPr>
        <sz val="9"/>
        <rFont val="Arial"/>
        <family val="2"/>
      </rPr>
      <t>)</t>
    </r>
  </si>
  <si>
    <r>
      <t>実際に、</t>
    </r>
    <r>
      <rPr>
        <sz val="10.5"/>
        <rFont val="Century"/>
        <family val="1"/>
      </rPr>
      <t>IOT</t>
    </r>
    <r>
      <rPr>
        <sz val="10.5"/>
        <rFont val="ＭＳ 明朝"/>
        <family val="1"/>
        <charset val="128"/>
      </rPr>
      <t>に指示を出す段階で、上記した累積を行い、用紙種類と坪量から割り出される換算枚数で累積を行い、枚数オーバーした際は、そのシートの前まで排出し、そのジョブをアボートする。</t>
    </r>
  </si>
  <si>
    <t>CH-Fin</t>
    <phoneticPr fontId="8"/>
  </si>
  <si>
    <r>
      <rPr>
        <sz val="9"/>
        <rFont val="ＭＳ Ｐゴシック"/>
        <family val="3"/>
        <charset val="128"/>
      </rPr>
      <t>用紙種類と坪量ごとの換算枚数</t>
    </r>
    <r>
      <rPr>
        <sz val="9"/>
        <rFont val="Arial"/>
        <family val="2"/>
      </rPr>
      <t xml:space="preserve"> = 1</t>
    </r>
    <r>
      <rPr>
        <sz val="9"/>
        <rFont val="ＭＳ Ｐゴシック"/>
        <family val="3"/>
        <charset val="128"/>
      </rPr>
      <t>セットの最大用紙枚数</t>
    </r>
    <r>
      <rPr>
        <sz val="9"/>
        <rFont val="Arial"/>
        <family val="2"/>
      </rPr>
      <t xml:space="preserve"> </t>
    </r>
    <r>
      <rPr>
        <sz val="9"/>
        <rFont val="ＭＳ Ｐゴシック"/>
        <family val="3"/>
        <charset val="128"/>
      </rPr>
      <t>÷</t>
    </r>
    <r>
      <rPr>
        <sz val="9"/>
        <rFont val="Arial"/>
        <family val="2"/>
      </rPr>
      <t xml:space="preserve"> </t>
    </r>
    <r>
      <rPr>
        <sz val="9"/>
        <rFont val="ＭＳ Ｐゴシック"/>
        <family val="3"/>
        <charset val="128"/>
      </rPr>
      <t>用紙種類と坪量ごとの最大用紙枚数</t>
    </r>
    <phoneticPr fontId="8"/>
  </si>
  <si>
    <t>D2G-Fin</t>
    <phoneticPr fontId="8"/>
  </si>
  <si>
    <r>
      <t>注</t>
    </r>
    <r>
      <rPr>
        <sz val="9"/>
        <rFont val="Arial"/>
        <family val="2"/>
      </rPr>
      <t>5</t>
    </r>
    <phoneticPr fontId="8"/>
  </si>
  <si>
    <r>
      <rPr>
        <sz val="9"/>
        <rFont val="Arial"/>
        <family val="2"/>
      </rPr>
      <t xml:space="preserve">   D2G-Fin</t>
    </r>
    <r>
      <rPr>
        <sz val="9"/>
        <rFont val="ＭＳ Ｐゴシック"/>
        <family val="3"/>
        <charset val="128"/>
      </rPr>
      <t>：用紙種類と坪量ごとの換算枚数</t>
    </r>
    <r>
      <rPr>
        <sz val="9"/>
        <rFont val="Arial"/>
        <family val="2"/>
      </rPr>
      <t xml:space="preserve"> = 1</t>
    </r>
    <r>
      <rPr>
        <sz val="9"/>
        <rFont val="ＭＳ Ｐゴシック"/>
        <family val="3"/>
        <charset val="128"/>
      </rPr>
      <t>セットの最大用紙枚数÷</t>
    </r>
    <r>
      <rPr>
        <sz val="9"/>
        <rFont val="Arial"/>
        <family val="2"/>
      </rPr>
      <t xml:space="preserve"> </t>
    </r>
    <r>
      <rPr>
        <sz val="9"/>
        <rFont val="ＭＳ Ｐゴシック"/>
        <family val="3"/>
        <charset val="128"/>
      </rPr>
      <t>用紙種類と坪量ごとの最大用紙枚数</t>
    </r>
    <phoneticPr fontId="8"/>
  </si>
  <si>
    <r>
      <rPr>
        <sz val="9"/>
        <rFont val="Arial"/>
        <family val="2"/>
      </rPr>
      <t xml:space="preserve">   CH-Fin</t>
    </r>
    <r>
      <rPr>
        <sz val="9"/>
        <rFont val="ＭＳ Ｐゴシック"/>
        <family val="3"/>
        <charset val="128"/>
      </rPr>
      <t>：</t>
    </r>
    <r>
      <rPr>
        <sz val="9"/>
        <rFont val="Arial"/>
        <family val="2"/>
      </rPr>
      <t xml:space="preserve">   </t>
    </r>
    <r>
      <rPr>
        <sz val="9"/>
        <rFont val="ＭＳ Ｐゴシック"/>
        <family val="3"/>
        <charset val="128"/>
      </rPr>
      <t>用紙種類と坪量ごとの換算枚数</t>
    </r>
    <r>
      <rPr>
        <sz val="9"/>
        <rFont val="Arial"/>
        <family val="2"/>
      </rPr>
      <t xml:space="preserve"> = 1</t>
    </r>
    <r>
      <rPr>
        <sz val="9"/>
        <rFont val="ＭＳ Ｐゴシック"/>
        <family val="3"/>
        <charset val="128"/>
      </rPr>
      <t>セットの最大用紙枚数÷</t>
    </r>
    <r>
      <rPr>
        <sz val="9"/>
        <rFont val="Arial"/>
        <family val="2"/>
      </rPr>
      <t xml:space="preserve"> </t>
    </r>
    <r>
      <rPr>
        <sz val="9"/>
        <rFont val="ＭＳ Ｐゴシック"/>
        <family val="3"/>
        <charset val="128"/>
      </rPr>
      <t>用紙種類と坪量ごとの最大用紙枚数</t>
    </r>
    <phoneticPr fontId="8"/>
  </si>
  <si>
    <t>S</t>
    <phoneticPr fontId="8"/>
  </si>
  <si>
    <t>×</t>
    <phoneticPr fontId="8"/>
  </si>
  <si>
    <t>O</t>
    <phoneticPr fontId="8"/>
  </si>
  <si>
    <t>HCF3_5</t>
    <phoneticPr fontId="8"/>
  </si>
  <si>
    <r>
      <rPr>
        <sz val="10"/>
        <rFont val="ＭＳ Ｐゴシック"/>
        <family val="3"/>
        <charset val="128"/>
      </rPr>
      <t>いずれかの</t>
    </r>
    <r>
      <rPr>
        <sz val="10"/>
        <rFont val="Arial"/>
        <family val="2"/>
      </rPr>
      <t>HCF</t>
    </r>
    <phoneticPr fontId="8"/>
  </si>
  <si>
    <r>
      <t>2</t>
    </r>
    <r>
      <rPr>
        <sz val="10"/>
        <rFont val="ＭＳ Ｐゴシック"/>
        <family val="3"/>
        <charset val="128"/>
      </rPr>
      <t>段</t>
    </r>
    <r>
      <rPr>
        <sz val="10"/>
        <rFont val="Arial"/>
        <family val="2"/>
      </rPr>
      <t>HCF</t>
    </r>
    <rPh sb="1" eb="2">
      <t>ダン</t>
    </rPh>
    <phoneticPr fontId="8"/>
  </si>
  <si>
    <r>
      <t>2</t>
    </r>
    <r>
      <rPr>
        <sz val="10"/>
        <rFont val="ＭＳ Ｐゴシック"/>
        <family val="3"/>
        <charset val="128"/>
      </rPr>
      <t>台目の</t>
    </r>
    <r>
      <rPr>
        <sz val="10"/>
        <rFont val="Arial"/>
        <family val="2"/>
      </rPr>
      <t>HCF</t>
    </r>
    <rPh sb="1" eb="3">
      <t>ダイメ</t>
    </rPh>
    <phoneticPr fontId="8"/>
  </si>
  <si>
    <r>
      <rPr>
        <sz val="10"/>
        <rFont val="ＭＳ Ｐゴシック"/>
        <family val="3"/>
        <charset val="128"/>
      </rPr>
      <t>トレイ段数</t>
    </r>
  </si>
  <si>
    <r>
      <rPr>
        <sz val="10"/>
        <rFont val="ＭＳ Ｐゴシック"/>
        <family val="3"/>
        <charset val="128"/>
      </rPr>
      <t>自動検知</t>
    </r>
  </si>
  <si>
    <r>
      <t>SMH</t>
    </r>
    <r>
      <rPr>
        <sz val="10"/>
        <rFont val="ＭＳ Ｐゴシック"/>
        <family val="3"/>
        <charset val="128"/>
      </rPr>
      <t>の有無</t>
    </r>
  </si>
  <si>
    <r>
      <rPr>
        <sz val="10"/>
        <rFont val="ＭＳ Ｐゴシック"/>
        <family val="3"/>
        <charset val="128"/>
      </rPr>
      <t>標準</t>
    </r>
  </si>
  <si>
    <r>
      <t>"</t>
    </r>
    <r>
      <rPr>
        <sz val="10"/>
        <rFont val="ＭＳ Ｐゴシック"/>
        <family val="3"/>
        <charset val="128"/>
      </rPr>
      <t>無し</t>
    </r>
    <r>
      <rPr>
        <sz val="10"/>
        <rFont val="Arial"/>
        <family val="2"/>
      </rPr>
      <t>"</t>
    </r>
    <r>
      <rPr>
        <sz val="10"/>
        <rFont val="ＭＳ Ｐゴシック"/>
        <family val="3"/>
        <charset val="128"/>
      </rPr>
      <t>、</t>
    </r>
    <r>
      <rPr>
        <sz val="10"/>
        <rFont val="Arial"/>
        <family val="2"/>
      </rPr>
      <t>"</t>
    </r>
    <r>
      <rPr>
        <sz val="10"/>
        <rFont val="ＭＳ Ｐゴシック"/>
        <family val="3"/>
        <charset val="128"/>
      </rPr>
      <t>有り</t>
    </r>
    <r>
      <rPr>
        <sz val="10"/>
        <rFont val="Arial"/>
        <family val="2"/>
      </rPr>
      <t>"</t>
    </r>
  </si>
  <si>
    <r>
      <t>Interposer Tray</t>
    </r>
    <r>
      <rPr>
        <sz val="10"/>
        <rFont val="ＭＳ Ｐゴシック"/>
        <family val="3"/>
        <charset val="128"/>
      </rPr>
      <t>の有無</t>
    </r>
  </si>
  <si>
    <r>
      <t>TTM</t>
    </r>
    <r>
      <rPr>
        <sz val="10"/>
        <rFont val="ＭＳ Ｐゴシック"/>
        <family val="3"/>
        <charset val="128"/>
      </rPr>
      <t>の有無</t>
    </r>
  </si>
  <si>
    <r>
      <t>HTM</t>
    </r>
    <r>
      <rPr>
        <sz val="10"/>
        <rFont val="ＭＳ Ｐゴシック"/>
        <family val="3"/>
        <charset val="128"/>
      </rPr>
      <t>の有無</t>
    </r>
  </si>
  <si>
    <r>
      <t>MultiTray</t>
    </r>
    <r>
      <rPr>
        <sz val="10"/>
        <rFont val="ＭＳ Ｐゴシック"/>
        <family val="3"/>
        <charset val="128"/>
      </rPr>
      <t>の有無</t>
    </r>
  </si>
  <si>
    <r>
      <t>1</t>
    </r>
    <r>
      <rPr>
        <sz val="10"/>
        <rFont val="ＭＳ Ｐゴシック"/>
        <family val="3"/>
        <charset val="128"/>
      </rPr>
      <t>段</t>
    </r>
    <r>
      <rPr>
        <sz val="10"/>
        <rFont val="Arial"/>
        <family val="2"/>
      </rPr>
      <t>HCF</t>
    </r>
    <r>
      <rPr>
        <sz val="10"/>
        <rFont val="ＭＳ Ｐゴシック"/>
        <family val="3"/>
        <charset val="128"/>
      </rPr>
      <t>（</t>
    </r>
    <r>
      <rPr>
        <sz val="10"/>
        <rFont val="Arial"/>
        <family val="2"/>
      </rPr>
      <t>PF2 HCF</t>
    </r>
    <r>
      <rPr>
        <sz val="10"/>
        <rFont val="ＭＳ Ｐゴシック"/>
        <family val="3"/>
        <charset val="128"/>
      </rPr>
      <t>）の有無</t>
    </r>
    <phoneticPr fontId="8"/>
  </si>
  <si>
    <r>
      <t>2</t>
    </r>
    <r>
      <rPr>
        <sz val="10"/>
        <rFont val="ＭＳ Ｐゴシック"/>
        <family val="3"/>
        <charset val="128"/>
      </rPr>
      <t>段</t>
    </r>
    <r>
      <rPr>
        <sz val="10"/>
        <rFont val="Arial"/>
        <family val="2"/>
      </rPr>
      <t>HCF</t>
    </r>
    <r>
      <rPr>
        <sz val="10"/>
        <rFont val="ＭＳ Ｐゴシック"/>
        <family val="3"/>
        <charset val="128"/>
      </rPr>
      <t>（</t>
    </r>
    <r>
      <rPr>
        <sz val="10"/>
        <rFont val="Arial"/>
        <family val="2"/>
      </rPr>
      <t>PF1 HCF</t>
    </r>
    <r>
      <rPr>
        <sz val="10"/>
        <rFont val="ＭＳ Ｐゴシック"/>
        <family val="3"/>
        <charset val="128"/>
      </rPr>
      <t>）の有無</t>
    </r>
  </si>
  <si>
    <r>
      <t>1</t>
    </r>
    <r>
      <rPr>
        <sz val="10"/>
        <rFont val="ＭＳ Ｐゴシック"/>
        <family val="3"/>
        <charset val="128"/>
      </rPr>
      <t>段</t>
    </r>
    <r>
      <rPr>
        <sz val="10"/>
        <rFont val="Arial"/>
        <family val="2"/>
      </rPr>
      <t>A3</t>
    </r>
    <r>
      <rPr>
        <sz val="10"/>
        <rFont val="ＭＳ Ｐゴシック"/>
        <family val="3"/>
        <charset val="128"/>
      </rPr>
      <t>のび</t>
    </r>
    <r>
      <rPr>
        <sz val="10"/>
        <rFont val="Arial"/>
        <family val="2"/>
      </rPr>
      <t>HCF</t>
    </r>
    <r>
      <rPr>
        <sz val="10"/>
        <rFont val="ＭＳ Ｐゴシック"/>
        <family val="3"/>
        <charset val="128"/>
      </rPr>
      <t>（</t>
    </r>
    <r>
      <rPr>
        <sz val="10"/>
        <rFont val="Arial"/>
        <family val="2"/>
      </rPr>
      <t>PF3 HCF</t>
    </r>
    <r>
      <rPr>
        <sz val="10"/>
        <rFont val="ＭＳ Ｐゴシック"/>
        <family val="3"/>
        <charset val="128"/>
      </rPr>
      <t>）の有無</t>
    </r>
    <phoneticPr fontId="8"/>
  </si>
  <si>
    <r>
      <t>1</t>
    </r>
    <r>
      <rPr>
        <sz val="10"/>
        <rFont val="ＭＳ Ｐゴシック"/>
        <family val="3"/>
        <charset val="128"/>
      </rPr>
      <t>段</t>
    </r>
    <r>
      <rPr>
        <sz val="10"/>
        <rFont val="Arial"/>
        <family val="2"/>
      </rPr>
      <t>A3</t>
    </r>
    <r>
      <rPr>
        <sz val="10"/>
        <rFont val="ＭＳ Ｐゴシック"/>
        <family val="3"/>
        <charset val="128"/>
      </rPr>
      <t>のび</t>
    </r>
    <r>
      <rPr>
        <sz val="10"/>
        <rFont val="Arial"/>
        <family val="2"/>
      </rPr>
      <t>HCF</t>
    </r>
    <r>
      <rPr>
        <sz val="10"/>
        <rFont val="ＭＳ Ｐゴシック"/>
        <family val="3"/>
        <charset val="128"/>
      </rPr>
      <t>（</t>
    </r>
    <r>
      <rPr>
        <sz val="10"/>
        <rFont val="Arial"/>
        <family val="2"/>
      </rPr>
      <t>PF3.1 HCF</t>
    </r>
    <r>
      <rPr>
        <sz val="10"/>
        <rFont val="ＭＳ Ｐゴシック"/>
        <family val="3"/>
        <charset val="128"/>
      </rPr>
      <t>）の有無</t>
    </r>
    <phoneticPr fontId="8"/>
  </si>
  <si>
    <r>
      <t>2</t>
    </r>
    <r>
      <rPr>
        <sz val="10"/>
        <rFont val="ＭＳ Ｐゴシック"/>
        <family val="3"/>
        <charset val="128"/>
      </rPr>
      <t>段</t>
    </r>
    <r>
      <rPr>
        <sz val="10"/>
        <rFont val="Arial"/>
        <family val="2"/>
      </rPr>
      <t>A3</t>
    </r>
    <r>
      <rPr>
        <sz val="10"/>
        <rFont val="ＭＳ Ｐゴシック"/>
        <family val="3"/>
        <charset val="128"/>
      </rPr>
      <t>のび</t>
    </r>
    <r>
      <rPr>
        <sz val="10"/>
        <rFont val="Arial"/>
        <family val="2"/>
      </rPr>
      <t>HCF</t>
    </r>
    <r>
      <rPr>
        <sz val="10"/>
        <rFont val="ＭＳ Ｐゴシック"/>
        <family val="3"/>
        <charset val="128"/>
      </rPr>
      <t>（</t>
    </r>
    <r>
      <rPr>
        <sz val="10"/>
        <rFont val="Arial"/>
        <family val="2"/>
      </rPr>
      <t>PF3.2 HCF</t>
    </r>
    <r>
      <rPr>
        <sz val="10"/>
        <rFont val="ＭＳ Ｐゴシック"/>
        <family val="3"/>
        <charset val="128"/>
      </rPr>
      <t>）の有無</t>
    </r>
  </si>
  <si>
    <r>
      <t>2</t>
    </r>
    <r>
      <rPr>
        <sz val="10"/>
        <rFont val="ＭＳ Ｐゴシック"/>
        <family val="3"/>
        <charset val="128"/>
      </rPr>
      <t>段</t>
    </r>
    <r>
      <rPr>
        <sz val="10"/>
        <rFont val="Arial"/>
        <family val="2"/>
      </rPr>
      <t>A3</t>
    </r>
    <r>
      <rPr>
        <sz val="10"/>
        <rFont val="ＭＳ Ｐゴシック"/>
        <family val="3"/>
        <charset val="128"/>
      </rPr>
      <t>のび</t>
    </r>
    <r>
      <rPr>
        <sz val="10"/>
        <rFont val="Arial"/>
        <family val="2"/>
      </rPr>
      <t>HCF</t>
    </r>
    <r>
      <rPr>
        <sz val="10"/>
        <rFont val="ＭＳ Ｐゴシック"/>
        <family val="3"/>
        <charset val="128"/>
      </rPr>
      <t>（</t>
    </r>
    <r>
      <rPr>
        <sz val="10"/>
        <rFont val="Arial"/>
        <family val="2"/>
      </rPr>
      <t>PF3.5 HCF</t>
    </r>
    <r>
      <rPr>
        <sz val="10"/>
        <rFont val="ＭＳ Ｐゴシック"/>
        <family val="3"/>
        <charset val="128"/>
      </rPr>
      <t>）の有無</t>
    </r>
    <r>
      <rPr>
        <sz val="10"/>
        <rFont val="Arial"/>
        <family val="2"/>
      </rPr>
      <t xml:space="preserve"> (</t>
    </r>
    <r>
      <rPr>
        <sz val="10"/>
        <rFont val="ＭＳ Ｐゴシック"/>
        <family val="3"/>
        <charset val="128"/>
      </rPr>
      <t>重連の場合</t>
    </r>
    <r>
      <rPr>
        <sz val="10"/>
        <rFont val="Arial"/>
        <family val="2"/>
      </rPr>
      <t>2</t>
    </r>
    <r>
      <rPr>
        <sz val="10"/>
        <rFont val="ＭＳ Ｐゴシック"/>
        <family val="3"/>
        <charset val="128"/>
      </rPr>
      <t>台目</t>
    </r>
    <r>
      <rPr>
        <sz val="10"/>
        <rFont val="Arial"/>
        <family val="2"/>
      </rPr>
      <t>)</t>
    </r>
  </si>
  <si>
    <r>
      <t>Duplex Module</t>
    </r>
    <r>
      <rPr>
        <sz val="10"/>
        <rFont val="ＭＳ Ｐゴシック"/>
        <family val="3"/>
        <charset val="128"/>
      </rPr>
      <t>の有無</t>
    </r>
  </si>
  <si>
    <r>
      <t>Inverter</t>
    </r>
    <r>
      <rPr>
        <sz val="10"/>
        <rFont val="ＭＳ Ｐゴシック"/>
        <family val="3"/>
        <charset val="128"/>
      </rPr>
      <t>の有無</t>
    </r>
    <rPh sb="9" eb="11">
      <t>ウム</t>
    </rPh>
    <phoneticPr fontId="8"/>
  </si>
  <si>
    <r>
      <t>Center Tray #1</t>
    </r>
    <r>
      <rPr>
        <sz val="10"/>
        <rFont val="ＭＳ Ｐゴシック"/>
        <family val="3"/>
        <charset val="128"/>
      </rPr>
      <t>の有無</t>
    </r>
    <r>
      <rPr>
        <sz val="10"/>
        <rFont val="Arial"/>
        <family val="2"/>
      </rPr>
      <t xml:space="preserve"> </t>
    </r>
  </si>
  <si>
    <r>
      <t>Center Tray #2</t>
    </r>
    <r>
      <rPr>
        <sz val="10"/>
        <rFont val="ＭＳ Ｐゴシック"/>
        <family val="3"/>
        <charset val="128"/>
      </rPr>
      <t>の有無</t>
    </r>
    <r>
      <rPr>
        <sz val="10"/>
        <rFont val="Arial"/>
        <family val="2"/>
      </rPr>
      <t xml:space="preserve"> </t>
    </r>
  </si>
  <si>
    <r>
      <t>Center Tray #1</t>
    </r>
    <r>
      <rPr>
        <sz val="10"/>
        <rFont val="ＭＳ Ｐゴシック"/>
        <family val="3"/>
        <charset val="128"/>
      </rPr>
      <t>のオフセット排出機能の有無</t>
    </r>
  </si>
  <si>
    <r>
      <t>Center Tray #2</t>
    </r>
    <r>
      <rPr>
        <sz val="10"/>
        <rFont val="ＭＳ Ｐゴシック"/>
        <family val="3"/>
        <charset val="128"/>
      </rPr>
      <t>のオフセット排出機能の有無</t>
    </r>
  </si>
  <si>
    <r>
      <t>Side Tray</t>
    </r>
    <r>
      <rPr>
        <sz val="10"/>
        <rFont val="ＭＳ Ｐゴシック"/>
        <family val="3"/>
        <charset val="128"/>
      </rPr>
      <t>の有無　</t>
    </r>
    <r>
      <rPr>
        <sz val="10"/>
        <rFont val="Arial"/>
        <family val="2"/>
      </rPr>
      <t>*4</t>
    </r>
  </si>
  <si>
    <r>
      <t>SCT(Single Catch Tray)</t>
    </r>
    <r>
      <rPr>
        <sz val="10"/>
        <rFont val="ＭＳ Ｐゴシック"/>
        <family val="3"/>
        <charset val="128"/>
      </rPr>
      <t>の有無</t>
    </r>
  </si>
  <si>
    <r>
      <t>OCT(Offset Catch Tray)</t>
    </r>
    <r>
      <rPr>
        <sz val="10"/>
        <rFont val="ＭＳ Ｐゴシック"/>
        <family val="3"/>
        <charset val="128"/>
      </rPr>
      <t>の有無</t>
    </r>
  </si>
  <si>
    <r>
      <t>LCT(Large Catch Tray)</t>
    </r>
    <r>
      <rPr>
        <sz val="10"/>
        <rFont val="ＭＳ Ｐゴシック"/>
        <family val="3"/>
        <charset val="128"/>
      </rPr>
      <t>の有無</t>
    </r>
  </si>
  <si>
    <r>
      <rPr>
        <sz val="10"/>
        <rFont val="ＭＳ Ｐゴシック"/>
        <family val="3"/>
        <charset val="128"/>
      </rPr>
      <t>検知不可</t>
    </r>
  </si>
  <si>
    <r>
      <t>SCT</t>
    </r>
    <r>
      <rPr>
        <sz val="10"/>
        <rFont val="ＭＳ Ｐゴシック"/>
        <family val="3"/>
        <charset val="128"/>
      </rPr>
      <t>とみなされる</t>
    </r>
    <phoneticPr fontId="8"/>
  </si>
  <si>
    <r>
      <t>A Finisher</t>
    </r>
    <r>
      <rPr>
        <sz val="10"/>
        <rFont val="ＭＳ Ｐゴシック"/>
        <family val="3"/>
        <charset val="128"/>
      </rPr>
      <t>の有無</t>
    </r>
  </si>
  <si>
    <r>
      <t>GA Finisher</t>
    </r>
    <r>
      <rPr>
        <sz val="10"/>
        <rFont val="ＭＳ Ｐゴシック"/>
        <family val="3"/>
        <charset val="128"/>
      </rPr>
      <t>の有無</t>
    </r>
  </si>
  <si>
    <r>
      <t>GPF A4 Finisher</t>
    </r>
    <r>
      <rPr>
        <sz val="10"/>
        <rFont val="ＭＳ Ｐゴシック"/>
        <family val="3"/>
        <charset val="128"/>
      </rPr>
      <t>の有無</t>
    </r>
  </si>
  <si>
    <r>
      <t>GPF A4 Mailbox</t>
    </r>
    <r>
      <rPr>
        <sz val="10"/>
        <rFont val="ＭＳ Ｐゴシック"/>
        <family val="3"/>
        <charset val="128"/>
      </rPr>
      <t>の有無</t>
    </r>
  </si>
  <si>
    <r>
      <t>B Finisher</t>
    </r>
    <r>
      <rPr>
        <sz val="10"/>
        <rFont val="ＭＳ Ｐゴシック"/>
        <family val="3"/>
        <charset val="128"/>
      </rPr>
      <t>の有無　</t>
    </r>
    <r>
      <rPr>
        <sz val="10"/>
        <rFont val="Arial"/>
        <family val="2"/>
      </rPr>
      <t>*5</t>
    </r>
  </si>
  <si>
    <r>
      <t>SB Finisher</t>
    </r>
    <r>
      <rPr>
        <sz val="10"/>
        <rFont val="ＭＳ Ｐゴシック"/>
        <family val="3"/>
        <charset val="128"/>
      </rPr>
      <t>の有無</t>
    </r>
  </si>
  <si>
    <r>
      <t>C Finisher</t>
    </r>
    <r>
      <rPr>
        <sz val="10"/>
        <rFont val="ＭＳ Ｐゴシック"/>
        <family val="3"/>
        <charset val="128"/>
      </rPr>
      <t>の有無</t>
    </r>
  </si>
  <si>
    <r>
      <t>CH Finisher</t>
    </r>
    <r>
      <rPr>
        <sz val="10"/>
        <rFont val="ＭＳ Ｐゴシック"/>
        <family val="3"/>
        <charset val="128"/>
      </rPr>
      <t>の有無</t>
    </r>
  </si>
  <si>
    <r>
      <t>D Finisher</t>
    </r>
    <r>
      <rPr>
        <sz val="10"/>
        <rFont val="ＭＳ Ｐゴシック"/>
        <family val="3"/>
        <charset val="128"/>
      </rPr>
      <t>の有無</t>
    </r>
  </si>
  <si>
    <r>
      <t>D2G-Finisher</t>
    </r>
    <r>
      <rPr>
        <sz val="10"/>
        <rFont val="ＭＳ Ｐゴシック"/>
        <family val="3"/>
        <charset val="128"/>
      </rPr>
      <t>の有無</t>
    </r>
  </si>
  <si>
    <r>
      <t>CDM (Cooling Decurler Module)</t>
    </r>
    <r>
      <rPr>
        <sz val="10"/>
        <rFont val="ＭＳ Ｐゴシック"/>
        <family val="3"/>
        <charset val="128"/>
      </rPr>
      <t>の有無</t>
    </r>
  </si>
  <si>
    <r>
      <t>RPM (RP Module)</t>
    </r>
    <r>
      <rPr>
        <sz val="10"/>
        <rFont val="ＭＳ Ｐゴシック"/>
        <family val="3"/>
        <charset val="128"/>
      </rPr>
      <t>の有無</t>
    </r>
    <phoneticPr fontId="8"/>
  </si>
  <si>
    <r>
      <t>Coil Puncher</t>
    </r>
    <r>
      <rPr>
        <sz val="10"/>
        <rFont val="ＭＳ Ｐゴシック"/>
        <family val="3"/>
        <charset val="128"/>
      </rPr>
      <t>の有無</t>
    </r>
  </si>
  <si>
    <r>
      <t>Sparta Coil Puncher</t>
    </r>
    <r>
      <rPr>
        <sz val="10"/>
        <rFont val="ＭＳ Ｐゴシック"/>
        <family val="3"/>
        <charset val="128"/>
      </rPr>
      <t>の有無</t>
    </r>
  </si>
  <si>
    <r>
      <t>HCS</t>
    </r>
    <r>
      <rPr>
        <sz val="10"/>
        <rFont val="ＭＳ Ｐゴシック"/>
        <family val="3"/>
        <charset val="128"/>
      </rPr>
      <t>の有無</t>
    </r>
  </si>
  <si>
    <r>
      <t>HCS2</t>
    </r>
    <r>
      <rPr>
        <sz val="10"/>
        <rFont val="ＭＳ Ｐゴシック"/>
        <family val="3"/>
        <charset val="128"/>
      </rPr>
      <t>の有無</t>
    </r>
  </si>
  <si>
    <r>
      <rPr>
        <sz val="10"/>
        <rFont val="ＭＳ Ｐゴシック"/>
        <family val="3"/>
        <charset val="128"/>
      </rPr>
      <t>くるみ製本機の有無</t>
    </r>
  </si>
  <si>
    <r>
      <t>PFIM</t>
    </r>
    <r>
      <rPr>
        <sz val="10"/>
        <rFont val="ＭＳ Ｐゴシック"/>
        <family val="3"/>
        <charset val="128"/>
      </rPr>
      <t>の有無</t>
    </r>
  </si>
  <si>
    <r>
      <t>Puncher</t>
    </r>
    <r>
      <rPr>
        <sz val="10"/>
        <rFont val="ＭＳ Ｐゴシック"/>
        <family val="3"/>
        <charset val="128"/>
      </rPr>
      <t>の有無</t>
    </r>
  </si>
  <si>
    <r>
      <t>Booklet</t>
    </r>
    <r>
      <rPr>
        <sz val="10"/>
        <rFont val="ＭＳ Ｐゴシック"/>
        <family val="3"/>
        <charset val="128"/>
      </rPr>
      <t>の有無</t>
    </r>
  </si>
  <si>
    <r>
      <t>Folder</t>
    </r>
    <r>
      <rPr>
        <sz val="10"/>
        <rFont val="ＭＳ Ｐゴシック"/>
        <family val="3"/>
        <charset val="128"/>
      </rPr>
      <t>の有無</t>
    </r>
  </si>
  <si>
    <r>
      <t>Creaser</t>
    </r>
    <r>
      <rPr>
        <sz val="10"/>
        <rFont val="ＭＳ Ｐゴシック"/>
        <family val="3"/>
        <charset val="128"/>
      </rPr>
      <t>の有無</t>
    </r>
  </si>
  <si>
    <r>
      <t>05)</t>
    </r>
    <r>
      <rPr>
        <sz val="7"/>
        <rFont val="Times New Roman"/>
        <family val="1"/>
      </rPr>
      <t xml:space="preserve"> </t>
    </r>
    <r>
      <rPr>
        <sz val="9"/>
        <rFont val="Arial"/>
        <family val="2"/>
      </rPr>
      <t xml:space="preserve"> (IOT)</t>
    </r>
    <r>
      <rPr>
        <sz val="9"/>
        <rFont val="ＭＳ Ｐゴシック"/>
        <family val="3"/>
        <charset val="128"/>
      </rPr>
      <t>→</t>
    </r>
    <r>
      <rPr>
        <sz val="9"/>
        <rFont val="Arial"/>
        <family val="2"/>
      </rPr>
      <t>CDM</t>
    </r>
    <r>
      <rPr>
        <sz val="9"/>
        <rFont val="ＭＳ Ｐゴシック"/>
        <family val="3"/>
        <charset val="128"/>
      </rPr>
      <t>→</t>
    </r>
    <r>
      <rPr>
        <sz val="9"/>
        <rFont val="Arial"/>
        <family val="2"/>
      </rPr>
      <t>(Interposer Unit)</t>
    </r>
    <r>
      <rPr>
        <sz val="9"/>
        <rFont val="ＭＳ Ｐゴシック"/>
        <family val="3"/>
        <charset val="128"/>
      </rPr>
      <t>→</t>
    </r>
    <r>
      <rPr>
        <sz val="9"/>
        <rFont val="Arial"/>
        <family val="2"/>
      </rPr>
      <t>(SCP)→HCS</t>
    </r>
    <phoneticPr fontId="8"/>
  </si>
  <si>
    <r>
      <t>06)</t>
    </r>
    <r>
      <rPr>
        <sz val="7"/>
        <rFont val="Times New Roman"/>
        <family val="1"/>
      </rPr>
      <t xml:space="preserve"> </t>
    </r>
    <r>
      <rPr>
        <sz val="9"/>
        <rFont val="Arial"/>
        <family val="2"/>
      </rPr>
      <t xml:space="preserve"> (IOT)</t>
    </r>
    <r>
      <rPr>
        <sz val="9"/>
        <rFont val="ＭＳ Ｐゴシック"/>
        <family val="3"/>
        <charset val="128"/>
      </rPr>
      <t>→</t>
    </r>
    <r>
      <rPr>
        <sz val="9"/>
        <rFont val="Arial"/>
        <family val="2"/>
      </rPr>
      <t>CDM</t>
    </r>
    <r>
      <rPr>
        <sz val="9"/>
        <rFont val="ＭＳ Ｐゴシック"/>
        <family val="3"/>
        <charset val="128"/>
      </rPr>
      <t>→</t>
    </r>
    <r>
      <rPr>
        <sz val="9"/>
        <rFont val="Arial"/>
        <family val="2"/>
      </rPr>
      <t>(Interposer Unit)</t>
    </r>
    <r>
      <rPr>
        <sz val="9"/>
        <rFont val="ＭＳ Ｐゴシック"/>
        <family val="3"/>
        <charset val="128"/>
      </rPr>
      <t>→</t>
    </r>
    <r>
      <rPr>
        <sz val="9"/>
        <rFont val="Arial"/>
        <family val="2"/>
      </rPr>
      <t>(SCP)→(HCS)</t>
    </r>
    <r>
      <rPr>
        <sz val="9"/>
        <rFont val="ＭＳ Ｐゴシック"/>
        <family val="3"/>
        <charset val="128"/>
      </rPr>
      <t>→</t>
    </r>
    <r>
      <rPr>
        <sz val="9"/>
        <rFont val="Arial"/>
        <family val="2"/>
      </rPr>
      <t>(TBM/TCBM)</t>
    </r>
    <r>
      <rPr>
        <sz val="9"/>
        <rFont val="ＭＳ Ｐゴシック"/>
        <family val="3"/>
        <charset val="128"/>
      </rPr>
      <t>→</t>
    </r>
    <r>
      <rPr>
        <sz val="9"/>
        <rFont val="Arial"/>
        <family val="2"/>
      </rPr>
      <t>(Folder Unit)</t>
    </r>
    <r>
      <rPr>
        <sz val="9"/>
        <rFont val="ＭＳ Ｐゴシック"/>
        <family val="3"/>
        <charset val="128"/>
      </rPr>
      <t>→</t>
    </r>
    <r>
      <rPr>
        <sz val="9"/>
        <rFont val="Arial"/>
        <family val="2"/>
      </rPr>
      <t>D2G-Fin</t>
    </r>
    <phoneticPr fontId="8"/>
  </si>
  <si>
    <r>
      <t>07)</t>
    </r>
    <r>
      <rPr>
        <sz val="7"/>
        <rFont val="Times New Roman"/>
        <family val="1"/>
      </rPr>
      <t xml:space="preserve"> </t>
    </r>
    <r>
      <rPr>
        <sz val="9"/>
        <rFont val="Arial"/>
        <family val="2"/>
      </rPr>
      <t xml:space="preserve"> (IOT)</t>
    </r>
    <r>
      <rPr>
        <sz val="9"/>
        <rFont val="ＭＳ Ｐゴシック"/>
        <family val="3"/>
        <charset val="128"/>
      </rPr>
      <t>→</t>
    </r>
    <r>
      <rPr>
        <sz val="9"/>
        <rFont val="Arial"/>
        <family val="2"/>
      </rPr>
      <t>CDM</t>
    </r>
    <r>
      <rPr>
        <sz val="9"/>
        <rFont val="ＭＳ Ｐゴシック"/>
        <family val="3"/>
        <charset val="128"/>
      </rPr>
      <t>→</t>
    </r>
    <r>
      <rPr>
        <sz val="9"/>
        <rFont val="Arial"/>
        <family val="2"/>
      </rPr>
      <t>(Interposer Unit)</t>
    </r>
    <r>
      <rPr>
        <sz val="9"/>
        <rFont val="ＭＳ Ｐゴシック"/>
        <family val="3"/>
        <charset val="128"/>
      </rPr>
      <t>→</t>
    </r>
    <r>
      <rPr>
        <sz val="9"/>
        <rFont val="Arial"/>
        <family val="2"/>
      </rPr>
      <t>(SCP)→(HCS)</t>
    </r>
    <r>
      <rPr>
        <sz val="9"/>
        <rFont val="ＭＳ Ｐゴシック"/>
        <family val="3"/>
        <charset val="128"/>
      </rPr>
      <t>→</t>
    </r>
    <r>
      <rPr>
        <sz val="9"/>
        <rFont val="Arial"/>
        <family val="2"/>
      </rPr>
      <t>(TBM/TCBM)</t>
    </r>
    <r>
      <rPr>
        <sz val="9"/>
        <rFont val="ＭＳ Ｐゴシック"/>
        <family val="3"/>
        <charset val="128"/>
      </rPr>
      <t>→</t>
    </r>
    <r>
      <rPr>
        <sz val="9"/>
        <rFont val="Arial"/>
        <family val="2"/>
      </rPr>
      <t>(Folder Unit)</t>
    </r>
    <r>
      <rPr>
        <sz val="9"/>
        <rFont val="ＭＳ Ｐゴシック"/>
        <family val="3"/>
        <charset val="128"/>
      </rPr>
      <t>→</t>
    </r>
    <r>
      <rPr>
        <sz val="9"/>
        <rFont val="Arial"/>
        <family val="2"/>
      </rPr>
      <t>D2G-Fin-Booklet</t>
    </r>
    <r>
      <rPr>
        <sz val="9"/>
        <rFont val="ＭＳ Ｐゴシック"/>
        <family val="3"/>
        <charset val="128"/>
      </rPr>
      <t>→</t>
    </r>
    <r>
      <rPr>
        <sz val="9"/>
        <rFont val="Arial"/>
        <family val="2"/>
      </rPr>
      <t>(TSQF)</t>
    </r>
    <phoneticPr fontId="8"/>
  </si>
  <si>
    <r>
      <t>03)</t>
    </r>
    <r>
      <rPr>
        <sz val="7"/>
        <rFont val="Times New Roman"/>
        <family val="1"/>
      </rPr>
      <t xml:space="preserve"> </t>
    </r>
    <r>
      <rPr>
        <sz val="9"/>
        <rFont val="Arial"/>
        <family val="2"/>
      </rPr>
      <t xml:space="preserve"> (IOT)</t>
    </r>
    <r>
      <rPr>
        <sz val="9"/>
        <rFont val="ＭＳ Ｐゴシック"/>
        <family val="3"/>
        <charset val="128"/>
      </rPr>
      <t>→</t>
    </r>
    <r>
      <rPr>
        <sz val="9"/>
        <rFont val="Arial"/>
        <family val="2"/>
      </rPr>
      <t>(Folder Unit)</t>
    </r>
    <r>
      <rPr>
        <sz val="9"/>
        <rFont val="ＭＳ Ｐゴシック"/>
        <family val="3"/>
        <charset val="128"/>
      </rPr>
      <t>→</t>
    </r>
    <r>
      <rPr>
        <sz val="9"/>
        <rFont val="Arial"/>
        <family val="2"/>
      </rPr>
      <t>CH-Fin</t>
    </r>
    <phoneticPr fontId="8"/>
  </si>
  <si>
    <r>
      <t>04)</t>
    </r>
    <r>
      <rPr>
        <sz val="7"/>
        <rFont val="Times New Roman"/>
        <family val="1"/>
      </rPr>
      <t xml:space="preserve"> </t>
    </r>
    <r>
      <rPr>
        <sz val="9"/>
        <rFont val="Arial"/>
        <family val="2"/>
      </rPr>
      <t xml:space="preserve"> (IOT)</t>
    </r>
    <r>
      <rPr>
        <sz val="9"/>
        <rFont val="ＭＳ Ｐゴシック"/>
        <family val="3"/>
        <charset val="128"/>
      </rPr>
      <t>→</t>
    </r>
    <r>
      <rPr>
        <sz val="9"/>
        <rFont val="Arial"/>
        <family val="2"/>
      </rPr>
      <t>(Folder Unit)</t>
    </r>
    <r>
      <rPr>
        <sz val="9"/>
        <rFont val="ＭＳ Ｐゴシック"/>
        <family val="3"/>
        <charset val="128"/>
      </rPr>
      <t>→</t>
    </r>
    <r>
      <rPr>
        <sz val="9"/>
        <rFont val="Arial"/>
        <family val="2"/>
      </rPr>
      <t>CH-Fin-Booklet</t>
    </r>
    <phoneticPr fontId="8"/>
  </si>
  <si>
    <r>
      <rPr>
        <sz val="10"/>
        <color theme="0" tint="-0.249977111117893"/>
        <rFont val="Arial"/>
        <family val="2"/>
      </rPr>
      <t>"</t>
    </r>
    <r>
      <rPr>
        <sz val="10"/>
        <color theme="0" tint="-0.249977111117893"/>
        <rFont val="ＭＳ Ｐゴシック"/>
        <family val="3"/>
        <charset val="128"/>
      </rPr>
      <t>無し</t>
    </r>
    <r>
      <rPr>
        <sz val="10"/>
        <color theme="0" tint="-0.249977111117893"/>
        <rFont val="Arial"/>
        <family val="2"/>
      </rPr>
      <t>"</t>
    </r>
    <r>
      <rPr>
        <sz val="10"/>
        <color theme="0" tint="-0.249977111117893"/>
        <rFont val="ＭＳ Ｐゴシック"/>
        <family val="3"/>
        <charset val="128"/>
      </rPr>
      <t>、</t>
    </r>
    <r>
      <rPr>
        <sz val="10"/>
        <rFont val="Arial"/>
        <family val="2"/>
      </rPr>
      <t>"</t>
    </r>
    <r>
      <rPr>
        <sz val="10"/>
        <rFont val="ＭＳ Ｐゴシック"/>
        <family val="3"/>
        <charset val="128"/>
      </rPr>
      <t>有り</t>
    </r>
    <r>
      <rPr>
        <sz val="10"/>
        <rFont val="Arial"/>
        <family val="2"/>
      </rPr>
      <t>"</t>
    </r>
    <phoneticPr fontId="8"/>
  </si>
  <si>
    <r>
      <t>2</t>
    </r>
    <r>
      <rPr>
        <sz val="10"/>
        <rFont val="ＭＳ Ｐゴシック"/>
        <family val="3"/>
        <charset val="128"/>
      </rPr>
      <t>段</t>
    </r>
    <r>
      <rPr>
        <sz val="10"/>
        <rFont val="Arial"/>
        <family val="2"/>
      </rPr>
      <t>A3</t>
    </r>
    <r>
      <rPr>
        <sz val="10"/>
        <rFont val="ＭＳ Ｐゴシック"/>
        <family val="3"/>
        <charset val="128"/>
      </rPr>
      <t>のび</t>
    </r>
    <r>
      <rPr>
        <sz val="10"/>
        <rFont val="Arial"/>
        <family val="2"/>
      </rPr>
      <t>HCF</t>
    </r>
    <r>
      <rPr>
        <sz val="10"/>
        <rFont val="ＭＳ Ｐゴシック"/>
        <family val="3"/>
        <charset val="128"/>
      </rPr>
      <t>（</t>
    </r>
    <r>
      <rPr>
        <sz val="10"/>
        <rFont val="Arial"/>
        <family val="2"/>
      </rPr>
      <t>PF3.5 HCF</t>
    </r>
    <r>
      <rPr>
        <sz val="10"/>
        <rFont val="ＭＳ Ｐゴシック"/>
        <family val="3"/>
        <charset val="128"/>
      </rPr>
      <t>）の有無</t>
    </r>
    <r>
      <rPr>
        <sz val="10"/>
        <rFont val="Arial"/>
        <family val="2"/>
      </rPr>
      <t xml:space="preserve"> (</t>
    </r>
    <r>
      <rPr>
        <sz val="10"/>
        <rFont val="ＭＳ Ｐゴシック"/>
        <family val="3"/>
        <charset val="128"/>
      </rPr>
      <t>単結の場合</t>
    </r>
    <r>
      <rPr>
        <sz val="10"/>
        <rFont val="Arial"/>
        <family val="2"/>
      </rPr>
      <t>)</t>
    </r>
    <phoneticPr fontId="8"/>
  </si>
  <si>
    <r>
      <t>2</t>
    </r>
    <r>
      <rPr>
        <sz val="10"/>
        <rFont val="ＭＳ Ｐゴシック"/>
        <family val="3"/>
        <charset val="128"/>
      </rPr>
      <t>段</t>
    </r>
    <r>
      <rPr>
        <sz val="10"/>
        <rFont val="Arial"/>
        <family val="2"/>
      </rPr>
      <t>A3</t>
    </r>
    <r>
      <rPr>
        <sz val="10"/>
        <rFont val="ＭＳ Ｐゴシック"/>
        <family val="3"/>
        <charset val="128"/>
      </rPr>
      <t>のび</t>
    </r>
    <r>
      <rPr>
        <sz val="10"/>
        <rFont val="Arial"/>
        <family val="2"/>
      </rPr>
      <t>HCF</t>
    </r>
    <r>
      <rPr>
        <sz val="10"/>
        <rFont val="ＭＳ Ｐゴシック"/>
        <family val="3"/>
        <charset val="128"/>
      </rPr>
      <t>（</t>
    </r>
    <r>
      <rPr>
        <sz val="10"/>
        <rFont val="Arial"/>
        <family val="2"/>
      </rPr>
      <t>PF3.5 HCF</t>
    </r>
    <r>
      <rPr>
        <sz val="10"/>
        <rFont val="ＭＳ Ｐゴシック"/>
        <family val="3"/>
        <charset val="128"/>
      </rPr>
      <t>）の有無</t>
    </r>
    <r>
      <rPr>
        <sz val="10"/>
        <rFont val="Arial"/>
        <family val="2"/>
      </rPr>
      <t xml:space="preserve"> (</t>
    </r>
    <r>
      <rPr>
        <sz val="10"/>
        <rFont val="ＭＳ Ｐゴシック"/>
        <family val="3"/>
        <charset val="128"/>
      </rPr>
      <t>重連の場合</t>
    </r>
    <r>
      <rPr>
        <sz val="10"/>
        <rFont val="Arial"/>
        <family val="2"/>
      </rPr>
      <t>1</t>
    </r>
    <r>
      <rPr>
        <sz val="10"/>
        <rFont val="ＭＳ Ｐゴシック"/>
        <family val="3"/>
        <charset val="128"/>
      </rPr>
      <t>台目</t>
    </r>
    <r>
      <rPr>
        <sz val="10"/>
        <rFont val="Arial"/>
        <family val="2"/>
      </rPr>
      <t>)</t>
    </r>
    <phoneticPr fontId="8"/>
  </si>
  <si>
    <r>
      <t>"</t>
    </r>
    <r>
      <rPr>
        <sz val="10"/>
        <color theme="0" tint="-0.249977111117893"/>
        <rFont val="ＭＳ Ｐゴシック"/>
        <family val="3"/>
        <charset val="128"/>
      </rPr>
      <t>無し</t>
    </r>
    <r>
      <rPr>
        <sz val="10"/>
        <color theme="0" tint="-0.249977111117893"/>
        <rFont val="Arial"/>
        <family val="2"/>
      </rPr>
      <t>"</t>
    </r>
    <r>
      <rPr>
        <sz val="10"/>
        <color theme="0" tint="-0.249977111117893"/>
        <rFont val="ＭＳ Ｐゴシック"/>
        <family val="3"/>
        <charset val="128"/>
      </rPr>
      <t>、</t>
    </r>
    <r>
      <rPr>
        <sz val="10"/>
        <color theme="0" tint="-0.249977111117893"/>
        <rFont val="Arial"/>
        <family val="2"/>
      </rPr>
      <t>"</t>
    </r>
    <r>
      <rPr>
        <sz val="10"/>
        <color theme="0" tint="-0.249977111117893"/>
        <rFont val="ＭＳ Ｐゴシック"/>
        <family val="3"/>
        <charset val="128"/>
      </rPr>
      <t>有り</t>
    </r>
    <r>
      <rPr>
        <sz val="10"/>
        <color theme="0" tint="-0.249977111117893"/>
        <rFont val="Arial"/>
        <family val="2"/>
      </rPr>
      <t>"</t>
    </r>
  </si>
  <si>
    <r>
      <t>IFM (IF Module)</t>
    </r>
    <r>
      <rPr>
        <sz val="10"/>
        <rFont val="ＭＳ Ｐゴシック"/>
        <family val="3"/>
        <charset val="128"/>
      </rPr>
      <t>の有無</t>
    </r>
    <phoneticPr fontId="8"/>
  </si>
  <si>
    <r>
      <rPr>
        <sz val="10"/>
        <rFont val="ＭＳ Ｐゴシック"/>
        <family val="3"/>
        <charset val="128"/>
      </rPr>
      <t>自動検知</t>
    </r>
  </si>
  <si>
    <r>
      <t>"</t>
    </r>
    <r>
      <rPr>
        <sz val="10"/>
        <rFont val="ＭＳ Ｐゴシック"/>
        <family val="3"/>
        <charset val="128"/>
      </rPr>
      <t>無し</t>
    </r>
    <r>
      <rPr>
        <sz val="10"/>
        <rFont val="Arial"/>
        <family val="2"/>
      </rPr>
      <t>"</t>
    </r>
    <r>
      <rPr>
        <sz val="10"/>
        <rFont val="ＭＳ Ｐゴシック"/>
        <family val="3"/>
        <charset val="128"/>
      </rPr>
      <t>、</t>
    </r>
    <r>
      <rPr>
        <sz val="10"/>
        <rFont val="Arial"/>
        <family val="2"/>
      </rPr>
      <t>"</t>
    </r>
    <r>
      <rPr>
        <sz val="10"/>
        <rFont val="ＭＳ Ｐゴシック"/>
        <family val="3"/>
        <charset val="128"/>
      </rPr>
      <t>有り</t>
    </r>
    <r>
      <rPr>
        <sz val="10"/>
        <rFont val="Arial"/>
        <family val="2"/>
      </rPr>
      <t>"</t>
    </r>
  </si>
  <si>
    <r>
      <rPr>
        <sz val="10"/>
        <rFont val="Arial"/>
        <family val="2"/>
      </rPr>
      <t>MailBox</t>
    </r>
    <r>
      <rPr>
        <sz val="10"/>
        <rFont val="ＭＳ Ｐゴシック"/>
        <family val="3"/>
        <charset val="128"/>
      </rPr>
      <t>の有無</t>
    </r>
    <phoneticPr fontId="8"/>
  </si>
  <si>
    <t>機能項目</t>
  </si>
  <si>
    <t>iolaus</t>
  </si>
  <si>
    <t>用紙トレイの用紙サイズユーザー設定</t>
  </si>
  <si>
    <r>
      <t>SMH</t>
    </r>
    <r>
      <rPr>
        <sz val="9"/>
        <rFont val="ＭＳ Ｐゴシック"/>
        <family val="3"/>
        <charset val="128"/>
      </rPr>
      <t>の用紙サイズ設定</t>
    </r>
  </si>
  <si>
    <t>用紙種類の設定</t>
  </si>
  <si>
    <r>
      <t>用紙種類</t>
    </r>
    <r>
      <rPr>
        <sz val="9"/>
        <rFont val="Arial"/>
        <family val="2"/>
      </rPr>
      <t>(</t>
    </r>
    <r>
      <rPr>
        <sz val="9"/>
        <rFont val="ＭＳ Ｐゴシック"/>
        <family val="3"/>
        <charset val="128"/>
      </rPr>
      <t>坪量</t>
    </r>
    <r>
      <rPr>
        <sz val="9"/>
        <rFont val="Arial"/>
        <family val="2"/>
      </rPr>
      <t>)</t>
    </r>
    <r>
      <rPr>
        <sz val="9"/>
        <rFont val="ＭＳ Ｐゴシック"/>
        <family val="3"/>
        <charset val="128"/>
      </rPr>
      <t>の設定</t>
    </r>
  </si>
  <si>
    <t>用紙色属性の設定</t>
  </si>
  <si>
    <t>用紙穴空き属性の設定</t>
  </si>
  <si>
    <t>用紙属性の設定</t>
  </si>
  <si>
    <t>用紙種類の優先順位</t>
  </si>
  <si>
    <t>用紙トレイ優先順位</t>
  </si>
  <si>
    <r>
      <t>直接トレイ指定</t>
    </r>
    <r>
      <rPr>
        <sz val="9"/>
        <rFont val="Arial"/>
        <family val="2"/>
      </rPr>
      <t>(DTS)</t>
    </r>
  </si>
  <si>
    <r>
      <t>直接トレイ指定</t>
    </r>
    <r>
      <rPr>
        <sz val="9"/>
        <rFont val="Arial"/>
        <family val="2"/>
      </rPr>
      <t>(</t>
    </r>
    <r>
      <rPr>
        <sz val="9"/>
        <rFont val="ＭＳ Ｐゴシック"/>
        <family val="3"/>
        <charset val="128"/>
      </rPr>
      <t>手差し</t>
    </r>
    <r>
      <rPr>
        <sz val="9"/>
        <rFont val="Arial"/>
        <family val="2"/>
      </rPr>
      <t>)</t>
    </r>
  </si>
  <si>
    <r>
      <t>自動用紙トレイ選択</t>
    </r>
    <r>
      <rPr>
        <sz val="9"/>
        <rFont val="Arial"/>
        <family val="2"/>
      </rPr>
      <t>(APS)</t>
    </r>
  </si>
  <si>
    <r>
      <t>自動用紙トレイ選択</t>
    </r>
    <r>
      <rPr>
        <sz val="9"/>
        <rFont val="Arial"/>
        <family val="2"/>
      </rPr>
      <t>(</t>
    </r>
    <r>
      <rPr>
        <sz val="9"/>
        <rFont val="ＭＳ Ｐゴシック"/>
        <family val="3"/>
        <charset val="128"/>
      </rPr>
      <t>紙質</t>
    </r>
    <r>
      <rPr>
        <sz val="9"/>
        <rFont val="Arial"/>
        <family val="2"/>
      </rPr>
      <t>APS)</t>
    </r>
  </si>
  <si>
    <r>
      <t>自動トレイ選択</t>
    </r>
    <r>
      <rPr>
        <sz val="9"/>
        <rFont val="Arial"/>
        <family val="2"/>
      </rPr>
      <t>(</t>
    </r>
    <r>
      <rPr>
        <sz val="9"/>
        <rFont val="ＭＳ Ｐゴシック"/>
        <family val="3"/>
        <charset val="128"/>
      </rPr>
      <t>クラスタ</t>
    </r>
    <r>
      <rPr>
        <sz val="9"/>
        <rFont val="Arial"/>
        <family val="2"/>
      </rPr>
      <t>)</t>
    </r>
  </si>
  <si>
    <r>
      <t>自動トレイ切り替え（</t>
    </r>
    <r>
      <rPr>
        <sz val="9"/>
        <rFont val="Arial"/>
        <family val="2"/>
      </rPr>
      <t>ATS</t>
    </r>
    <r>
      <rPr>
        <sz val="9"/>
        <rFont val="ＭＳ Ｐゴシック"/>
        <family val="3"/>
        <charset val="128"/>
      </rPr>
      <t>）</t>
    </r>
  </si>
  <si>
    <t>部数指定</t>
  </si>
  <si>
    <t>コレートアンコレート指定</t>
  </si>
  <si>
    <r>
      <t>手差し両面　</t>
    </r>
    <r>
      <rPr>
        <sz val="9"/>
        <rFont val="Arial"/>
        <family val="2"/>
      </rPr>
      <t>*1</t>
    </r>
  </si>
  <si>
    <t>排出トレイ選択</t>
  </si>
  <si>
    <t>フィニッシャトレイ選択</t>
  </si>
  <si>
    <t>メールボックス選択</t>
  </si>
  <si>
    <r>
      <t>Letter</t>
    </r>
    <r>
      <rPr>
        <sz val="9"/>
        <rFont val="ＭＳ Ｐゴシック"/>
        <family val="3"/>
        <charset val="128"/>
      </rPr>
      <t>折り</t>
    </r>
    <r>
      <rPr>
        <sz val="9"/>
        <rFont val="Arial"/>
        <family val="2"/>
      </rPr>
      <t xml:space="preserve"> (</t>
    </r>
    <r>
      <rPr>
        <sz val="9"/>
        <rFont val="ＭＳ Ｐゴシック"/>
        <family val="3"/>
        <charset val="128"/>
      </rPr>
      <t>フォルダトレイ選択</t>
    </r>
    <r>
      <rPr>
        <sz val="9"/>
        <rFont val="Arial"/>
        <family val="2"/>
      </rPr>
      <t>)</t>
    </r>
  </si>
  <si>
    <r>
      <t>二つ折り</t>
    </r>
    <r>
      <rPr>
        <sz val="9"/>
        <rFont val="Arial"/>
        <family val="2"/>
      </rPr>
      <t>/</t>
    </r>
    <r>
      <rPr>
        <sz val="9"/>
        <rFont val="ＭＳ Ｐゴシック"/>
        <family val="3"/>
        <charset val="128"/>
      </rPr>
      <t>中折り</t>
    </r>
    <r>
      <rPr>
        <sz val="9"/>
        <rFont val="Arial"/>
        <family val="2"/>
      </rPr>
      <t xml:space="preserve"> (</t>
    </r>
    <r>
      <rPr>
        <sz val="9"/>
        <rFont val="ＭＳ Ｐゴシック"/>
        <family val="3"/>
        <charset val="128"/>
      </rPr>
      <t>ブックレットトレイ選択</t>
    </r>
    <r>
      <rPr>
        <sz val="9"/>
        <rFont val="Arial"/>
        <family val="2"/>
      </rPr>
      <t>)</t>
    </r>
  </si>
  <si>
    <r>
      <t>中綴じ</t>
    </r>
    <r>
      <rPr>
        <sz val="9"/>
        <rFont val="Arial"/>
        <family val="2"/>
      </rPr>
      <t xml:space="preserve">   (</t>
    </r>
    <r>
      <rPr>
        <sz val="9"/>
        <rFont val="ＭＳ Ｐゴシック"/>
        <family val="3"/>
        <charset val="128"/>
      </rPr>
      <t>ブックレットトレイ選択</t>
    </r>
    <r>
      <rPr>
        <sz val="9"/>
        <rFont val="Arial"/>
        <family val="2"/>
      </rPr>
      <t>)</t>
    </r>
  </si>
  <si>
    <r>
      <t>Fold Enhance(</t>
    </r>
    <r>
      <rPr>
        <sz val="9"/>
        <rFont val="ＭＳ Ｐゴシック"/>
        <family val="3"/>
        <charset val="128"/>
      </rPr>
      <t>折り強化</t>
    </r>
    <r>
      <rPr>
        <sz val="9"/>
        <rFont val="Arial"/>
        <family val="2"/>
      </rPr>
      <t>)  (</t>
    </r>
    <r>
      <rPr>
        <sz val="9"/>
        <rFont val="ＭＳ Ｐゴシック"/>
        <family val="3"/>
        <charset val="128"/>
      </rPr>
      <t>ブックレットトレイ選択</t>
    </r>
    <r>
      <rPr>
        <sz val="9"/>
        <rFont val="Arial"/>
        <family val="2"/>
      </rPr>
      <t>)</t>
    </r>
  </si>
  <si>
    <r>
      <t>Folder Tray</t>
    </r>
    <r>
      <rPr>
        <sz val="9"/>
        <rFont val="ＭＳ Ｐゴシック"/>
        <family val="3"/>
        <charset val="128"/>
      </rPr>
      <t>の用紙取り出しボタン</t>
    </r>
  </si>
  <si>
    <r>
      <t>Booklet Tray</t>
    </r>
    <r>
      <rPr>
        <sz val="9"/>
        <rFont val="ＭＳ Ｐゴシック"/>
        <family val="3"/>
        <charset val="128"/>
      </rPr>
      <t>の用紙取り出しボタン</t>
    </r>
  </si>
  <si>
    <t>位置指定サンプルプリント</t>
  </si>
  <si>
    <t>ダイナミックサンプルプリント</t>
  </si>
  <si>
    <r>
      <t>解像度</t>
    </r>
    <r>
      <rPr>
        <sz val="9"/>
        <rFont val="Arial"/>
        <family val="2"/>
      </rPr>
      <t>/</t>
    </r>
    <r>
      <rPr>
        <sz val="9"/>
        <rFont val="ＭＳ Ｐゴシック"/>
        <family val="3"/>
        <charset val="128"/>
      </rPr>
      <t>階調指定</t>
    </r>
  </si>
  <si>
    <t>カラーモード切り替え</t>
  </si>
  <si>
    <t>イメージエンハンス</t>
  </si>
  <si>
    <t>用紙トレイの状態通知</t>
  </si>
  <si>
    <t>用紙トレイの用紙残量検知</t>
  </si>
  <si>
    <t>排出トレイの状態通知</t>
  </si>
  <si>
    <r>
      <t>出力装置</t>
    </r>
    <r>
      <rPr>
        <sz val="9"/>
        <rFont val="Arial"/>
        <family val="2"/>
      </rPr>
      <t>(Finisher)</t>
    </r>
    <r>
      <rPr>
        <sz val="9"/>
        <rFont val="ＭＳ Ｐゴシック"/>
        <family val="3"/>
        <charset val="128"/>
      </rPr>
      <t>の状態通知</t>
    </r>
  </si>
  <si>
    <r>
      <t>Finisher</t>
    </r>
    <r>
      <rPr>
        <sz val="9"/>
        <rFont val="ＭＳ Ｐゴシック"/>
        <family val="3"/>
        <charset val="128"/>
      </rPr>
      <t>一時停止</t>
    </r>
  </si>
  <si>
    <r>
      <t>HCS Tray</t>
    </r>
    <r>
      <rPr>
        <sz val="9"/>
        <rFont val="ＭＳ Ｐゴシック"/>
        <family val="3"/>
        <charset val="128"/>
      </rPr>
      <t>の用紙取り出しボタン</t>
    </r>
  </si>
  <si>
    <t>Pacman</t>
  </si>
  <si>
    <r>
      <t>Z</t>
    </r>
    <r>
      <rPr>
        <sz val="9"/>
        <rFont val="ＭＳ Ｐゴシック"/>
        <family val="3"/>
        <charset val="128"/>
      </rPr>
      <t>折り</t>
    </r>
    <r>
      <rPr>
        <sz val="9"/>
        <rFont val="Arial"/>
        <family val="2"/>
      </rPr>
      <t xml:space="preserve"> (</t>
    </r>
    <r>
      <rPr>
        <sz val="9"/>
        <rFont val="ＭＳ Ｐゴシック"/>
        <family val="3"/>
        <charset val="128"/>
      </rPr>
      <t>トップトレイ</t>
    </r>
    <r>
      <rPr>
        <sz val="9"/>
        <rFont val="Arial"/>
        <family val="2"/>
      </rPr>
      <t xml:space="preserve">or </t>
    </r>
    <r>
      <rPr>
        <sz val="9"/>
        <rFont val="ＭＳ Ｐゴシック"/>
        <family val="3"/>
        <charset val="128"/>
      </rPr>
      <t>スタッカトレイ選択</t>
    </r>
    <r>
      <rPr>
        <sz val="9"/>
        <rFont val="Arial"/>
        <family val="2"/>
      </rPr>
      <t>)</t>
    </r>
  </si>
  <si>
    <r>
      <t>Letter</t>
    </r>
    <r>
      <rPr>
        <sz val="9"/>
        <rFont val="ＭＳ Ｐゴシック"/>
        <family val="3"/>
        <charset val="128"/>
      </rPr>
      <t>折り</t>
    </r>
    <r>
      <rPr>
        <sz val="9"/>
        <rFont val="Arial"/>
        <family val="2"/>
      </rPr>
      <t xml:space="preserve"> (</t>
    </r>
    <r>
      <rPr>
        <sz val="9"/>
        <rFont val="ＭＳ Ｐゴシック"/>
        <family val="3"/>
        <charset val="128"/>
      </rPr>
      <t>マルチフォルダトップトレイ選択</t>
    </r>
    <r>
      <rPr>
        <sz val="9"/>
        <rFont val="Arial"/>
        <family val="2"/>
      </rPr>
      <t>)</t>
    </r>
  </si>
  <si>
    <r>
      <t>Fold Enhance(</t>
    </r>
    <r>
      <rPr>
        <sz val="9"/>
        <rFont val="ＭＳ Ｐゴシック"/>
        <family val="3"/>
        <charset val="128"/>
      </rPr>
      <t>折り強化</t>
    </r>
    <r>
      <rPr>
        <sz val="9"/>
        <rFont val="Arial"/>
        <family val="2"/>
      </rPr>
      <t>)  (</t>
    </r>
    <r>
      <rPr>
        <sz val="9"/>
        <rFont val="ＭＳ Ｐゴシック"/>
        <family val="3"/>
        <charset val="128"/>
      </rPr>
      <t>マルチフォルダトップトレイ選択</t>
    </r>
    <r>
      <rPr>
        <sz val="9"/>
        <rFont val="Arial"/>
        <family val="2"/>
      </rPr>
      <t>)</t>
    </r>
  </si>
  <si>
    <r>
      <t>Fold Enhance(</t>
    </r>
    <r>
      <rPr>
        <sz val="9"/>
        <rFont val="ＭＳ Ｐゴシック"/>
        <family val="3"/>
        <charset val="128"/>
      </rPr>
      <t>折り強化</t>
    </r>
    <r>
      <rPr>
        <sz val="9"/>
        <rFont val="Arial"/>
        <family val="2"/>
      </rPr>
      <t>)  (</t>
    </r>
    <r>
      <rPr>
        <sz val="9"/>
        <rFont val="ＭＳ Ｐゴシック"/>
        <family val="3"/>
        <charset val="128"/>
      </rPr>
      <t>トップトレイ</t>
    </r>
    <r>
      <rPr>
        <sz val="9"/>
        <rFont val="Arial"/>
        <family val="2"/>
      </rPr>
      <t xml:space="preserve">or </t>
    </r>
    <r>
      <rPr>
        <sz val="9"/>
        <rFont val="ＭＳ Ｐゴシック"/>
        <family val="3"/>
        <charset val="128"/>
      </rPr>
      <t>スタッカトレイ選択</t>
    </r>
    <r>
      <rPr>
        <sz val="9"/>
        <rFont val="Arial"/>
        <family val="2"/>
      </rPr>
      <t>)</t>
    </r>
  </si>
  <si>
    <t>○</t>
    <phoneticPr fontId="8"/>
  </si>
  <si>
    <r>
      <rPr>
        <sz val="9"/>
        <rFont val="Times New Roman"/>
        <family val="1"/>
      </rPr>
      <t>3</t>
    </r>
    <r>
      <rPr>
        <sz val="9"/>
        <rFont val="Arial"/>
        <family val="2"/>
      </rPr>
      <t>.</t>
    </r>
    <r>
      <rPr>
        <sz val="7"/>
        <rFont val="Times New Roman"/>
        <family val="1"/>
      </rPr>
      <t xml:space="preserve">   </t>
    </r>
    <r>
      <rPr>
        <sz val="9"/>
        <rFont val="ＭＳ Ｐゴシック"/>
        <family val="3"/>
        <charset val="128"/>
      </rPr>
      <t>トレイのサブ状態</t>
    </r>
    <r>
      <rPr>
        <sz val="9"/>
        <rFont val="Times New Roman"/>
        <family val="1"/>
      </rPr>
      <t xml:space="preserve"> (PF3.x</t>
    </r>
    <r>
      <rPr>
        <sz val="9"/>
        <rFont val="ＭＳ Ｐゴシック"/>
        <family val="3"/>
        <charset val="128"/>
      </rPr>
      <t>系</t>
    </r>
    <r>
      <rPr>
        <sz val="9"/>
        <rFont val="Times New Roman"/>
        <family val="1"/>
      </rPr>
      <t>ICF</t>
    </r>
    <r>
      <rPr>
        <sz val="9"/>
        <rFont val="ＭＳ Ｐゴシック"/>
        <family val="3"/>
        <charset val="128"/>
      </rPr>
      <t>の用紙トレイの場合に有効)</t>
    </r>
    <rPh sb="20" eb="21">
      <t>ケイ</t>
    </rPh>
    <rPh sb="25" eb="27">
      <t>ヨウシ</t>
    </rPh>
    <rPh sb="31" eb="33">
      <t>バアイ</t>
    </rPh>
    <rPh sb="34" eb="36">
      <t>ユウコウ</t>
    </rPh>
    <phoneticPr fontId="8"/>
  </si>
  <si>
    <t>2.2.2. 標準構成とオプション(1)</t>
    <phoneticPr fontId="8"/>
  </si>
  <si>
    <t>2.2.2. 標準構成とオプション(2)</t>
    <phoneticPr fontId="8"/>
  </si>
  <si>
    <t>2.2.3. トレイおよびオプション装着検知</t>
    <phoneticPr fontId="8"/>
  </si>
  <si>
    <t>2.2.4. オプションの故障と機能制限</t>
    <phoneticPr fontId="8"/>
  </si>
  <si>
    <t>2.5 機能一覧</t>
    <phoneticPr fontId="8"/>
  </si>
  <si>
    <t>3.4.1. 排出先指定</t>
    <phoneticPr fontId="8"/>
  </si>
  <si>
    <t>3.6.4. 用紙トレイの状態</t>
    <phoneticPr fontId="8"/>
  </si>
  <si>
    <t>3.6.5. 排出トレイ、出力装置の状態</t>
    <phoneticPr fontId="8"/>
  </si>
  <si>
    <t>○</t>
    <phoneticPr fontId="8"/>
  </si>
  <si>
    <t>○</t>
    <phoneticPr fontId="8"/>
  </si>
  <si>
    <t>×</t>
    <phoneticPr fontId="8"/>
  </si>
  <si>
    <r>
      <t>四つ折り</t>
    </r>
    <r>
      <rPr>
        <sz val="9"/>
        <rFont val="Arial"/>
        <family val="2"/>
      </rPr>
      <t xml:space="preserve"> (</t>
    </r>
    <r>
      <rPr>
        <sz val="9"/>
        <rFont val="ＭＳ Ｐゴシック"/>
        <family val="3"/>
        <charset val="128"/>
      </rPr>
      <t>マルチフォルダトップトレイ選択</t>
    </r>
    <r>
      <rPr>
        <sz val="9"/>
        <rFont val="Arial"/>
        <family val="2"/>
      </rPr>
      <t>)</t>
    </r>
    <phoneticPr fontId="8"/>
  </si>
  <si>
    <r>
      <t>二つ折り</t>
    </r>
    <r>
      <rPr>
        <sz val="9"/>
        <rFont val="Arial"/>
        <family val="2"/>
      </rPr>
      <t>/</t>
    </r>
    <r>
      <rPr>
        <sz val="9"/>
        <rFont val="ＭＳ Ｐゴシック"/>
        <family val="3"/>
        <charset val="128"/>
      </rPr>
      <t xml:space="preserve">中折り </t>
    </r>
    <r>
      <rPr>
        <sz val="9"/>
        <rFont val="Arial"/>
        <family val="2"/>
      </rPr>
      <t>(</t>
    </r>
    <r>
      <rPr>
        <sz val="9"/>
        <rFont val="ＭＳ Ｐゴシック"/>
        <family val="2"/>
        <charset val="128"/>
      </rPr>
      <t>マルチフォルダトップトレイ選択)</t>
    </r>
    <phoneticPr fontId="8"/>
  </si>
  <si>
    <t>Botan</t>
  </si>
  <si>
    <t>BotanPlus</t>
  </si>
  <si>
    <t>PFRSC_IOT_OPT_FUNC_</t>
    <phoneticPr fontId="8"/>
  </si>
  <si>
    <t>DUPLEX</t>
  </si>
  <si>
    <t>両面印刷</t>
    <rPh sb="0" eb="2">
      <t>リョウメン</t>
    </rPh>
    <rPh sb="2" eb="4">
      <t>インサツ</t>
    </rPh>
    <phoneticPr fontId="8"/>
  </si>
  <si>
    <t>反転機能</t>
    <rPh sb="0" eb="2">
      <t>ハンテン</t>
    </rPh>
    <rPh sb="2" eb="4">
      <t>キノウ</t>
    </rPh>
    <phoneticPr fontId="8"/>
  </si>
  <si>
    <t>INVERT</t>
    <phoneticPr fontId="8"/>
  </si>
  <si>
    <t>OFFSET</t>
    <phoneticPr fontId="8"/>
  </si>
  <si>
    <t>オフセット排出機能</t>
    <rPh sb="5" eb="7">
      <t>ハイシュツ</t>
    </rPh>
    <rPh sb="7" eb="9">
      <t>キノウ</t>
    </rPh>
    <phoneticPr fontId="8"/>
  </si>
  <si>
    <t>STAPLE</t>
    <phoneticPr fontId="8"/>
  </si>
  <si>
    <r>
      <rPr>
        <sz val="10"/>
        <rFont val="ＭＳ Ｐゴシック"/>
        <family val="3"/>
        <charset val="128"/>
      </rPr>
      <t>自動検知</t>
    </r>
  </si>
  <si>
    <r>
      <t>"</t>
    </r>
    <r>
      <rPr>
        <sz val="10"/>
        <rFont val="ＭＳ Ｐゴシック"/>
        <family val="3"/>
        <charset val="128"/>
      </rPr>
      <t>無し</t>
    </r>
    <r>
      <rPr>
        <sz val="10"/>
        <rFont val="Arial"/>
        <family val="2"/>
      </rPr>
      <t>"</t>
    </r>
    <r>
      <rPr>
        <sz val="10"/>
        <rFont val="ＭＳ Ｐゴシック"/>
        <family val="3"/>
        <charset val="128"/>
      </rPr>
      <t>、</t>
    </r>
    <r>
      <rPr>
        <sz val="10"/>
        <rFont val="Arial"/>
        <family val="2"/>
      </rPr>
      <t>"</t>
    </r>
    <r>
      <rPr>
        <sz val="10"/>
        <rFont val="ＭＳ Ｐゴシック"/>
        <family val="3"/>
        <charset val="128"/>
      </rPr>
      <t>有り</t>
    </r>
    <r>
      <rPr>
        <sz val="10"/>
        <rFont val="Arial"/>
        <family val="2"/>
      </rPr>
      <t>"</t>
    </r>
  </si>
  <si>
    <t>PUNCH</t>
    <phoneticPr fontId="8"/>
  </si>
  <si>
    <r>
      <t>Punch</t>
    </r>
    <r>
      <rPr>
        <sz val="10"/>
        <rFont val="ＭＳ ゴシック"/>
        <family val="2"/>
        <charset val="128"/>
      </rPr>
      <t>機能</t>
    </r>
    <rPh sb="5" eb="7">
      <t>キノウ</t>
    </rPh>
    <phoneticPr fontId="8"/>
  </si>
  <si>
    <t>COIL_PUNCH</t>
    <phoneticPr fontId="8"/>
  </si>
  <si>
    <t>Z_FOLD</t>
    <phoneticPr fontId="8"/>
  </si>
  <si>
    <t>LETTER_FOLD</t>
    <phoneticPr fontId="8"/>
  </si>
  <si>
    <t>BOOKLET</t>
    <phoneticPr fontId="8"/>
  </si>
  <si>
    <t>BOOKLET_TRIM</t>
    <phoneticPr fontId="8"/>
  </si>
  <si>
    <t>PB</t>
    <phoneticPr fontId="8"/>
  </si>
  <si>
    <t>SHEET_TRIM</t>
    <phoneticPr fontId="8"/>
  </si>
  <si>
    <t>CREASE</t>
    <phoneticPr fontId="8"/>
  </si>
  <si>
    <t>FOLD_ENHANCE</t>
    <phoneticPr fontId="8"/>
  </si>
  <si>
    <r>
      <t>Coil Puncher</t>
    </r>
    <r>
      <rPr>
        <sz val="10"/>
        <rFont val="ＭＳ Ｐゴシック"/>
        <family val="3"/>
        <charset val="128"/>
      </rPr>
      <t>の有無</t>
    </r>
    <phoneticPr fontId="8"/>
  </si>
  <si>
    <r>
      <t>Z</t>
    </r>
    <r>
      <rPr>
        <sz val="10"/>
        <rFont val="ＭＳ ゴシック"/>
        <family val="2"/>
        <charset val="128"/>
      </rPr>
      <t>折り機能</t>
    </r>
    <rPh sb="1" eb="2">
      <t>オ</t>
    </rPh>
    <rPh sb="3" eb="5">
      <t>キノウ</t>
    </rPh>
    <phoneticPr fontId="8"/>
  </si>
  <si>
    <r>
      <t>Booklet</t>
    </r>
    <r>
      <rPr>
        <sz val="10"/>
        <rFont val="ＭＳ ゴシック"/>
        <family val="2"/>
        <charset val="128"/>
      </rPr>
      <t>機能</t>
    </r>
    <rPh sb="7" eb="9">
      <t>キノウ</t>
    </rPh>
    <phoneticPr fontId="8"/>
  </si>
  <si>
    <r>
      <t>Letter</t>
    </r>
    <r>
      <rPr>
        <sz val="10"/>
        <rFont val="ＭＳ ゴシック"/>
        <family val="2"/>
        <charset val="128"/>
      </rPr>
      <t>折り機能</t>
    </r>
    <rPh sb="6" eb="7">
      <t>オ</t>
    </rPh>
    <rPh sb="8" eb="10">
      <t>キノウ</t>
    </rPh>
    <phoneticPr fontId="8"/>
  </si>
  <si>
    <t>折り筋機能</t>
    <rPh sb="0" eb="1">
      <t>オ</t>
    </rPh>
    <rPh sb="2" eb="3">
      <t>スジ</t>
    </rPh>
    <rPh sb="3" eb="5">
      <t>キノウ</t>
    </rPh>
    <phoneticPr fontId="8"/>
  </si>
  <si>
    <t>折り強化機能</t>
    <rPh sb="0" eb="1">
      <t>オ</t>
    </rPh>
    <rPh sb="2" eb="4">
      <t>キョウカ</t>
    </rPh>
    <rPh sb="4" eb="6">
      <t>キノウ</t>
    </rPh>
    <phoneticPr fontId="8"/>
  </si>
  <si>
    <t>天地断裁機能</t>
    <rPh sb="0" eb="2">
      <t>テンチ</t>
    </rPh>
    <rPh sb="2" eb="4">
      <t>ダンサイ</t>
    </rPh>
    <rPh sb="4" eb="6">
      <t>キノウ</t>
    </rPh>
    <phoneticPr fontId="8"/>
  </si>
  <si>
    <r>
      <t xml:space="preserve">Booklet </t>
    </r>
    <r>
      <rPr>
        <sz val="10"/>
        <rFont val="ＭＳ ゴシック"/>
        <family val="2"/>
        <charset val="128"/>
      </rPr>
      <t>小口断裁機能</t>
    </r>
    <rPh sb="8" eb="10">
      <t>コグチ</t>
    </rPh>
    <rPh sb="10" eb="12">
      <t>ダンサイ</t>
    </rPh>
    <rPh sb="12" eb="14">
      <t>キノウ</t>
    </rPh>
    <phoneticPr fontId="8"/>
  </si>
  <si>
    <r>
      <t>IOT</t>
    </r>
    <r>
      <rPr>
        <sz val="9"/>
        <rFont val="ＭＳ Ｐゴシック"/>
        <family val="3"/>
        <charset val="128"/>
      </rPr>
      <t>の種類項目</t>
    </r>
  </si>
  <si>
    <t>81/81ppm</t>
  </si>
  <si>
    <t>75/75ppm</t>
  </si>
  <si>
    <t>65/65ppm</t>
  </si>
  <si>
    <r>
      <t>プリント速度（白黒</t>
    </r>
    <r>
      <rPr>
        <sz val="9"/>
        <rFont val="Arial"/>
        <family val="2"/>
      </rPr>
      <t>/</t>
    </r>
    <r>
      <rPr>
        <sz val="9"/>
        <rFont val="ＭＳ Ｐゴシック"/>
        <family val="3"/>
        <charset val="128"/>
      </rPr>
      <t>カラー）</t>
    </r>
  </si>
  <si>
    <t>データ処理解像度と階調</t>
  </si>
  <si>
    <r>
      <t>2400/1</t>
    </r>
    <r>
      <rPr>
        <sz val="9"/>
        <rFont val="ＭＳ Ｐゴシック"/>
        <family val="3"/>
        <charset val="128"/>
      </rPr>
      <t>、</t>
    </r>
    <r>
      <rPr>
        <sz val="9"/>
        <rFont val="Arial"/>
        <family val="2"/>
      </rPr>
      <t>600/1</t>
    </r>
    <r>
      <rPr>
        <sz val="9"/>
        <rFont val="ＭＳ Ｐゴシック"/>
        <family val="3"/>
        <charset val="128"/>
      </rPr>
      <t>、</t>
    </r>
    <r>
      <rPr>
        <sz val="9"/>
        <rFont val="Arial"/>
        <family val="2"/>
      </rPr>
      <t>600/256</t>
    </r>
  </si>
  <si>
    <r>
      <t>プロセススピード</t>
    </r>
    <r>
      <rPr>
        <sz val="9"/>
        <rFont val="Arial"/>
        <family val="2"/>
      </rPr>
      <t>(mm/sec)</t>
    </r>
  </si>
  <si>
    <r>
      <t>排出トレイ</t>
    </r>
    <r>
      <rPr>
        <sz val="9"/>
        <rFont val="Arial"/>
        <family val="2"/>
      </rPr>
      <t>2</t>
    </r>
  </si>
  <si>
    <r>
      <t>1.</t>
    </r>
    <r>
      <rPr>
        <sz val="9"/>
        <rFont val="ＭＳ Ｐゴシック"/>
        <family val="3"/>
        <charset val="128"/>
      </rPr>
      <t>各排出装置接続時に指定可能な排出先を示す。</t>
    </r>
    <phoneticPr fontId="8"/>
  </si>
  <si>
    <t>SCT
(LCT)</t>
    <phoneticPr fontId="8"/>
  </si>
  <si>
    <t>CH-
Finisher</t>
    <phoneticPr fontId="8"/>
  </si>
  <si>
    <t>D2G-
Finisher</t>
    <phoneticPr fontId="8"/>
  </si>
  <si>
    <t>HCS</t>
    <phoneticPr fontId="8"/>
  </si>
  <si>
    <t>○</t>
    <phoneticPr fontId="8"/>
  </si>
  <si>
    <r>
      <rPr>
        <sz val="9"/>
        <rFont val="ＭＳ Ｐゴシック"/>
        <family val="3"/>
        <charset val="128"/>
      </rPr>
      <t>指定可能な排出先</t>
    </r>
  </si>
  <si>
    <r>
      <rPr>
        <sz val="9"/>
        <rFont val="ＭＳ Ｐゴシック"/>
        <family val="3"/>
        <charset val="128"/>
      </rPr>
      <t>○</t>
    </r>
  </si>
  <si>
    <r>
      <t>[</t>
    </r>
    <r>
      <rPr>
        <sz val="9"/>
        <rFont val="ＭＳ Ｐゴシック"/>
        <family val="3"/>
        <charset val="128"/>
      </rPr>
      <t>記号</t>
    </r>
    <r>
      <rPr>
        <sz val="9"/>
        <rFont val="Arial"/>
        <family val="2"/>
      </rPr>
      <t>]</t>
    </r>
    <r>
      <rPr>
        <sz val="9"/>
        <rFont val="ＭＳ Ｐゴシック"/>
        <family val="3"/>
        <charset val="128"/>
      </rPr>
      <t>　○：選択可能、</t>
    </r>
    <r>
      <rPr>
        <sz val="9"/>
        <rFont val="Arial"/>
        <family val="2"/>
      </rPr>
      <t>×</t>
    </r>
    <r>
      <rPr>
        <sz val="9"/>
        <rFont val="ＭＳ Ｐゴシック"/>
        <family val="3"/>
        <charset val="128"/>
      </rPr>
      <t>：選択不可能</t>
    </r>
  </si>
  <si>
    <r>
      <t>*1</t>
    </r>
    <r>
      <rPr>
        <sz val="9"/>
        <rFont val="ＭＳ Ｐゴシック"/>
        <family val="3"/>
        <charset val="128"/>
      </rPr>
      <t>：</t>
    </r>
    <r>
      <rPr>
        <sz val="9"/>
        <rFont val="Arial"/>
        <family val="2"/>
      </rPr>
      <t xml:space="preserve"> D2G-Finisher</t>
    </r>
    <r>
      <rPr>
        <sz val="9"/>
        <rFont val="ＭＳ Ｐゴシック"/>
        <family val="3"/>
        <charset val="128"/>
      </rPr>
      <t>未装着時は、排出トレイは、</t>
    </r>
    <r>
      <rPr>
        <sz val="9"/>
        <rFont val="Arial"/>
        <family val="2"/>
      </rPr>
      <t>HCS</t>
    </r>
    <r>
      <rPr>
        <sz val="9"/>
        <rFont val="ＭＳ Ｐゴシック"/>
        <family val="3"/>
        <charset val="128"/>
      </rPr>
      <t>の</t>
    </r>
    <r>
      <rPr>
        <sz val="9"/>
        <rFont val="Arial"/>
        <family val="2"/>
      </rPr>
      <t>Top Tray</t>
    </r>
    <r>
      <rPr>
        <sz val="9"/>
        <rFont val="ＭＳ Ｐゴシック"/>
        <family val="3"/>
        <charset val="128"/>
      </rPr>
      <t>、フィニッシャトレイは、</t>
    </r>
    <r>
      <rPr>
        <sz val="9"/>
        <rFont val="Arial"/>
        <family val="2"/>
      </rPr>
      <t>HCS Tray</t>
    </r>
    <r>
      <rPr>
        <sz val="9"/>
        <rFont val="ＭＳ Ｐゴシック"/>
        <family val="3"/>
        <charset val="128"/>
      </rPr>
      <t>が排出先となる。</t>
    </r>
    <phoneticPr fontId="8"/>
  </si>
  <si>
    <r>
      <rPr>
        <sz val="9"/>
        <rFont val="ＭＳ Ｐゴシック"/>
        <family val="3"/>
        <charset val="128"/>
      </rPr>
      <t>排紙トレイ</t>
    </r>
    <rPh sb="0" eb="2">
      <t>ハイシ</t>
    </rPh>
    <phoneticPr fontId="8"/>
  </si>
  <si>
    <r>
      <rPr>
        <sz val="9"/>
        <rFont val="ＭＳ Ｐゴシック"/>
        <family val="3"/>
        <charset val="128"/>
      </rPr>
      <t>シンプルキャッチトレイ</t>
    </r>
    <phoneticPr fontId="8"/>
  </si>
  <si>
    <r>
      <rPr>
        <sz val="9"/>
        <rFont val="ＭＳ Ｐゴシック"/>
        <family val="3"/>
        <charset val="128"/>
      </rPr>
      <t>オフセットキャッチトレイ</t>
    </r>
    <phoneticPr fontId="8"/>
  </si>
  <si>
    <r>
      <rPr>
        <sz val="9"/>
        <rFont val="ＭＳ Ｐゴシック"/>
        <family val="3"/>
        <charset val="128"/>
      </rPr>
      <t>備考</t>
    </r>
    <rPh sb="0" eb="2">
      <t>ビコウ</t>
    </rPh>
    <phoneticPr fontId="8"/>
  </si>
  <si>
    <r>
      <rPr>
        <sz val="9"/>
        <rFont val="ＭＳ Ｐゴシック"/>
        <family val="3"/>
        <charset val="128"/>
      </rPr>
      <t>排出先機能</t>
    </r>
    <rPh sb="0" eb="2">
      <t>ハイシュツ</t>
    </rPh>
    <rPh sb="2" eb="3">
      <t>サキ</t>
    </rPh>
    <rPh sb="3" eb="5">
      <t>キノウ</t>
    </rPh>
    <phoneticPr fontId="8"/>
  </si>
  <si>
    <r>
      <rPr>
        <sz val="9"/>
        <rFont val="ＭＳ Ｐゴシック"/>
        <family val="3"/>
        <charset val="128"/>
      </rPr>
      <t>トップトレイ</t>
    </r>
    <phoneticPr fontId="8"/>
  </si>
  <si>
    <r>
      <rPr>
        <sz val="9"/>
        <rFont val="ＭＳ Ｐゴシック"/>
        <family val="3"/>
        <charset val="128"/>
      </rPr>
      <t>スタッカトレイ</t>
    </r>
    <phoneticPr fontId="8"/>
  </si>
  <si>
    <r>
      <rPr>
        <sz val="9"/>
        <rFont val="ＭＳ Ｐゴシック"/>
        <family val="3"/>
        <charset val="128"/>
      </rPr>
      <t>小冊子トレイ</t>
    </r>
    <rPh sb="0" eb="3">
      <t>ショウサッシ</t>
    </rPh>
    <phoneticPr fontId="8"/>
  </si>
  <si>
    <r>
      <rPr>
        <sz val="9"/>
        <rFont val="ＭＳ Ｐゴシック"/>
        <family val="3"/>
        <charset val="128"/>
      </rPr>
      <t>三つ折り排出トレイ</t>
    </r>
    <rPh sb="0" eb="1">
      <t>ミ</t>
    </rPh>
    <rPh sb="2" eb="3">
      <t>オ</t>
    </rPh>
    <rPh sb="4" eb="6">
      <t>ハイシュツ</t>
    </rPh>
    <phoneticPr fontId="8"/>
  </si>
  <si>
    <r>
      <rPr>
        <sz val="9"/>
        <rFont val="ＭＳ Ｐゴシック"/>
        <family val="3"/>
        <charset val="128"/>
      </rPr>
      <t>メールボックスビン</t>
    </r>
    <phoneticPr fontId="8"/>
  </si>
  <si>
    <r>
      <rPr>
        <sz val="9"/>
        <rFont val="ＭＳ Ｐゴシック"/>
        <family val="3"/>
        <charset val="128"/>
      </rPr>
      <t>手差しトレイからの排出</t>
    </r>
    <rPh sb="0" eb="2">
      <t>テザ</t>
    </rPh>
    <rPh sb="9" eb="11">
      <t>ハイシュツ</t>
    </rPh>
    <phoneticPr fontId="8"/>
  </si>
  <si>
    <r>
      <rPr>
        <sz val="9"/>
        <rFont val="ＭＳ Ｐゴシック"/>
        <family val="3"/>
        <charset val="128"/>
      </rPr>
      <t>インターポーザからの排出</t>
    </r>
    <rPh sb="10" eb="12">
      <t>ハイシュツ</t>
    </rPh>
    <phoneticPr fontId="8"/>
  </si>
  <si>
    <r>
      <rPr>
        <sz val="9"/>
        <rFont val="ＭＳ Ｐゴシック"/>
        <family val="3"/>
        <charset val="128"/>
      </rPr>
      <t>フェースアップ排出機能</t>
    </r>
    <rPh sb="7" eb="9">
      <t>ハイシュツ</t>
    </rPh>
    <rPh sb="9" eb="11">
      <t>キノウ</t>
    </rPh>
    <phoneticPr fontId="8"/>
  </si>
  <si>
    <r>
      <rPr>
        <sz val="9"/>
        <rFont val="ＭＳ Ｐゴシック"/>
        <family val="3"/>
        <charset val="128"/>
      </rPr>
      <t>○</t>
    </r>
    <r>
      <rPr>
        <sz val="9"/>
        <rFont val="Arial"/>
        <family val="2"/>
      </rPr>
      <t>(3)</t>
    </r>
    <phoneticPr fontId="8"/>
  </si>
  <si>
    <r>
      <rPr>
        <sz val="9"/>
        <rFont val="ＭＳ Ｐゴシック"/>
        <family val="3"/>
        <charset val="128"/>
      </rPr>
      <t>○</t>
    </r>
    <phoneticPr fontId="8"/>
  </si>
  <si>
    <r>
      <rPr>
        <sz val="9"/>
        <rFont val="ＭＳ Ｐゴシック"/>
        <family val="3"/>
        <charset val="128"/>
      </rPr>
      <t>フェースダウン排出機能</t>
    </r>
    <rPh sb="7" eb="9">
      <t>ハイシュツ</t>
    </rPh>
    <rPh sb="9" eb="11">
      <t>キノウ</t>
    </rPh>
    <phoneticPr fontId="8"/>
  </si>
  <si>
    <r>
      <rPr>
        <sz val="9"/>
        <rFont val="ＭＳ Ｐゴシック"/>
        <family val="3"/>
        <charset val="128"/>
      </rPr>
      <t>排出フル検知機能</t>
    </r>
    <rPh sb="0" eb="2">
      <t>ハイシュツ</t>
    </rPh>
    <rPh sb="4" eb="6">
      <t>ケンチ</t>
    </rPh>
    <rPh sb="6" eb="8">
      <t>キノウ</t>
    </rPh>
    <phoneticPr fontId="8"/>
  </si>
  <si>
    <r>
      <rPr>
        <sz val="9"/>
        <rFont val="ＭＳ Ｐゴシック"/>
        <family val="3"/>
        <charset val="128"/>
      </rPr>
      <t>排出容量については性能仕様書を参照</t>
    </r>
    <phoneticPr fontId="8"/>
  </si>
  <si>
    <r>
      <rPr>
        <sz val="9"/>
        <rFont val="ＭＳ Ｐゴシック"/>
        <family val="3"/>
        <charset val="128"/>
      </rPr>
      <t>排出不可検知機能</t>
    </r>
    <rPh sb="0" eb="2">
      <t>ハイシュツ</t>
    </rPh>
    <rPh sb="2" eb="4">
      <t>フカ</t>
    </rPh>
    <rPh sb="4" eb="6">
      <t>ケンチ</t>
    </rPh>
    <rPh sb="6" eb="8">
      <t>キノウ</t>
    </rPh>
    <phoneticPr fontId="8"/>
  </si>
  <si>
    <r>
      <rPr>
        <sz val="9"/>
        <rFont val="ＭＳ Ｐゴシック"/>
        <family val="3"/>
        <charset val="128"/>
      </rPr>
      <t>○</t>
    </r>
    <r>
      <rPr>
        <sz val="9"/>
        <rFont val="Arial"/>
        <family val="2"/>
      </rPr>
      <t>(1)</t>
    </r>
    <phoneticPr fontId="8"/>
  </si>
  <si>
    <r>
      <rPr>
        <sz val="9"/>
        <rFont val="ＭＳ Ｐゴシック"/>
        <family val="3"/>
        <charset val="128"/>
      </rPr>
      <t>○</t>
    </r>
    <r>
      <rPr>
        <sz val="9"/>
        <rFont val="Arial"/>
        <family val="2"/>
      </rPr>
      <t>(4)</t>
    </r>
    <phoneticPr fontId="8"/>
  </si>
  <si>
    <r>
      <t xml:space="preserve">(1) </t>
    </r>
    <r>
      <rPr>
        <sz val="9"/>
        <rFont val="ＭＳ Ｐゴシック"/>
        <family val="3"/>
        <charset val="128"/>
      </rPr>
      <t>障害物検知</t>
    </r>
    <rPh sb="4" eb="7">
      <t>ショウガイブツ</t>
    </rPh>
    <rPh sb="7" eb="9">
      <t>ケンチ</t>
    </rPh>
    <phoneticPr fontId="8"/>
  </si>
  <si>
    <r>
      <rPr>
        <sz val="9"/>
        <rFont val="ＭＳ Ｐゴシック"/>
        <family val="3"/>
        <charset val="128"/>
      </rPr>
      <t>オフセット機能</t>
    </r>
    <rPh sb="5" eb="7">
      <t>キノウ</t>
    </rPh>
    <phoneticPr fontId="8"/>
  </si>
  <si>
    <r>
      <rPr>
        <sz val="9"/>
        <rFont val="ＭＳ Ｐゴシック"/>
        <family val="3"/>
        <charset val="128"/>
      </rPr>
      <t>○</t>
    </r>
    <r>
      <rPr>
        <sz val="9"/>
        <rFont val="Arial"/>
        <family val="2"/>
      </rPr>
      <t>(2)</t>
    </r>
    <phoneticPr fontId="8"/>
  </si>
  <si>
    <r>
      <t xml:space="preserve">(2) </t>
    </r>
    <r>
      <rPr>
        <sz val="9"/>
        <rFont val="ＭＳ Ｐゴシック"/>
        <family val="3"/>
        <charset val="128"/>
      </rPr>
      <t>オフセット動作については性能仕様書を参照</t>
    </r>
    <phoneticPr fontId="8"/>
  </si>
  <si>
    <r>
      <rPr>
        <sz val="9"/>
        <rFont val="ＭＳ Ｐゴシック"/>
        <family val="3"/>
        <charset val="128"/>
      </rPr>
      <t>ステープル機能</t>
    </r>
    <rPh sb="5" eb="7">
      <t>キノウ</t>
    </rPh>
    <phoneticPr fontId="8"/>
  </si>
  <si>
    <r>
      <rPr>
        <sz val="9"/>
        <rFont val="ＭＳ Ｐゴシック"/>
        <family val="3"/>
        <charset val="128"/>
      </rPr>
      <t>パンチ機能</t>
    </r>
    <rPh sb="3" eb="5">
      <t>キノウ</t>
    </rPh>
    <phoneticPr fontId="8"/>
  </si>
  <si>
    <r>
      <rPr>
        <sz val="9"/>
        <rFont val="ＭＳ Ｐゴシック"/>
        <family val="3"/>
        <charset val="128"/>
      </rPr>
      <t>コイルパンチ機能</t>
    </r>
    <rPh sb="6" eb="8">
      <t>キノウ</t>
    </rPh>
    <phoneticPr fontId="8"/>
  </si>
  <si>
    <r>
      <rPr>
        <sz val="9"/>
        <rFont val="ＭＳ Ｐゴシック"/>
        <family val="3"/>
        <charset val="128"/>
      </rPr>
      <t>中綴じ機能</t>
    </r>
    <rPh sb="0" eb="1">
      <t>ナカ</t>
    </rPh>
    <rPh sb="1" eb="2">
      <t>ト</t>
    </rPh>
    <rPh sb="3" eb="5">
      <t>キノウ</t>
    </rPh>
    <phoneticPr fontId="8"/>
  </si>
  <si>
    <r>
      <rPr>
        <sz val="9"/>
        <rFont val="ＭＳ Ｐゴシック"/>
        <family val="3"/>
        <charset val="128"/>
      </rPr>
      <t>二つ折り機能</t>
    </r>
    <rPh sb="0" eb="1">
      <t>フタ</t>
    </rPh>
    <rPh sb="2" eb="3">
      <t>オ</t>
    </rPh>
    <rPh sb="4" eb="6">
      <t>キノウ</t>
    </rPh>
    <phoneticPr fontId="8"/>
  </si>
  <si>
    <r>
      <rPr>
        <sz val="9"/>
        <rFont val="ＭＳ Ｐゴシック"/>
        <family val="3"/>
        <charset val="128"/>
      </rPr>
      <t>折り強化</t>
    </r>
    <rPh sb="0" eb="1">
      <t>オ</t>
    </rPh>
    <rPh sb="2" eb="4">
      <t>キョウカ</t>
    </rPh>
    <phoneticPr fontId="8"/>
  </si>
  <si>
    <r>
      <rPr>
        <sz val="9"/>
        <rFont val="ＭＳ Ｐゴシック"/>
        <family val="3"/>
        <charset val="128"/>
      </rPr>
      <t>小冊子の小口断裁</t>
    </r>
    <rPh sb="0" eb="3">
      <t>ショウサッシ</t>
    </rPh>
    <rPh sb="4" eb="6">
      <t>コグチ</t>
    </rPh>
    <rPh sb="6" eb="8">
      <t>ダンサイ</t>
    </rPh>
    <phoneticPr fontId="8"/>
  </si>
  <si>
    <r>
      <rPr>
        <sz val="9"/>
        <rFont val="ＭＳ Ｐゴシック"/>
        <family val="3"/>
        <charset val="128"/>
      </rPr>
      <t>シートごとの天地断裁</t>
    </r>
    <rPh sb="6" eb="8">
      <t>テンチ</t>
    </rPh>
    <rPh sb="8" eb="10">
      <t>ダンサイ</t>
    </rPh>
    <phoneticPr fontId="8"/>
  </si>
  <si>
    <r>
      <rPr>
        <sz val="9"/>
        <rFont val="ＭＳ Ｐゴシック"/>
        <family val="3"/>
        <charset val="128"/>
      </rPr>
      <t>三つ折り機能</t>
    </r>
    <rPh sb="0" eb="1">
      <t>ミ</t>
    </rPh>
    <rPh sb="2" eb="3">
      <t>オ</t>
    </rPh>
    <rPh sb="4" eb="6">
      <t>キノウ</t>
    </rPh>
    <phoneticPr fontId="8"/>
  </si>
  <si>
    <r>
      <t>Z</t>
    </r>
    <r>
      <rPr>
        <sz val="9"/>
        <rFont val="ＭＳ Ｐゴシック"/>
        <family val="3"/>
        <charset val="128"/>
      </rPr>
      <t>折り機能</t>
    </r>
    <rPh sb="1" eb="2">
      <t>オ</t>
    </rPh>
    <rPh sb="3" eb="5">
      <t>キノウ</t>
    </rPh>
    <phoneticPr fontId="8"/>
  </si>
  <si>
    <r>
      <rPr>
        <sz val="9"/>
        <rFont val="ＭＳ Ｐゴシック"/>
        <family val="3"/>
        <charset val="128"/>
      </rPr>
      <t>折り筋機能</t>
    </r>
    <rPh sb="0" eb="1">
      <t>オ</t>
    </rPh>
    <rPh sb="2" eb="3">
      <t>スジ</t>
    </rPh>
    <rPh sb="3" eb="5">
      <t>キノウ</t>
    </rPh>
    <phoneticPr fontId="8"/>
  </si>
  <si>
    <r>
      <rPr>
        <sz val="9"/>
        <rFont val="ＭＳ Ｐゴシック"/>
        <family val="3"/>
        <charset val="128"/>
      </rPr>
      <t>スタンプ機能</t>
    </r>
    <rPh sb="4" eb="6">
      <t>キノウ</t>
    </rPh>
    <phoneticPr fontId="8"/>
  </si>
  <si>
    <r>
      <rPr>
        <sz val="9"/>
        <rFont val="ＭＳ Ｐゴシック"/>
        <family val="3"/>
        <charset val="128"/>
      </rPr>
      <t>折り指示には「二つ折り」を指定しなければならない</t>
    </r>
    <rPh sb="7" eb="8">
      <t>フタ</t>
    </rPh>
    <phoneticPr fontId="8"/>
  </si>
  <si>
    <r>
      <rPr>
        <sz val="9"/>
        <rFont val="ＭＳ Ｐゴシック"/>
        <family val="3"/>
        <charset val="128"/>
      </rPr>
      <t>折り指示には「三つ折り」を指定しなければならない</t>
    </r>
    <phoneticPr fontId="8"/>
  </si>
  <si>
    <t>スタッカトレイ</t>
  </si>
  <si>
    <t>くるみ製本トレイ</t>
  </si>
  <si>
    <t>HCS2</t>
    <phoneticPr fontId="8"/>
  </si>
  <si>
    <t>×</t>
    <phoneticPr fontId="8"/>
  </si>
  <si>
    <r>
      <t>排出トレイ</t>
    </r>
    <r>
      <rPr>
        <sz val="9"/>
        <rFont val="Arial"/>
        <family val="2"/>
      </rPr>
      <t xml:space="preserve">                          *1</t>
    </r>
    <phoneticPr fontId="8"/>
  </si>
  <si>
    <r>
      <t>スタッカトレイ</t>
    </r>
    <r>
      <rPr>
        <sz val="9"/>
        <rFont val="Arial"/>
        <family val="2"/>
      </rPr>
      <t>(</t>
    </r>
    <r>
      <rPr>
        <sz val="9"/>
        <rFont val="ＭＳ Ｐゴシック"/>
        <family val="3"/>
        <charset val="128"/>
      </rPr>
      <t>自動</t>
    </r>
    <r>
      <rPr>
        <sz val="9"/>
        <rFont val="Arial"/>
        <family val="2"/>
      </rPr>
      <t>)             *2</t>
    </r>
    <phoneticPr fontId="8"/>
  </si>
  <si>
    <r>
      <t>スタッカトレイ</t>
    </r>
    <r>
      <rPr>
        <sz val="9"/>
        <rFont val="Arial"/>
        <family val="2"/>
      </rPr>
      <t>2                     *2</t>
    </r>
    <phoneticPr fontId="8"/>
  </si>
  <si>
    <r>
      <t>フィニッシャトレイ</t>
    </r>
    <r>
      <rPr>
        <sz val="9"/>
        <rFont val="Arial"/>
        <family val="2"/>
      </rPr>
      <t xml:space="preserve">                 *1</t>
    </r>
    <phoneticPr fontId="8"/>
  </si>
  <si>
    <t>〇</t>
    <phoneticPr fontId="8"/>
  </si>
  <si>
    <r>
      <t>*2</t>
    </r>
    <r>
      <rPr>
        <sz val="9"/>
        <rFont val="ＭＳ Ｐゴシック"/>
        <family val="3"/>
        <charset val="128"/>
      </rPr>
      <t>：</t>
    </r>
    <r>
      <rPr>
        <sz val="9"/>
        <rFont val="Arial"/>
        <family val="2"/>
      </rPr>
      <t xml:space="preserve"> HCS</t>
    </r>
    <r>
      <rPr>
        <sz val="9"/>
        <rFont val="ＭＳ Ｐゴシック"/>
        <family val="3"/>
        <charset val="128"/>
      </rPr>
      <t>重連時のみ指定可能。外部コントローラ以外では指定できない。</t>
    </r>
  </si>
  <si>
    <r>
      <t>ブックレットトレイ</t>
    </r>
    <r>
      <rPr>
        <sz val="9"/>
        <rFont val="Arial"/>
        <family val="2"/>
      </rPr>
      <t xml:space="preserve">                  *3</t>
    </r>
    <phoneticPr fontId="8"/>
  </si>
  <si>
    <r>
      <t>フォルダートレイ</t>
    </r>
    <r>
      <rPr>
        <sz val="9"/>
        <rFont val="Arial"/>
        <family val="2"/>
      </rPr>
      <t xml:space="preserve">                  *3</t>
    </r>
    <phoneticPr fontId="8"/>
  </si>
  <si>
    <r>
      <t>*3</t>
    </r>
    <r>
      <rPr>
        <sz val="9"/>
        <rFont val="ＭＳ Ｐゴシック"/>
        <family val="3"/>
        <charset val="128"/>
      </rPr>
      <t>：</t>
    </r>
    <r>
      <rPr>
        <sz val="9"/>
        <rFont val="Arial"/>
        <family val="2"/>
      </rPr>
      <t xml:space="preserve"> </t>
    </r>
    <r>
      <rPr>
        <sz val="9"/>
        <rFont val="ＭＳ ゴシック"/>
        <family val="2"/>
        <charset val="128"/>
      </rPr>
      <t>装置付き、または、</t>
    </r>
    <r>
      <rPr>
        <sz val="9"/>
        <rFont val="ＭＳ Ｐゴシック"/>
        <family val="3"/>
        <charset val="128"/>
      </rPr>
      <t>各オプション装置装着時のみ指定可能。</t>
    </r>
    <rPh sb="4" eb="6">
      <t>ソウチ</t>
    </rPh>
    <rPh sb="6" eb="7">
      <t>ツ</t>
    </rPh>
    <phoneticPr fontId="8"/>
  </si>
  <si>
    <r>
      <t>排出トレイ</t>
    </r>
    <r>
      <rPr>
        <sz val="9"/>
        <rFont val="Arial"/>
        <family val="2"/>
      </rPr>
      <t xml:space="preserve">3 </t>
    </r>
    <phoneticPr fontId="8"/>
  </si>
  <si>
    <r>
      <t>排出トレイ</t>
    </r>
    <r>
      <rPr>
        <sz val="9"/>
        <rFont val="Arial"/>
        <family val="2"/>
      </rPr>
      <t>5</t>
    </r>
    <phoneticPr fontId="8"/>
  </si>
  <si>
    <r>
      <t>排出トレイ</t>
    </r>
    <r>
      <rPr>
        <sz val="9"/>
        <rFont val="Arial"/>
        <family val="2"/>
      </rPr>
      <t>4</t>
    </r>
    <phoneticPr fontId="8"/>
  </si>
  <si>
    <r>
      <t>排出トレイ</t>
    </r>
    <r>
      <rPr>
        <sz val="9"/>
        <rFont val="Arial"/>
        <family val="2"/>
      </rPr>
      <t>6</t>
    </r>
    <phoneticPr fontId="8"/>
  </si>
  <si>
    <t>D2G-Finisher</t>
    <phoneticPr fontId="8"/>
  </si>
  <si>
    <t>オプション構成</t>
  </si>
  <si>
    <t>Default Tray</t>
  </si>
  <si>
    <r>
      <t>SCT</t>
    </r>
    <r>
      <rPr>
        <sz val="9"/>
        <rFont val="ＭＳ Ｐゴシック"/>
        <family val="3"/>
        <charset val="128"/>
      </rPr>
      <t>構成</t>
    </r>
  </si>
  <si>
    <r>
      <t>OCT</t>
    </r>
    <r>
      <rPr>
        <sz val="9"/>
        <rFont val="ＭＳ Ｐゴシック"/>
        <family val="3"/>
        <charset val="128"/>
      </rPr>
      <t>構成</t>
    </r>
  </si>
  <si>
    <r>
      <t>D2G-Finisher</t>
    </r>
    <r>
      <rPr>
        <sz val="9"/>
        <rFont val="ＭＳ Ｐゴシック"/>
        <family val="3"/>
        <charset val="128"/>
      </rPr>
      <t>構成</t>
    </r>
  </si>
  <si>
    <t>Finisher Top Tray</t>
  </si>
  <si>
    <r>
      <t>HCS</t>
    </r>
    <r>
      <rPr>
        <sz val="9"/>
        <rFont val="ＭＳ Ｐゴシック"/>
        <family val="3"/>
        <charset val="128"/>
      </rPr>
      <t>付き構成</t>
    </r>
  </si>
  <si>
    <t>HCS1 Top Tray</t>
  </si>
  <si>
    <r>
      <t>排出装置が連結された場合は、より</t>
    </r>
    <r>
      <rPr>
        <sz val="9"/>
        <rFont val="Arial"/>
        <family val="2"/>
      </rPr>
      <t>IOT</t>
    </r>
    <r>
      <rPr>
        <sz val="9"/>
        <rFont val="ＭＳ Ｐゴシック"/>
        <family val="3"/>
        <charset val="128"/>
      </rPr>
      <t>に近い方をデフォルトの排出先とする。</t>
    </r>
  </si>
  <si>
    <r>
      <t>D-Finisher</t>
    </r>
    <r>
      <rPr>
        <sz val="9"/>
        <rFont val="ＭＳ Ｐゴシック"/>
        <family val="3"/>
        <charset val="128"/>
      </rPr>
      <t>構成</t>
    </r>
  </si>
  <si>
    <t>HCS1 HCS Tray</t>
  </si>
  <si>
    <r>
      <t>Copy Service</t>
    </r>
    <r>
      <rPr>
        <sz val="9"/>
        <rFont val="ＭＳ Ｐゴシック"/>
        <family val="3"/>
        <charset val="128"/>
      </rPr>
      <t>の</t>
    </r>
    <r>
      <rPr>
        <sz val="9"/>
        <rFont val="Arial"/>
        <family val="2"/>
      </rPr>
      <t>Proof Set</t>
    </r>
    <r>
      <rPr>
        <sz val="9"/>
        <rFont val="ＭＳ Ｐゴシック"/>
        <family val="3"/>
        <charset val="128"/>
      </rPr>
      <t>や</t>
    </r>
    <r>
      <rPr>
        <sz val="9"/>
        <rFont val="Arial"/>
        <family val="2"/>
      </rPr>
      <t>Print Service</t>
    </r>
    <r>
      <rPr>
        <sz val="9"/>
        <rFont val="ＭＳ Ｐゴシック"/>
        <family val="3"/>
        <charset val="128"/>
      </rPr>
      <t>の</t>
    </r>
    <r>
      <rPr>
        <sz val="9"/>
        <rFont val="Arial"/>
        <family val="2"/>
      </rPr>
      <t>Proof Print</t>
    </r>
    <r>
      <rPr>
        <sz val="9"/>
        <rFont val="ＭＳ Ｐゴシック"/>
        <family val="3"/>
        <charset val="128"/>
      </rPr>
      <t>が指定されたときの排出先は次のようになる。</t>
    </r>
  </si>
  <si>
    <t>排出先指定</t>
  </si>
  <si>
    <t>切り替わり先</t>
  </si>
  <si>
    <t>指定された排出先</t>
  </si>
  <si>
    <t>位置指定サンプルが指定されたときやダイナミックサンプルが機能したときの排出先は次のようになる。</t>
  </si>
  <si>
    <t>機能が無効</t>
  </si>
  <si>
    <r>
      <t>OHP</t>
    </r>
    <r>
      <rPr>
        <sz val="9"/>
        <rFont val="ＭＳ Ｐゴシック"/>
        <family val="3"/>
        <charset val="128"/>
      </rPr>
      <t>合紙＋会議コピーが指定されたときの排出先は次のようになる。</t>
    </r>
  </si>
  <si>
    <t>会議コピー排出先指定</t>
  </si>
  <si>
    <r>
      <t>OHP</t>
    </r>
    <r>
      <rPr>
        <sz val="9"/>
        <rFont val="ＭＳ Ｐゴシック"/>
        <family val="3"/>
        <charset val="128"/>
      </rPr>
      <t>合紙の切り替わり先</t>
    </r>
  </si>
  <si>
    <t>上記の切り替わり先が使用不可なとき、それ以外の排出先指定の場合は、次の順で切り替わり先を決定する。</t>
  </si>
  <si>
    <r>
      <t xml:space="preserve">HCS1 Top Tray </t>
    </r>
    <r>
      <rPr>
        <sz val="9"/>
        <rFont val="ＭＳ Ｐゴシック"/>
        <family val="3"/>
        <charset val="128"/>
      </rPr>
      <t>→</t>
    </r>
    <r>
      <rPr>
        <sz val="9"/>
        <rFont val="Arial"/>
        <family val="2"/>
      </rPr>
      <t xml:space="preserve"> Finisher Top Tray</t>
    </r>
    <r>
      <rPr>
        <sz val="9"/>
        <rFont val="ＭＳ Ｐゴシック"/>
        <family val="3"/>
        <charset val="128"/>
      </rPr>
      <t>　→</t>
    </r>
    <r>
      <rPr>
        <sz val="9"/>
        <rFont val="Arial"/>
        <family val="2"/>
      </rPr>
      <t xml:space="preserve"> SCT/OCT </t>
    </r>
    <r>
      <rPr>
        <sz val="9"/>
        <rFont val="ＭＳ Ｐゴシック"/>
        <family val="3"/>
        <charset val="128"/>
      </rPr>
      <t>→</t>
    </r>
    <r>
      <rPr>
        <sz val="9"/>
        <rFont val="Arial"/>
        <family val="2"/>
      </rPr>
      <t xml:space="preserve"> HCS1 HCS Tray </t>
    </r>
    <r>
      <rPr>
        <sz val="9"/>
        <rFont val="ＭＳ Ｐゴシック"/>
        <family val="3"/>
        <charset val="128"/>
      </rPr>
      <t>→</t>
    </r>
    <r>
      <rPr>
        <sz val="9"/>
        <rFont val="Arial"/>
        <family val="2"/>
      </rPr>
      <t xml:space="preserve"> Finisher Tray</t>
    </r>
  </si>
  <si>
    <r>
      <t>2.</t>
    </r>
    <r>
      <rPr>
        <sz val="7"/>
        <rFont val="Times New Roman"/>
        <family val="1"/>
      </rPr>
      <t xml:space="preserve">    </t>
    </r>
    <r>
      <rPr>
        <sz val="9"/>
        <rFont val="ＭＳ Ｐゴシック"/>
        <family val="3"/>
        <charset val="128"/>
      </rPr>
      <t>以下に各排出装置（排出トレイ）の概要一覧を示す。</t>
    </r>
    <r>
      <rPr>
        <sz val="9"/>
        <rFont val="Arial"/>
        <family val="2"/>
      </rPr>
      <t xml:space="preserve"> </t>
    </r>
    <phoneticPr fontId="8"/>
  </si>
  <si>
    <r>
      <t>3.</t>
    </r>
    <r>
      <rPr>
        <sz val="7"/>
        <rFont val="Times New Roman"/>
        <family val="1"/>
      </rPr>
      <t> </t>
    </r>
    <r>
      <rPr>
        <sz val="9"/>
        <rFont val="Arial"/>
        <family val="2"/>
      </rPr>
      <t>Default Tray</t>
    </r>
    <r>
      <rPr>
        <sz val="9"/>
        <rFont val="ＭＳ Ｐゴシック"/>
        <family val="3"/>
        <charset val="128"/>
      </rPr>
      <t>は、以下のようになる。</t>
    </r>
    <phoneticPr fontId="8"/>
  </si>
  <si>
    <r>
      <t>Finisher Auto</t>
    </r>
    <r>
      <rPr>
        <sz val="9"/>
        <rFont val="ＭＳ Ｐゴシック"/>
        <family val="3"/>
        <charset val="128"/>
      </rPr>
      <t>が指定されたとき</t>
    </r>
    <r>
      <rPr>
        <sz val="9"/>
        <rFont val="Arial"/>
        <family val="2"/>
      </rPr>
      <t>(lpr</t>
    </r>
    <r>
      <rPr>
        <sz val="9"/>
        <rFont val="ＭＳ Ｐゴシック"/>
        <family val="3"/>
        <charset val="128"/>
      </rPr>
      <t>の</t>
    </r>
    <r>
      <rPr>
        <sz val="9"/>
        <rFont val="Arial"/>
        <family val="2"/>
      </rPr>
      <t>-C</t>
    </r>
    <r>
      <rPr>
        <sz val="9"/>
        <rFont val="ＭＳ Ｐゴシック"/>
        <family val="3"/>
        <charset val="128"/>
      </rPr>
      <t>オプションで</t>
    </r>
    <r>
      <rPr>
        <sz val="9"/>
        <rFont val="Arial"/>
        <family val="2"/>
      </rPr>
      <t>STACKER</t>
    </r>
    <r>
      <rPr>
        <sz val="9"/>
        <rFont val="ＭＳ Ｐゴシック"/>
        <family val="3"/>
        <charset val="128"/>
      </rPr>
      <t>を指定されたときなど</t>
    </r>
    <r>
      <rPr>
        <sz val="9"/>
        <rFont val="Arial"/>
        <family val="2"/>
      </rPr>
      <t>)</t>
    </r>
    <r>
      <rPr>
        <sz val="9"/>
        <rFont val="ＭＳ Ｐゴシック"/>
        <family val="3"/>
        <charset val="128"/>
      </rPr>
      <t>の排出先は次が指定されたものとみなす。</t>
    </r>
    <phoneticPr fontId="8"/>
  </si>
  <si>
    <r>
      <rPr>
        <sz val="9"/>
        <rFont val="ＭＳ ゴシック"/>
        <family val="2"/>
        <charset val="128"/>
      </rPr>
      <t>排出装置が連結された場合は、より</t>
    </r>
    <r>
      <rPr>
        <sz val="9"/>
        <rFont val="Arial"/>
        <family val="2"/>
      </rPr>
      <t>IOT</t>
    </r>
    <r>
      <rPr>
        <sz val="9"/>
        <rFont val="ＭＳ ゴシック"/>
        <family val="2"/>
        <charset val="128"/>
      </rPr>
      <t>に近い方をデフォルトの排出先とする。</t>
    </r>
    <phoneticPr fontId="8"/>
  </si>
  <si>
    <t>指定された排出先が未装着や故障のために使用不可能な時、排出不可な用紙サイズ、用紙種類の場合、折りなどの後処理が解除された場合に排出先を切り替える。</t>
    <phoneticPr fontId="8"/>
  </si>
  <si>
    <t>外部装置</t>
    <rPh sb="0" eb="2">
      <t>ガイブ</t>
    </rPh>
    <rPh sb="2" eb="4">
      <t>ソウチ</t>
    </rPh>
    <phoneticPr fontId="8"/>
  </si>
  <si>
    <r>
      <t>08)</t>
    </r>
    <r>
      <rPr>
        <sz val="7"/>
        <rFont val="Times New Roman"/>
        <family val="1"/>
      </rPr>
      <t xml:space="preserve"> </t>
    </r>
    <r>
      <rPr>
        <sz val="9"/>
        <rFont val="Arial"/>
        <family val="2"/>
      </rPr>
      <t xml:space="preserve"> (IOT)</t>
    </r>
    <r>
      <rPr>
        <sz val="9"/>
        <rFont val="ＭＳ Ｐゴシック"/>
        <family val="3"/>
        <charset val="128"/>
      </rPr>
      <t>→</t>
    </r>
    <r>
      <rPr>
        <sz val="9"/>
        <rFont val="Arial"/>
        <family val="2"/>
      </rPr>
      <t>CDM</t>
    </r>
    <r>
      <rPr>
        <sz val="9"/>
        <rFont val="ＭＳ Ｐゴシック"/>
        <family val="3"/>
        <charset val="128"/>
      </rPr>
      <t>→</t>
    </r>
    <r>
      <rPr>
        <sz val="9"/>
        <rFont val="Arial"/>
        <family val="2"/>
      </rPr>
      <t>(Interposer Unit)</t>
    </r>
    <r>
      <rPr>
        <sz val="9"/>
        <rFont val="ＭＳ Ｐゴシック"/>
        <family val="3"/>
        <charset val="128"/>
      </rPr>
      <t>→</t>
    </r>
    <r>
      <rPr>
        <sz val="9"/>
        <rFont val="Arial"/>
        <family val="2"/>
      </rPr>
      <t>(SCP)→(HCS)</t>
    </r>
    <r>
      <rPr>
        <sz val="9"/>
        <rFont val="ＭＳ Ｐゴシック"/>
        <family val="3"/>
        <charset val="128"/>
      </rPr>
      <t>→</t>
    </r>
    <r>
      <rPr>
        <sz val="9"/>
        <rFont val="Arial"/>
        <family val="2"/>
      </rPr>
      <t>(TBM/TCBM)</t>
    </r>
    <r>
      <rPr>
        <sz val="9"/>
        <rFont val="ＭＳ Ｐゴシック"/>
        <family val="3"/>
        <charset val="128"/>
      </rPr>
      <t>→</t>
    </r>
    <r>
      <rPr>
        <sz val="9"/>
        <rFont val="Arial"/>
        <family val="2"/>
      </rPr>
      <t>(Folder Unit)</t>
    </r>
    <r>
      <rPr>
        <sz val="9"/>
        <rFont val="ＭＳ Ｐゴシック"/>
        <family val="3"/>
        <charset val="128"/>
      </rPr>
      <t>→</t>
    </r>
    <r>
      <rPr>
        <sz val="9"/>
        <rFont val="Arial"/>
        <family val="2"/>
      </rPr>
      <t>D2G-Fin-PFIM-Path</t>
    </r>
    <r>
      <rPr>
        <sz val="9"/>
        <rFont val="ＭＳ Ｐゴシック"/>
        <family val="3"/>
        <charset val="128"/>
      </rPr>
      <t>→</t>
    </r>
    <r>
      <rPr>
        <sz val="9"/>
        <rFont val="Arial"/>
        <family val="2"/>
      </rPr>
      <t>(PFIM</t>
    </r>
    <r>
      <rPr>
        <sz val="9"/>
        <rFont val="ＭＳ Ｐゴシック"/>
        <family val="3"/>
        <charset val="128"/>
      </rPr>
      <t>→外部装置</t>
    </r>
    <r>
      <rPr>
        <sz val="9"/>
        <rFont val="Arial"/>
        <family val="2"/>
      </rPr>
      <t>)</t>
    </r>
    <rPh sb="94" eb="96">
      <t>ガイブ</t>
    </rPh>
    <rPh sb="96" eb="98">
      <t>ソウチ</t>
    </rPh>
    <phoneticPr fontId="8"/>
  </si>
  <si>
    <t>外部装置の有無</t>
    <rPh sb="0" eb="2">
      <t>ガイブ</t>
    </rPh>
    <rPh sb="2" eb="4">
      <t>ソウチ</t>
    </rPh>
    <phoneticPr fontId="8"/>
  </si>
  <si>
    <t>外部装置</t>
    <rPh sb="0" eb="2">
      <t>ガイブ</t>
    </rPh>
    <rPh sb="2" eb="4">
      <t>ソウチ</t>
    </rPh>
    <phoneticPr fontId="8"/>
  </si>
  <si>
    <t>外部装置選択</t>
    <rPh sb="0" eb="2">
      <t>ガイブ</t>
    </rPh>
    <rPh sb="2" eb="4">
      <t>ソウチ</t>
    </rPh>
    <phoneticPr fontId="8"/>
  </si>
  <si>
    <r>
      <rPr>
        <sz val="9"/>
        <rFont val="ＭＳ ゴシック"/>
        <family val="2"/>
        <charset val="128"/>
      </rPr>
      <t>外部装置　</t>
    </r>
    <r>
      <rPr>
        <sz val="9"/>
        <rFont val="Arial"/>
        <family val="2"/>
      </rPr>
      <t xml:space="preserve">                         *4</t>
    </r>
    <rPh sb="0" eb="2">
      <t>ガイブ</t>
    </rPh>
    <rPh sb="2" eb="4">
      <t>ソウチ</t>
    </rPh>
    <phoneticPr fontId="8"/>
  </si>
  <si>
    <r>
      <rPr>
        <sz val="9"/>
        <rFont val="ＭＳ Ｐゴシック"/>
        <family val="3"/>
        <charset val="128"/>
      </rPr>
      <t>プリント速度の単位は</t>
    </r>
    <r>
      <rPr>
        <sz val="9"/>
        <rFont val="Arial"/>
        <family val="2"/>
      </rPr>
      <t>PPM(Print per Minite)</t>
    </r>
    <r>
      <rPr>
        <sz val="9"/>
        <rFont val="ＭＳ Ｐゴシック"/>
        <family val="3"/>
        <charset val="128"/>
      </rPr>
      <t>、解像度の単位は</t>
    </r>
    <r>
      <rPr>
        <sz val="9"/>
        <rFont val="Arial"/>
        <family val="2"/>
      </rPr>
      <t>dots per 25.4mm</t>
    </r>
    <r>
      <rPr>
        <sz val="9"/>
        <rFont val="ＭＳ Ｐゴシック"/>
        <family val="3"/>
        <charset val="128"/>
      </rPr>
      <t>、プロセススピードの単位は、</t>
    </r>
    <r>
      <rPr>
        <sz val="9"/>
        <rFont val="Arial"/>
        <family val="2"/>
      </rPr>
      <t>mm/sec</t>
    </r>
    <r>
      <rPr>
        <sz val="9"/>
        <rFont val="ＭＳ Ｐゴシック"/>
        <family val="3"/>
        <charset val="128"/>
      </rPr>
      <t>である</t>
    </r>
    <phoneticPr fontId="8"/>
  </si>
  <si>
    <t>iolaus</t>
    <phoneticPr fontId="8"/>
  </si>
  <si>
    <t>外部排出装置</t>
    <rPh sb="0" eb="2">
      <t>ガイブ</t>
    </rPh>
    <rPh sb="2" eb="4">
      <t>ハイシュツ</t>
    </rPh>
    <rPh sb="4" eb="6">
      <t>ソウチ</t>
    </rPh>
    <phoneticPr fontId="8"/>
  </si>
  <si>
    <r>
      <rPr>
        <sz val="9"/>
        <rFont val="ＭＳ Ｐゴシック"/>
        <family val="3"/>
        <charset val="128"/>
      </rPr>
      <t xml:space="preserve">外部排出装置接続用
</t>
    </r>
    <r>
      <rPr>
        <sz val="9"/>
        <rFont val="Arial"/>
        <family val="2"/>
      </rPr>
      <t>D2G-Finisher (w PFIM-Path)</t>
    </r>
    <r>
      <rPr>
        <sz val="9"/>
        <rFont val="ＭＳ Ｐゴシック"/>
        <family val="3"/>
        <charset val="128"/>
      </rPr>
      <t>に装着される</t>
    </r>
    <rPh sb="0" eb="2">
      <t>ガイブ</t>
    </rPh>
    <rPh sb="2" eb="4">
      <t>ハイシュツ</t>
    </rPh>
    <rPh sb="4" eb="6">
      <t>ソウチ</t>
    </rPh>
    <phoneticPr fontId="8"/>
  </si>
  <si>
    <t>PFIM</t>
    <phoneticPr fontId="8"/>
  </si>
  <si>
    <t>Greif</t>
    <phoneticPr fontId="8"/>
  </si>
  <si>
    <t>小口断裁</t>
    <rPh sb="0" eb="2">
      <t>コグチ</t>
    </rPh>
    <rPh sb="2" eb="4">
      <t>ダンサイ</t>
    </rPh>
    <phoneticPr fontId="8"/>
  </si>
  <si>
    <t>天地断裁</t>
    <rPh sb="0" eb="2">
      <t>テンチ</t>
    </rPh>
    <rPh sb="2" eb="4">
      <t>ダンサイ</t>
    </rPh>
    <phoneticPr fontId="8"/>
  </si>
  <si>
    <r>
      <t xml:space="preserve">Booklet </t>
    </r>
    <r>
      <rPr>
        <sz val="10"/>
        <rFont val="ＭＳ ゴシック"/>
        <family val="2"/>
        <charset val="128"/>
      </rPr>
      <t>角背仕上げ機能</t>
    </r>
    <rPh sb="13" eb="15">
      <t>キノウ</t>
    </rPh>
    <phoneticPr fontId="8"/>
  </si>
  <si>
    <r>
      <t xml:space="preserve">Booklet </t>
    </r>
    <r>
      <rPr>
        <sz val="10"/>
        <rFont val="ＭＳ ゴシック"/>
        <family val="2"/>
        <charset val="128"/>
      </rPr>
      <t>小口断裁</t>
    </r>
    <r>
      <rPr>
        <sz val="10"/>
        <rFont val="ＭＳ Ｐゴシック"/>
        <family val="3"/>
        <charset val="128"/>
      </rPr>
      <t>の有無</t>
    </r>
    <rPh sb="8" eb="10">
      <t>コグチ</t>
    </rPh>
    <rPh sb="10" eb="12">
      <t>ダンサイ</t>
    </rPh>
    <phoneticPr fontId="8"/>
  </si>
  <si>
    <t>天地断裁の有無</t>
    <rPh sb="0" eb="2">
      <t>テンチ</t>
    </rPh>
    <rPh sb="2" eb="4">
      <t>ダンサイ</t>
    </rPh>
    <phoneticPr fontId="8"/>
  </si>
  <si>
    <r>
      <t xml:space="preserve">Booklet </t>
    </r>
    <r>
      <rPr>
        <sz val="9"/>
        <rFont val="ＭＳ ゴシック"/>
        <family val="2"/>
        <charset val="128"/>
      </rPr>
      <t>小口断裁</t>
    </r>
    <r>
      <rPr>
        <sz val="9"/>
        <rFont val="Arial"/>
        <family val="2"/>
      </rPr>
      <t xml:space="preserve"> (</t>
    </r>
    <r>
      <rPr>
        <sz val="9"/>
        <rFont val="ＭＳ Ｐゴシック"/>
        <family val="3"/>
        <charset val="128"/>
      </rPr>
      <t>ブックレットトレイ選択</t>
    </r>
    <r>
      <rPr>
        <sz val="9"/>
        <rFont val="Arial"/>
        <family val="2"/>
      </rPr>
      <t>)</t>
    </r>
    <rPh sb="8" eb="10">
      <t>コグチ</t>
    </rPh>
    <rPh sb="10" eb="12">
      <t>ダンサイ</t>
    </rPh>
    <rPh sb="13" eb="15">
      <t>コグチ</t>
    </rPh>
    <rPh sb="15" eb="16">
      <t>ダン</t>
    </rPh>
    <phoneticPr fontId="8"/>
  </si>
  <si>
    <r>
      <t xml:space="preserve">Booklet </t>
    </r>
    <r>
      <rPr>
        <sz val="9"/>
        <rFont val="ＭＳ ゴシック"/>
        <family val="2"/>
        <charset val="128"/>
      </rPr>
      <t>角背仕上げ</t>
    </r>
    <r>
      <rPr>
        <sz val="9"/>
        <rFont val="Arial"/>
        <family val="2"/>
      </rPr>
      <t xml:space="preserve"> (</t>
    </r>
    <r>
      <rPr>
        <sz val="9"/>
        <rFont val="ＭＳ Ｐゴシック"/>
        <family val="3"/>
        <charset val="128"/>
      </rPr>
      <t>ブックレットトレイ選択</t>
    </r>
    <r>
      <rPr>
        <sz val="9"/>
        <rFont val="Arial"/>
        <family val="2"/>
      </rPr>
      <t>)</t>
    </r>
    <phoneticPr fontId="8"/>
  </si>
  <si>
    <t>角背仕上げ機能</t>
    <rPh sb="5" eb="7">
      <t>キノウ</t>
    </rPh>
    <phoneticPr fontId="8"/>
  </si>
  <si>
    <t>小口断裁機能</t>
    <rPh sb="0" eb="2">
      <t>コグチ</t>
    </rPh>
    <rPh sb="2" eb="4">
      <t>ダンサイ</t>
    </rPh>
    <rPh sb="4" eb="6">
      <t>キノウ</t>
    </rPh>
    <phoneticPr fontId="8"/>
  </si>
  <si>
    <t>2.1 IOTの種類</t>
    <rPh sb="8" eb="10">
      <t>シュルイ</t>
    </rPh>
    <phoneticPr fontId="8"/>
  </si>
  <si>
    <t>PGS1254SGP</t>
    <phoneticPr fontId="8"/>
  </si>
  <si>
    <t>PGS1254SGP</t>
    <phoneticPr fontId="8"/>
  </si>
  <si>
    <t>PGS1257SGP</t>
    <phoneticPr fontId="8"/>
  </si>
  <si>
    <t>PGS1221SGP</t>
    <phoneticPr fontId="8"/>
  </si>
  <si>
    <t>Herakles</t>
    <phoneticPr fontId="8"/>
  </si>
  <si>
    <t>CH-Finisher</t>
    <phoneticPr fontId="8"/>
  </si>
  <si>
    <r>
      <t xml:space="preserve">メールボックス                 </t>
    </r>
    <r>
      <rPr>
        <sz val="9"/>
        <rFont val="Arial"/>
        <family val="2"/>
      </rPr>
      <t>*3</t>
    </r>
    <phoneticPr fontId="8"/>
  </si>
  <si>
    <r>
      <t>*4</t>
    </r>
    <r>
      <rPr>
        <sz val="9"/>
        <rFont val="ＭＳ Ｐゴシック"/>
        <family val="3"/>
        <charset val="128"/>
      </rPr>
      <t>：</t>
    </r>
    <r>
      <rPr>
        <sz val="9"/>
        <rFont val="Arial"/>
        <family val="2"/>
      </rPr>
      <t xml:space="preserve"> </t>
    </r>
    <r>
      <rPr>
        <sz val="9"/>
        <rFont val="ＭＳ Ｐゴシック"/>
        <family val="3"/>
        <charset val="128"/>
      </rPr>
      <t>排出するときは、登録済みの外部排出装置用プロファイルの中から、プロファイルを選択して指定する必要がある。</t>
    </r>
    <rPh sb="17" eb="19">
      <t>ガイブ</t>
    </rPh>
    <rPh sb="19" eb="21">
      <t>ハイシュツ</t>
    </rPh>
    <rPh sb="21" eb="23">
      <t>ソウチ</t>
    </rPh>
    <phoneticPr fontId="8"/>
  </si>
  <si>
    <r>
      <t>(3)</t>
    </r>
    <r>
      <rPr>
        <sz val="9"/>
        <rFont val="ＭＳ ゴシック"/>
        <family val="2"/>
        <charset val="128"/>
      </rPr>
      <t>外部排出装置プロファイル</t>
    </r>
    <r>
      <rPr>
        <sz val="9"/>
        <rFont val="ＭＳ Ｐゴシック"/>
        <family val="3"/>
        <charset val="128"/>
      </rPr>
      <t xml:space="preserve">の設定で可能となる。
</t>
    </r>
    <rPh sb="3" eb="5">
      <t>ガイブ</t>
    </rPh>
    <rPh sb="5" eb="7">
      <t>ハイシュツ</t>
    </rPh>
    <rPh sb="7" eb="9">
      <t>ソウチ</t>
    </rPh>
    <phoneticPr fontId="8"/>
  </si>
  <si>
    <t>D2G-Finのオプション装置(Interposer Unit)</t>
  </si>
  <si>
    <t>D2G-Finのオプション装置(TBM)
Trimmer Buffer Module</t>
  </si>
  <si>
    <t>D2G-Finのオプション装置(TCBM)
Trimmer Creaser Buffer Module</t>
  </si>
  <si>
    <t>D2G-Finのオプション装置(Folder Unit)</t>
  </si>
  <si>
    <t>D2G-Finのオプション装置(Puncher)
D2G-Fin本体に装着される</t>
  </si>
  <si>
    <t>D2G-Finのオプション装置(TSQF)
D2G-Finisher (w Booklet)に装着される</t>
  </si>
  <si>
    <t>CH-Finのオプション装置(Folder Unit)</t>
  </si>
  <si>
    <t>CH-Finのオプション装置(Mail Box Unit)</t>
  </si>
  <si>
    <t>CH-Finのオプション装置(Puncher)
CH-Fin本体に装着される</t>
  </si>
  <si>
    <t>オプション機能の有無</t>
    <rPh sb="5" eb="7">
      <t>キノウ</t>
    </rPh>
    <rPh sb="8" eb="10">
      <t>ウム</t>
    </rPh>
    <phoneticPr fontId="8"/>
  </si>
  <si>
    <r>
      <t>S</t>
    </r>
    <r>
      <rPr>
        <sz val="9"/>
        <rFont val="ＭＳ ゴシック"/>
        <family val="3"/>
        <charset val="128"/>
      </rPr>
      <t>：</t>
    </r>
    <r>
      <rPr>
        <sz val="9"/>
        <rFont val="Arial"/>
        <family val="2"/>
      </rPr>
      <t xml:space="preserve"> </t>
    </r>
    <r>
      <rPr>
        <sz val="9"/>
        <rFont val="ＭＳ ゴシック"/>
        <family val="2"/>
        <charset val="128"/>
      </rPr>
      <t>標準</t>
    </r>
    <r>
      <rPr>
        <sz val="9"/>
        <rFont val="ＭＳ ゴシック"/>
        <family val="3"/>
        <charset val="128"/>
      </rPr>
      <t>、</t>
    </r>
    <r>
      <rPr>
        <sz val="9"/>
        <rFont val="Arial"/>
        <family val="2"/>
      </rPr>
      <t>O</t>
    </r>
    <r>
      <rPr>
        <sz val="9"/>
        <rFont val="ＭＳ ゴシック"/>
        <family val="3"/>
        <charset val="128"/>
      </rPr>
      <t>：</t>
    </r>
    <r>
      <rPr>
        <sz val="9"/>
        <rFont val="Arial"/>
        <family val="2"/>
      </rPr>
      <t xml:space="preserve"> </t>
    </r>
    <r>
      <rPr>
        <sz val="9"/>
        <rFont val="ＭＳ ゴシック"/>
        <family val="3"/>
        <charset val="128"/>
      </rPr>
      <t>オプションの略</t>
    </r>
    <rPh sb="3" eb="5">
      <t>ヒョウジュン</t>
    </rPh>
    <phoneticPr fontId="8"/>
  </si>
  <si>
    <r>
      <t>CT</t>
    </r>
    <r>
      <rPr>
        <sz val="10"/>
        <rFont val="ＭＳ Ｐゴシック"/>
        <family val="3"/>
        <charset val="128"/>
      </rPr>
      <t>開部</t>
    </r>
    <r>
      <rPr>
        <sz val="10"/>
        <rFont val="Courier New"/>
        <family val="3"/>
      </rPr>
      <t xml:space="preserve"> CTD</t>
    </r>
    <r>
      <rPr>
        <sz val="10"/>
        <rFont val="ＭＳ Ｐゴシック"/>
        <family val="3"/>
        <charset val="128"/>
      </rPr>
      <t>制御開統</t>
    </r>
    <r>
      <rPr>
        <sz val="10"/>
        <rFont val="Courier New"/>
        <family val="3"/>
      </rPr>
      <t xml:space="preserve">G 2G </t>
    </r>
    <r>
      <rPr>
        <sz val="10"/>
        <rFont val="ＭＳ Ｐゴシック"/>
        <family val="3"/>
        <charset val="128"/>
      </rPr>
      <t>藤田　裕三</t>
    </r>
  </si>
  <si>
    <r>
      <t>Product name =</t>
    </r>
    <r>
      <rPr>
        <b/>
        <i/>
        <shadow/>
        <sz val="18"/>
        <color indexed="10"/>
        <rFont val="Arial"/>
        <family val="2"/>
      </rPr>
      <t xml:space="preserve"> Greif</t>
    </r>
    <phoneticPr fontId="8"/>
  </si>
  <si>
    <t>364.0/226.3/155.0/127.0</t>
    <phoneticPr fontId="8"/>
  </si>
  <si>
    <t>292.0/226.3/155.0/127.0</t>
    <phoneticPr fontId="8"/>
  </si>
  <si>
    <t xml:space="preserve">D1.0.0　Draftを作成。
</t>
    <phoneticPr fontId="8"/>
  </si>
  <si>
    <t>D1.0.0</t>
    <phoneticPr fontId="8"/>
  </si>
  <si>
    <t>切り替えは次の規則に従う。ただし、指定された排出先が、PGS2036SGPの場合は、切り替えを行わない。</t>
  </si>
  <si>
    <t>坪量クラスの分類は、PGS1257SGPで用いられる坪量クラスの分類と異なっている。</t>
  </si>
  <si>
    <t>各Output装置を接続したときのデフォルト排出先についてはプロダクト編の3.4.1節「排出先指定」を参照。
二つ折りとスクエア機能との禁則は共通編の3.4.9節「PGS1266SGP指定とTrimming指定」、3.4.13節「組み合わせ禁止に対する解決規則」を参照。</t>
    <rPh sb="0" eb="1">
      <t>カク</t>
    </rPh>
    <rPh sb="7" eb="9">
      <t>ソウチ</t>
    </rPh>
    <rPh sb="10" eb="12">
      <t>セツゾク</t>
    </rPh>
    <rPh sb="22" eb="24">
      <t>ハイシュツ</t>
    </rPh>
    <rPh sb="24" eb="25">
      <t>サキ</t>
    </rPh>
    <rPh sb="35" eb="36">
      <t>ヘン</t>
    </rPh>
    <rPh sb="42" eb="43">
      <t>セツ</t>
    </rPh>
    <rPh sb="44" eb="46">
      <t>ハイシュツ</t>
    </rPh>
    <rPh sb="46" eb="47">
      <t>サキ</t>
    </rPh>
    <rPh sb="47" eb="49">
      <t>シテイ</t>
    </rPh>
    <rPh sb="51" eb="53">
      <t>サンショウ</t>
    </rPh>
    <phoneticPr fontId="8"/>
  </si>
  <si>
    <t>BOOKLET_PGS1266SGP</t>
    <phoneticPr fontId="8"/>
  </si>
  <si>
    <t>PGS1307SGP</t>
  </si>
  <si>
    <r>
      <t>その坪量クラスの分類は、</t>
    </r>
    <r>
      <rPr>
        <sz val="9"/>
        <rFont val="Arial"/>
        <family val="2"/>
      </rPr>
      <t>PGS1257SGP</t>
    </r>
    <r>
      <rPr>
        <sz val="9"/>
        <rFont val="ＭＳ Ｐゴシック"/>
        <family val="3"/>
        <charset val="128"/>
      </rPr>
      <t>で用いられる坪量クラスの分類と異なっているため、坪量クラスの関連付け一覧表のように関連付ける。</t>
    </r>
    <phoneticPr fontId="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</si>
</sst>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m/dd"/>
  </numFmts>
  <fonts count="59" x14ac:knownFonts="1">
    <font>
      <sz val="10"/>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6"/>
      <name val="ＭＳ Ｐゴシック"/>
      <family val="3"/>
      <charset val="128"/>
    </font>
    <font>
      <u/>
      <sz val="11"/>
      <color indexed="12"/>
      <name val="ＭＳ Ｐゴシック"/>
      <family val="3"/>
      <charset val="128"/>
    </font>
    <font>
      <sz val="10"/>
      <name val="Courier New"/>
      <family val="3"/>
    </font>
    <font>
      <sz val="10"/>
      <name val="ＭＳ Ｐゴシック"/>
      <family val="3"/>
      <charset val="128"/>
    </font>
    <font>
      <b/>
      <i/>
      <shadow/>
      <sz val="18"/>
      <name val="Arial"/>
      <family val="2"/>
    </font>
    <font>
      <b/>
      <i/>
      <sz val="12"/>
      <name val="Arial"/>
      <family val="2"/>
    </font>
    <font>
      <b/>
      <i/>
      <shadow/>
      <sz val="18"/>
      <name val="ＭＳ Ｐゴシック"/>
      <family val="3"/>
      <charset val="128"/>
    </font>
    <font>
      <b/>
      <sz val="8"/>
      <color indexed="81"/>
      <name val="ＭＳ Ｐゴシック"/>
      <family val="3"/>
      <charset val="128"/>
    </font>
    <font>
      <b/>
      <sz val="10"/>
      <name val="ＭＳ Ｐゴシック"/>
      <family val="3"/>
      <charset val="128"/>
    </font>
    <font>
      <u/>
      <sz val="10"/>
      <color indexed="12"/>
      <name val="ＭＳ Ｐゴシック"/>
      <family val="3"/>
      <charset val="128"/>
    </font>
    <font>
      <sz val="10"/>
      <color indexed="8"/>
      <name val="ＭＳ Ｐゴシック"/>
      <family val="3"/>
      <charset val="128"/>
    </font>
    <font>
      <sz val="10"/>
      <color indexed="8"/>
      <name val="Courier New"/>
      <family val="3"/>
    </font>
    <font>
      <sz val="9"/>
      <name val="Arial"/>
      <family val="2"/>
    </font>
    <font>
      <sz val="9"/>
      <name val="ＭＳ Ｐゴシック"/>
      <family val="3"/>
      <charset val="128"/>
    </font>
    <font>
      <b/>
      <i/>
      <sz val="12"/>
      <color rgb="FFFF0000"/>
      <name val="Arial"/>
      <family val="2"/>
    </font>
    <font>
      <sz val="10"/>
      <color theme="1"/>
      <name val="ＭＳ Ｐゴシック"/>
      <family val="3"/>
      <charset val="128"/>
    </font>
    <font>
      <sz val="10"/>
      <color theme="1"/>
      <name val="Courier New"/>
      <family val="3"/>
    </font>
    <font>
      <sz val="8"/>
      <color indexed="81"/>
      <name val="ＭＳ Ｐゴシック"/>
      <family val="3"/>
      <charset val="128"/>
    </font>
    <font>
      <sz val="10"/>
      <name val="Arial"/>
      <family val="2"/>
    </font>
    <font>
      <sz val="9"/>
      <color rgb="FF92D050"/>
      <name val="Arial"/>
      <family val="2"/>
    </font>
    <font>
      <sz val="9"/>
      <color rgb="FF92D050"/>
      <name val="ＭＳ Ｐゴシック"/>
      <family val="3"/>
      <charset val="128"/>
    </font>
    <font>
      <sz val="8"/>
      <name val="ＭＳ Ｐゴシック"/>
      <family val="3"/>
      <charset val="128"/>
    </font>
    <font>
      <sz val="7"/>
      <name val="Times New Roman"/>
      <family val="1"/>
    </font>
    <font>
      <sz val="9"/>
      <color rgb="FFFF0000"/>
      <name val="Arial"/>
      <family val="2"/>
    </font>
    <font>
      <sz val="9"/>
      <name val="Times New Roman"/>
      <family val="1"/>
    </font>
    <font>
      <sz val="9"/>
      <name val="Arial"/>
      <family val="1"/>
    </font>
    <font>
      <sz val="10.5"/>
      <name val="Century"/>
      <family val="1"/>
    </font>
    <font>
      <b/>
      <sz val="9"/>
      <name val="Arial"/>
      <family val="2"/>
    </font>
    <font>
      <sz val="9"/>
      <name val="Arial"/>
      <family val="3"/>
      <charset val="128"/>
    </font>
    <font>
      <sz val="9"/>
      <name val="ＭＳ Ｐゴシック"/>
      <family val="2"/>
      <charset val="128"/>
    </font>
    <font>
      <sz val="10.5"/>
      <name val="ＭＳ 明朝"/>
      <family val="1"/>
      <charset val="128"/>
    </font>
    <font>
      <sz val="9"/>
      <name val="Arial"/>
      <family val="2"/>
      <charset val="128"/>
    </font>
    <font>
      <sz val="10"/>
      <name val="Arial"/>
      <family val="3"/>
      <charset val="128"/>
    </font>
    <font>
      <sz val="10"/>
      <color theme="0" tint="-0.249977111117893"/>
      <name val="Arial"/>
      <family val="2"/>
    </font>
    <font>
      <sz val="10"/>
      <color theme="0" tint="-0.249977111117893"/>
      <name val="ＭＳ Ｐゴシック"/>
      <family val="3"/>
      <charset val="128"/>
    </font>
    <font>
      <sz val="9"/>
      <color rgb="FF808080"/>
      <name val="ＭＳ Ｐゴシック"/>
      <family val="3"/>
      <charset val="128"/>
    </font>
    <font>
      <sz val="9"/>
      <color rgb="FFC0C0C0"/>
      <name val="ＭＳ Ｐゴシック"/>
      <family val="3"/>
      <charset val="128"/>
    </font>
    <font>
      <sz val="10"/>
      <name val="ＭＳ ゴシック"/>
      <family val="2"/>
      <charset val="128"/>
    </font>
    <font>
      <sz val="9"/>
      <color rgb="FF000000"/>
      <name val="Arial"/>
      <family val="2"/>
    </font>
    <font>
      <i/>
      <sz val="9"/>
      <name val="Arial"/>
      <family val="2"/>
    </font>
    <font>
      <sz val="9"/>
      <color rgb="FFBFBFBF"/>
      <name val="ＭＳ Ｐゴシック"/>
      <family val="3"/>
      <charset val="128"/>
    </font>
    <font>
      <sz val="9"/>
      <name val="ＭＳ ゴシック"/>
      <family val="2"/>
      <charset val="128"/>
    </font>
    <font>
      <sz val="9"/>
      <name val="Arial"/>
      <family val="3"/>
    </font>
    <font>
      <sz val="9"/>
      <color theme="0" tint="-0.34998626667073579"/>
      <name val="Arial"/>
      <family val="2"/>
    </font>
    <font>
      <sz val="10"/>
      <color theme="0" tint="-0.34998626667073579"/>
      <name val="Arial"/>
      <family val="2"/>
    </font>
    <font>
      <sz val="9"/>
      <color theme="0" tint="-0.34998626667073579"/>
      <name val="ＭＳ Ｐゴシック"/>
      <family val="3"/>
      <charset val="128"/>
    </font>
    <font>
      <sz val="8"/>
      <name val="ＭＳ ゴシック"/>
      <family val="2"/>
      <charset val="128"/>
    </font>
    <font>
      <sz val="9"/>
      <name val="游ゴシック"/>
      <family val="2"/>
      <charset val="128"/>
    </font>
    <font>
      <sz val="6"/>
      <name val="Arial"/>
      <family val="2"/>
    </font>
    <font>
      <sz val="9"/>
      <name val="ＭＳ ゴシック"/>
      <family val="3"/>
      <charset val="128"/>
    </font>
    <font>
      <b/>
      <i/>
      <shadow/>
      <sz val="18"/>
      <color indexed="10"/>
      <name val="Arial"/>
      <family val="2"/>
    </font>
  </fonts>
  <fills count="8">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rgb="FF99CCFF"/>
        <bgColor indexed="64"/>
      </patternFill>
    </fill>
    <fill>
      <patternFill patternType="solid">
        <fgColor rgb="FFFFFF00"/>
        <bgColor indexed="64"/>
      </patternFill>
    </fill>
    <fill>
      <patternFill patternType="solid">
        <fgColor rgb="FF00FFFF"/>
        <bgColor indexed="64"/>
      </patternFill>
    </fill>
    <fill>
      <patternFill patternType="solid">
        <fgColor theme="0" tint="-0.249977111117893"/>
        <bgColor indexed="64"/>
      </patternFill>
    </fill>
  </fills>
  <borders count="5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style="thin">
        <color indexed="64"/>
      </top>
      <bottom style="thin">
        <color indexed="64"/>
      </bottom>
      <diagonal/>
    </border>
    <border>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double">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medium">
        <color indexed="64"/>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bottom style="thin">
        <color indexed="64"/>
      </bottom>
      <diagonal/>
    </border>
    <border>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style="double">
        <color indexed="64"/>
      </right>
      <top style="medium">
        <color indexed="64"/>
      </top>
      <bottom/>
      <diagonal/>
    </border>
    <border>
      <left style="thin">
        <color indexed="64"/>
      </left>
      <right style="double">
        <color indexed="64"/>
      </right>
      <top/>
      <bottom style="medium">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style="medium">
        <color indexed="64"/>
      </left>
      <right style="medium">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top/>
      <bottom style="double">
        <color indexed="64"/>
      </bottom>
      <diagonal/>
    </border>
    <border>
      <left style="thin">
        <color indexed="64"/>
      </left>
      <right style="double">
        <color indexed="64"/>
      </right>
      <top/>
      <bottom style="double">
        <color indexed="64"/>
      </bottom>
      <diagonal/>
    </border>
    <border>
      <left/>
      <right style="medium">
        <color indexed="64"/>
      </right>
      <top style="thin">
        <color indexed="64"/>
      </top>
      <bottom style="double">
        <color indexed="64"/>
      </bottom>
      <diagonal/>
    </border>
    <border>
      <left style="medium">
        <color indexed="64"/>
      </left>
      <right style="medium">
        <color indexed="64"/>
      </right>
      <top/>
      <bottom/>
      <diagonal/>
    </border>
    <border>
      <left/>
      <right/>
      <top style="medium">
        <color indexed="64"/>
      </top>
      <bottom/>
      <diagonal/>
    </border>
  </borders>
  <cellStyleXfs count="10">
    <xf numFmtId="0" fontId="0" fillId="0" borderId="0"/>
    <xf numFmtId="0" fontId="9" fillId="0" borderId="0" applyNumberFormat="0" applyFill="0" applyBorder="0" applyAlignment="0" applyProtection="0">
      <alignment vertical="top"/>
      <protection locked="0"/>
    </xf>
    <xf numFmtId="0" fontId="7" fillId="0" borderId="0"/>
    <xf numFmtId="0" fontId="11" fillId="0" borderId="0"/>
    <xf numFmtId="0" fontId="6" fillId="0" borderId="0">
      <alignment vertical="center"/>
    </xf>
    <xf numFmtId="0" fontId="5" fillId="0" borderId="0">
      <alignment vertical="center"/>
    </xf>
    <xf numFmtId="0" fontId="4" fillId="0" borderId="0">
      <alignment vertical="center"/>
    </xf>
    <xf numFmtId="0" fontId="3" fillId="0" borderId="0">
      <alignment vertical="center"/>
    </xf>
    <xf numFmtId="0" fontId="2" fillId="0" borderId="0">
      <alignment vertical="center"/>
    </xf>
    <xf numFmtId="0" fontId="2" fillId="0" borderId="0">
      <alignment vertical="center"/>
    </xf>
  </cellStyleXfs>
  <cellXfs count="308">
    <xf numFmtId="0" fontId="0" fillId="0" borderId="0" xfId="0"/>
    <xf numFmtId="0" fontId="10" fillId="0" borderId="0" xfId="0" applyFont="1"/>
    <xf numFmtId="0" fontId="10" fillId="0" borderId="1" xfId="0" applyFont="1" applyBorder="1"/>
    <xf numFmtId="0" fontId="10" fillId="0" borderId="0" xfId="0" applyFont="1" applyFill="1"/>
    <xf numFmtId="0" fontId="10" fillId="2" borderId="1" xfId="0" applyFont="1" applyFill="1" applyBorder="1"/>
    <xf numFmtId="0" fontId="13" fillId="0" borderId="0" xfId="3" applyFont="1" applyAlignment="1">
      <alignment horizontal="left" wrapText="1" indent="2"/>
    </xf>
    <xf numFmtId="0" fontId="10" fillId="0" borderId="0" xfId="3" applyFont="1" applyAlignment="1">
      <alignment wrapText="1"/>
    </xf>
    <xf numFmtId="0" fontId="12" fillId="0" borderId="0" xfId="3" applyFont="1" applyAlignment="1">
      <alignment horizontal="left" wrapText="1" indent="2"/>
    </xf>
    <xf numFmtId="0" fontId="12" fillId="0" borderId="0" xfId="3" applyFont="1" applyAlignment="1">
      <alignment wrapText="1"/>
    </xf>
    <xf numFmtId="0" fontId="10" fillId="0" borderId="0" xfId="3" applyFont="1" applyAlignment="1">
      <alignment horizontal="right" wrapText="1"/>
    </xf>
    <xf numFmtId="0" fontId="10" fillId="0" borderId="0" xfId="3" applyFont="1" applyAlignment="1">
      <alignment vertical="center" wrapText="1"/>
    </xf>
    <xf numFmtId="0" fontId="16" fillId="0" borderId="0" xfId="3" applyFont="1" applyAlignment="1">
      <alignment vertical="center" wrapText="1"/>
    </xf>
    <xf numFmtId="0" fontId="11" fillId="0" borderId="0" xfId="3" applyFont="1" applyAlignment="1">
      <alignment vertical="center" wrapText="1"/>
    </xf>
    <xf numFmtId="0" fontId="17" fillId="0" borderId="0" xfId="1" applyFont="1" applyAlignment="1" applyProtection="1">
      <alignment vertical="center" wrapText="1"/>
    </xf>
    <xf numFmtId="0" fontId="0" fillId="2" borderId="1" xfId="0" applyFont="1" applyFill="1" applyBorder="1"/>
    <xf numFmtId="0" fontId="0" fillId="2" borderId="1" xfId="0" applyFont="1" applyFill="1" applyBorder="1" applyAlignment="1">
      <alignment horizontal="left" vertical="top"/>
    </xf>
    <xf numFmtId="0" fontId="0" fillId="0" borderId="1" xfId="0" applyFont="1" applyBorder="1" applyAlignment="1">
      <alignment horizontal="left" vertical="top" wrapText="1"/>
    </xf>
    <xf numFmtId="0" fontId="0" fillId="3" borderId="1" xfId="0" applyFont="1" applyFill="1" applyBorder="1" applyAlignment="1">
      <alignment horizontal="justify" vertical="top"/>
    </xf>
    <xf numFmtId="0" fontId="0" fillId="0" borderId="1" xfId="0" applyFont="1" applyFill="1" applyBorder="1" applyAlignment="1">
      <alignment horizontal="justify" vertical="top"/>
    </xf>
    <xf numFmtId="0" fontId="0" fillId="0" borderId="1" xfId="0" applyFont="1" applyFill="1" applyBorder="1" applyAlignment="1">
      <alignment horizontal="left" vertical="top" wrapText="1"/>
    </xf>
    <xf numFmtId="0" fontId="22" fillId="0" borderId="0" xfId="3" applyFont="1" applyAlignment="1">
      <alignment wrapText="1"/>
    </xf>
    <xf numFmtId="14" fontId="23" fillId="2" borderId="21" xfId="0" applyNumberFormat="1" applyFont="1" applyFill="1" applyBorder="1" applyAlignment="1">
      <alignment horizontal="left" vertical="top" wrapText="1"/>
    </xf>
    <xf numFmtId="0" fontId="23" fillId="2" borderId="22" xfId="0" applyFont="1" applyFill="1" applyBorder="1" applyAlignment="1">
      <alignment horizontal="left" vertical="top" wrapText="1"/>
    </xf>
    <xf numFmtId="0" fontId="23" fillId="2" borderId="23" xfId="0" applyFont="1" applyFill="1" applyBorder="1" applyAlignment="1">
      <alignment horizontal="left" vertical="top" wrapText="1"/>
    </xf>
    <xf numFmtId="0" fontId="24" fillId="0" borderId="0" xfId="0" applyFont="1" applyAlignment="1">
      <alignment vertical="top"/>
    </xf>
    <xf numFmtId="0" fontId="23" fillId="0" borderId="1" xfId="0" applyFont="1" applyFill="1" applyBorder="1" applyAlignment="1">
      <alignment vertical="top" wrapText="1"/>
    </xf>
    <xf numFmtId="0" fontId="23" fillId="0" borderId="1" xfId="0" applyFont="1" applyFill="1" applyBorder="1" applyAlignment="1">
      <alignment vertical="top"/>
    </xf>
    <xf numFmtId="0" fontId="23" fillId="0" borderId="24" xfId="0" applyFont="1" applyFill="1" applyBorder="1" applyAlignment="1">
      <alignment horizontal="left" vertical="top" wrapText="1"/>
    </xf>
    <xf numFmtId="0" fontId="24" fillId="0" borderId="0" xfId="0" applyFont="1" applyAlignment="1">
      <alignment horizontal="left" vertical="top"/>
    </xf>
    <xf numFmtId="0" fontId="24" fillId="0" borderId="0" xfId="0" applyFont="1" applyAlignment="1">
      <alignment vertical="top" wrapText="1"/>
    </xf>
    <xf numFmtId="0" fontId="24" fillId="0" borderId="0" xfId="0" applyFont="1" applyFill="1" applyAlignment="1">
      <alignment vertical="top"/>
    </xf>
    <xf numFmtId="0" fontId="24" fillId="0" borderId="26" xfId="0" applyFont="1" applyFill="1" applyBorder="1" applyAlignment="1">
      <alignment vertical="top"/>
    </xf>
    <xf numFmtId="0" fontId="23" fillId="0" borderId="26" xfId="0" applyFont="1" applyFill="1" applyBorder="1" applyAlignment="1">
      <alignment vertical="top" wrapText="1"/>
    </xf>
    <xf numFmtId="0" fontId="23" fillId="0" borderId="26" xfId="0" applyFont="1" applyFill="1" applyBorder="1" applyAlignment="1">
      <alignment vertical="top"/>
    </xf>
    <xf numFmtId="0" fontId="23" fillId="0" borderId="27" xfId="0" applyFont="1" applyFill="1" applyBorder="1" applyAlignment="1">
      <alignment horizontal="left" vertical="top" wrapText="1"/>
    </xf>
    <xf numFmtId="0" fontId="24" fillId="0" borderId="1" xfId="0" applyFont="1" applyFill="1" applyBorder="1" applyAlignment="1">
      <alignment vertical="top" wrapText="1"/>
    </xf>
    <xf numFmtId="0" fontId="23" fillId="0" borderId="39" xfId="0" applyFont="1" applyFill="1" applyBorder="1" applyAlignment="1">
      <alignment horizontal="left" vertical="top" wrapText="1"/>
    </xf>
    <xf numFmtId="0" fontId="0" fillId="0" borderId="0" xfId="0" applyFont="1"/>
    <xf numFmtId="0" fontId="0" fillId="0" borderId="1" xfId="0" applyFont="1" applyBorder="1" applyAlignment="1">
      <alignment horizontal="justify" vertical="top" wrapText="1"/>
    </xf>
    <xf numFmtId="0" fontId="0" fillId="0" borderId="1" xfId="0" applyFont="1" applyBorder="1"/>
    <xf numFmtId="0" fontId="0" fillId="0" borderId="1" xfId="0" applyFont="1" applyFill="1" applyBorder="1"/>
    <xf numFmtId="0" fontId="0" fillId="0" borderId="1" xfId="0" applyFont="1" applyFill="1" applyBorder="1" applyAlignment="1">
      <alignment horizontal="left" vertical="top"/>
    </xf>
    <xf numFmtId="0" fontId="0" fillId="5" borderId="1" xfId="0" applyFont="1" applyFill="1" applyBorder="1"/>
    <xf numFmtId="0" fontId="10" fillId="0" borderId="1" xfId="0" applyFont="1" applyFill="1" applyBorder="1" applyAlignment="1">
      <alignment horizontal="left" vertical="top" wrapText="1"/>
    </xf>
    <xf numFmtId="0" fontId="0" fillId="0" borderId="1" xfId="0" applyFill="1" applyBorder="1" applyAlignment="1">
      <alignment horizontal="left" vertical="top" wrapText="1"/>
    </xf>
    <xf numFmtId="0" fontId="24" fillId="0" borderId="43" xfId="0" applyFont="1" applyFill="1" applyBorder="1" applyAlignment="1">
      <alignment vertical="top" wrapText="1"/>
    </xf>
    <xf numFmtId="0" fontId="23" fillId="0" borderId="43" xfId="0" applyFont="1" applyFill="1" applyBorder="1" applyAlignment="1">
      <alignment vertical="top" wrapText="1"/>
    </xf>
    <xf numFmtId="0" fontId="23" fillId="0" borderId="42" xfId="0" applyFont="1" applyFill="1" applyBorder="1" applyAlignment="1">
      <alignment horizontal="left" vertical="top" wrapText="1"/>
    </xf>
    <xf numFmtId="0" fontId="0" fillId="0" borderId="1" xfId="0" applyFont="1" applyFill="1" applyBorder="1" applyAlignment="1">
      <alignment vertical="top" wrapText="1"/>
    </xf>
    <xf numFmtId="0" fontId="23" fillId="0" borderId="3" xfId="0" applyFont="1" applyFill="1" applyBorder="1" applyAlignment="1">
      <alignment vertical="top" wrapText="1"/>
    </xf>
    <xf numFmtId="176" fontId="0" fillId="0" borderId="38" xfId="0" applyNumberFormat="1" applyFont="1" applyFill="1" applyBorder="1" applyAlignment="1">
      <alignment horizontal="left" vertical="top"/>
    </xf>
    <xf numFmtId="0" fontId="10" fillId="0" borderId="1" xfId="0" applyFont="1" applyFill="1" applyBorder="1" applyAlignment="1">
      <alignment vertical="top" wrapText="1"/>
    </xf>
    <xf numFmtId="176" fontId="24" fillId="0" borderId="40" xfId="0" applyNumberFormat="1" applyFont="1" applyFill="1" applyBorder="1" applyAlignment="1">
      <alignment horizontal="left" vertical="top"/>
    </xf>
    <xf numFmtId="176" fontId="24" fillId="0" borderId="38" xfId="0" applyNumberFormat="1" applyFont="1" applyFill="1" applyBorder="1" applyAlignment="1">
      <alignment horizontal="left" vertical="top"/>
    </xf>
    <xf numFmtId="14" fontId="24" fillId="0" borderId="25" xfId="0" applyNumberFormat="1" applyFont="1" applyFill="1" applyBorder="1" applyAlignment="1">
      <alignment horizontal="left" vertical="top"/>
    </xf>
    <xf numFmtId="14" fontId="24" fillId="0" borderId="0" xfId="0" applyNumberFormat="1" applyFont="1" applyAlignment="1">
      <alignment horizontal="left" vertical="top"/>
    </xf>
    <xf numFmtId="0" fontId="0" fillId="5" borderId="1" xfId="0" applyFont="1" applyFill="1" applyBorder="1" applyAlignment="1">
      <alignment horizontal="justify" vertical="top"/>
    </xf>
    <xf numFmtId="0" fontId="11" fillId="5" borderId="1" xfId="0" applyFont="1" applyFill="1" applyBorder="1" applyAlignment="1">
      <alignment horizontal="left" vertical="top" wrapText="1"/>
    </xf>
    <xf numFmtId="0" fontId="10" fillId="0" borderId="1" xfId="0" applyFont="1" applyBorder="1" applyAlignment="1">
      <alignment horizontal="left" vertical="top" wrapText="1"/>
    </xf>
    <xf numFmtId="0" fontId="0" fillId="5" borderId="1" xfId="0" applyFill="1" applyBorder="1" applyAlignment="1">
      <alignment horizontal="left" vertical="top" wrapText="1"/>
    </xf>
    <xf numFmtId="0" fontId="10" fillId="5" borderId="1" xfId="0" applyFont="1" applyFill="1" applyBorder="1" applyAlignment="1">
      <alignment horizontal="left" vertical="top" wrapText="1"/>
    </xf>
    <xf numFmtId="0" fontId="20" fillId="0" borderId="34" xfId="0" applyFont="1" applyBorder="1" applyAlignment="1">
      <alignment horizontal="center" vertical="center" wrapText="1"/>
    </xf>
    <xf numFmtId="0" fontId="20" fillId="0" borderId="8" xfId="0" applyFont="1" applyBorder="1" applyAlignment="1">
      <alignment horizontal="center" vertical="center" wrapText="1"/>
    </xf>
    <xf numFmtId="0" fontId="21" fillId="0" borderId="8" xfId="0" applyFont="1" applyBorder="1" applyAlignment="1">
      <alignment horizontal="center" vertical="center" wrapText="1"/>
    </xf>
    <xf numFmtId="0" fontId="20" fillId="0" borderId="12" xfId="0" applyFont="1" applyBorder="1" applyAlignment="1">
      <alignment horizontal="center" vertical="center" wrapText="1"/>
    </xf>
    <xf numFmtId="0" fontId="21" fillId="0" borderId="34" xfId="0" applyFont="1" applyBorder="1" applyAlignment="1">
      <alignment horizontal="center" vertical="center" wrapText="1"/>
    </xf>
    <xf numFmtId="0" fontId="0" fillId="0" borderId="0" xfId="0" applyAlignment="1">
      <alignment vertical="top"/>
    </xf>
    <xf numFmtId="0" fontId="21" fillId="6" borderId="34" xfId="0" applyFont="1" applyFill="1" applyBorder="1" applyAlignment="1">
      <alignment horizontal="justify" vertical="top" wrapText="1"/>
    </xf>
    <xf numFmtId="0" fontId="21" fillId="6" borderId="37" xfId="0" applyFont="1" applyFill="1" applyBorder="1" applyAlignment="1">
      <alignment horizontal="justify" vertical="top" wrapText="1"/>
    </xf>
    <xf numFmtId="0" fontId="20" fillId="6" borderId="14" xfId="0" applyFont="1" applyFill="1" applyBorder="1" applyAlignment="1">
      <alignment horizontal="justify" vertical="top" wrapText="1"/>
    </xf>
    <xf numFmtId="0" fontId="20" fillId="6" borderId="8" xfId="0" applyFont="1" applyFill="1" applyBorder="1" applyAlignment="1">
      <alignment horizontal="justify" vertical="top" wrapText="1"/>
    </xf>
    <xf numFmtId="0" fontId="20" fillId="6" borderId="8" xfId="0" applyFont="1" applyFill="1" applyBorder="1" applyAlignment="1">
      <alignment horizontal="center" vertical="top" wrapText="1"/>
    </xf>
    <xf numFmtId="0" fontId="21" fillId="0" borderId="14" xfId="0" applyFont="1" applyBorder="1" applyAlignment="1">
      <alignment horizontal="justify" vertical="top" wrapText="1"/>
    </xf>
    <xf numFmtId="0" fontId="20" fillId="0" borderId="8" xfId="0" applyFont="1" applyBorder="1" applyAlignment="1">
      <alignment horizontal="justify" vertical="top" wrapText="1"/>
    </xf>
    <xf numFmtId="0" fontId="20" fillId="0" borderId="14" xfId="0" applyFont="1" applyBorder="1" applyAlignment="1">
      <alignment horizontal="justify" vertical="top" wrapText="1"/>
    </xf>
    <xf numFmtId="0" fontId="20" fillId="0" borderId="34" xfId="0" applyFont="1" applyBorder="1" applyAlignment="1">
      <alignment horizontal="justify" vertical="top" wrapText="1"/>
    </xf>
    <xf numFmtId="0" fontId="21" fillId="0" borderId="37" xfId="0" applyFont="1" applyBorder="1" applyAlignment="1">
      <alignment horizontal="justify" vertical="top" wrapText="1"/>
    </xf>
    <xf numFmtId="0" fontId="20" fillId="0" borderId="12" xfId="0" applyFont="1" applyBorder="1" applyAlignment="1">
      <alignment horizontal="justify" vertical="top" wrapText="1"/>
    </xf>
    <xf numFmtId="0" fontId="20" fillId="0" borderId="6" xfId="0" applyFont="1" applyBorder="1" applyAlignment="1">
      <alignment horizontal="justify" vertical="top" wrapText="1"/>
    </xf>
    <xf numFmtId="0" fontId="21" fillId="0" borderId="8" xfId="0" applyFont="1" applyBorder="1" applyAlignment="1">
      <alignment horizontal="justify" vertical="top" wrapText="1"/>
    </xf>
    <xf numFmtId="0" fontId="21" fillId="0" borderId="37" xfId="0" applyFont="1" applyBorder="1" applyAlignment="1">
      <alignment horizontal="center" vertical="center" wrapText="1"/>
    </xf>
    <xf numFmtId="0" fontId="20" fillId="0" borderId="37" xfId="0" applyFont="1" applyBorder="1" applyAlignment="1">
      <alignment horizontal="center" vertical="center" wrapText="1"/>
    </xf>
    <xf numFmtId="0" fontId="21" fillId="0" borderId="34" xfId="0" applyFont="1" applyBorder="1" applyAlignment="1">
      <alignment horizontal="justify" vertical="top" wrapText="1"/>
    </xf>
    <xf numFmtId="0" fontId="20" fillId="0" borderId="0" xfId="0" applyFont="1" applyBorder="1" applyAlignment="1">
      <alignment horizontal="right" vertical="center"/>
    </xf>
    <xf numFmtId="0" fontId="20" fillId="0" borderId="8" xfId="0" applyFont="1" applyBorder="1" applyAlignment="1">
      <alignment horizontal="justify" vertical="center" wrapText="1"/>
    </xf>
    <xf numFmtId="0" fontId="20" fillId="0" borderId="14" xfId="0" applyFont="1" applyBorder="1" applyAlignment="1">
      <alignment horizontal="justify" vertical="center" wrapText="1"/>
    </xf>
    <xf numFmtId="0" fontId="20" fillId="0" borderId="0" xfId="0" applyFont="1" applyAlignment="1">
      <alignment horizontal="justify" vertical="center"/>
    </xf>
    <xf numFmtId="0" fontId="20" fillId="0" borderId="34" xfId="0" applyFont="1" applyBorder="1" applyAlignment="1">
      <alignment horizontal="justify" vertical="center" wrapText="1"/>
    </xf>
    <xf numFmtId="0" fontId="21" fillId="0" borderId="14" xfId="0" applyFont="1" applyBorder="1" applyAlignment="1">
      <alignment horizontal="justify" vertical="center" wrapText="1"/>
    </xf>
    <xf numFmtId="0" fontId="21" fillId="0" borderId="8" xfId="0" applyFont="1" applyBorder="1" applyAlignment="1">
      <alignment horizontal="justify" vertical="center" wrapText="1"/>
    </xf>
    <xf numFmtId="0" fontId="21" fillId="0" borderId="0" xfId="0" applyFont="1" applyAlignment="1">
      <alignment horizontal="justify" vertical="center"/>
    </xf>
    <xf numFmtId="0" fontId="21" fillId="0" borderId="34" xfId="0" applyFont="1" applyBorder="1" applyAlignment="1">
      <alignment horizontal="justify" vertical="center" wrapText="1"/>
    </xf>
    <xf numFmtId="0" fontId="26" fillId="0" borderId="0" xfId="0" applyFont="1"/>
    <xf numFmtId="0" fontId="26" fillId="5" borderId="12" xfId="0" applyFont="1" applyFill="1" applyBorder="1" applyAlignment="1">
      <alignment horizontal="justify" vertical="center" wrapText="1"/>
    </xf>
    <xf numFmtId="0" fontId="26" fillId="5" borderId="5" xfId="0" applyFont="1" applyFill="1" applyBorder="1" applyAlignment="1">
      <alignment horizontal="center" vertical="center" wrapText="1"/>
    </xf>
    <xf numFmtId="0" fontId="26" fillId="5" borderId="5" xfId="0" applyFont="1" applyFill="1" applyBorder="1" applyAlignment="1">
      <alignment horizontal="justify" vertical="center" wrapText="1"/>
    </xf>
    <xf numFmtId="0" fontId="26" fillId="0" borderId="34" xfId="0" applyFont="1" applyBorder="1" applyAlignment="1">
      <alignment horizontal="justify" vertical="center" wrapText="1"/>
    </xf>
    <xf numFmtId="0" fontId="26" fillId="0" borderId="55" xfId="0" applyFont="1" applyBorder="1" applyAlignment="1">
      <alignment horizontal="justify" vertical="center" wrapText="1"/>
    </xf>
    <xf numFmtId="0" fontId="26" fillId="0" borderId="34" xfId="0" applyFont="1" applyBorder="1"/>
    <xf numFmtId="0" fontId="26" fillId="0" borderId="34" xfId="0" applyFont="1" applyBorder="1" applyAlignment="1">
      <alignment horizontal="center" vertical="center" wrapText="1"/>
    </xf>
    <xf numFmtId="0" fontId="20" fillId="6" borderId="34" xfId="0" applyFont="1" applyFill="1" applyBorder="1" applyAlignment="1">
      <alignment horizontal="center" vertical="center" wrapText="1"/>
    </xf>
    <xf numFmtId="0" fontId="28" fillId="5" borderId="34" xfId="0" applyFont="1" applyFill="1" applyBorder="1" applyAlignment="1">
      <alignment horizontal="justify" vertical="center" wrapText="1"/>
    </xf>
    <xf numFmtId="0" fontId="27" fillId="5" borderId="34" xfId="0" applyFont="1" applyFill="1" applyBorder="1" applyAlignment="1">
      <alignment horizontal="justify" vertical="center" wrapText="1"/>
    </xf>
    <xf numFmtId="0" fontId="20" fillId="6" borderId="12" xfId="0" applyFont="1" applyFill="1" applyBorder="1" applyAlignment="1">
      <alignment horizontal="center" vertical="center" wrapText="1"/>
    </xf>
    <xf numFmtId="0" fontId="20" fillId="6" borderId="14" xfId="0" applyFont="1" applyFill="1" applyBorder="1" applyAlignment="1">
      <alignment horizontal="center" vertical="center" wrapText="1"/>
    </xf>
    <xf numFmtId="0" fontId="21" fillId="7" borderId="34" xfId="0" applyFont="1" applyFill="1" applyBorder="1" applyAlignment="1">
      <alignment horizontal="justify" vertical="center" wrapText="1"/>
    </xf>
    <xf numFmtId="0" fontId="20" fillId="7" borderId="34" xfId="0" applyFont="1" applyFill="1" applyBorder="1" applyAlignment="1">
      <alignment horizontal="justify" vertical="center" wrapText="1"/>
    </xf>
    <xf numFmtId="0" fontId="20" fillId="7" borderId="34" xfId="0" applyFont="1" applyFill="1" applyBorder="1" applyAlignment="1">
      <alignment horizontal="justify" vertical="top" wrapText="1"/>
    </xf>
    <xf numFmtId="0" fontId="21" fillId="6" borderId="34" xfId="0" applyFont="1" applyFill="1" applyBorder="1" applyAlignment="1">
      <alignment horizontal="justify" vertical="center" wrapText="1"/>
    </xf>
    <xf numFmtId="0" fontId="20" fillId="6" borderId="37" xfId="0" applyFont="1" applyFill="1" applyBorder="1" applyAlignment="1">
      <alignment horizontal="center" vertical="center" wrapText="1"/>
    </xf>
    <xf numFmtId="0" fontId="21" fillId="6" borderId="37" xfId="0" applyFont="1" applyFill="1" applyBorder="1" applyAlignment="1">
      <alignment horizontal="center" vertical="center" wrapText="1"/>
    </xf>
    <xf numFmtId="0" fontId="21" fillId="6" borderId="32" xfId="0" applyFont="1" applyFill="1" applyBorder="1" applyAlignment="1">
      <alignment horizontal="justify" vertical="center" wrapText="1"/>
    </xf>
    <xf numFmtId="0" fontId="21" fillId="0" borderId="0" xfId="0" applyFont="1" applyBorder="1" applyAlignment="1">
      <alignment horizontal="justify" vertical="center" wrapText="1"/>
    </xf>
    <xf numFmtId="0" fontId="21" fillId="0" borderId="0" xfId="0" applyFont="1" applyBorder="1" applyAlignment="1">
      <alignment horizontal="center" vertical="center" wrapText="1"/>
    </xf>
    <xf numFmtId="0" fontId="21" fillId="6" borderId="34" xfId="0" applyFont="1" applyFill="1" applyBorder="1" applyAlignment="1">
      <alignment horizontal="center" vertical="center" wrapText="1"/>
    </xf>
    <xf numFmtId="0" fontId="29" fillId="0" borderId="14" xfId="0" applyFont="1" applyBorder="1" applyAlignment="1">
      <alignment horizontal="justify" vertical="center" wrapText="1"/>
    </xf>
    <xf numFmtId="0" fontId="20" fillId="0" borderId="0" xfId="0" applyFont="1" applyAlignment="1">
      <alignment horizontal="right" vertical="center" indent="5"/>
    </xf>
    <xf numFmtId="0" fontId="31" fillId="0" borderId="0" xfId="0" applyFont="1" applyAlignment="1">
      <alignment horizontal="justify" vertical="center"/>
    </xf>
    <xf numFmtId="0" fontId="20" fillId="0" borderId="0" xfId="0" applyFont="1" applyAlignment="1">
      <alignment horizontal="left" vertical="center"/>
    </xf>
    <xf numFmtId="0" fontId="0" fillId="0" borderId="0" xfId="0" applyAlignment="1">
      <alignment horizontal="center" vertical="center"/>
    </xf>
    <xf numFmtId="0" fontId="33" fillId="0" borderId="0" xfId="0" applyFont="1" applyAlignment="1">
      <alignment horizontal="justify" vertical="center"/>
    </xf>
    <xf numFmtId="0" fontId="33" fillId="0" borderId="0" xfId="0" applyFont="1" applyAlignment="1">
      <alignment horizontal="left" vertical="center"/>
    </xf>
    <xf numFmtId="0" fontId="21" fillId="0" borderId="14" xfId="0" applyFont="1" applyBorder="1" applyAlignment="1">
      <alignment horizontal="center" vertical="center" wrapText="1"/>
    </xf>
    <xf numFmtId="0" fontId="29" fillId="6" borderId="34" xfId="0" applyFont="1" applyFill="1" applyBorder="1" applyAlignment="1">
      <alignment horizontal="center" vertical="center" wrapText="1"/>
    </xf>
    <xf numFmtId="0" fontId="0" fillId="0" borderId="0" xfId="0" applyAlignment="1">
      <alignment horizontal="justify" vertical="center"/>
    </xf>
    <xf numFmtId="0" fontId="21" fillId="0" borderId="0" xfId="0" applyFont="1" applyAlignment="1">
      <alignment horizontal="left" vertical="center"/>
    </xf>
    <xf numFmtId="0" fontId="21" fillId="5" borderId="12" xfId="0" applyFont="1" applyFill="1" applyBorder="1" applyAlignment="1">
      <alignment horizontal="justify" vertical="center" wrapText="1"/>
    </xf>
    <xf numFmtId="0" fontId="21" fillId="5" borderId="5" xfId="0" applyFont="1" applyFill="1" applyBorder="1" applyAlignment="1">
      <alignment horizontal="center" vertical="center" wrapText="1"/>
    </xf>
    <xf numFmtId="0" fontId="21" fillId="5" borderId="5" xfId="0" applyFont="1" applyFill="1" applyBorder="1" applyAlignment="1">
      <alignment horizontal="justify" vertical="center" wrapText="1"/>
    </xf>
    <xf numFmtId="0" fontId="20" fillId="0" borderId="37" xfId="0" applyFont="1" applyBorder="1" applyAlignment="1">
      <alignment horizontal="justify" vertical="center" wrapText="1"/>
    </xf>
    <xf numFmtId="0" fontId="21" fillId="5" borderId="37" xfId="0" applyFont="1" applyFill="1" applyBorder="1" applyAlignment="1">
      <alignment horizontal="center" vertical="center" wrapText="1"/>
    </xf>
    <xf numFmtId="0" fontId="20" fillId="5" borderId="8" xfId="0" applyFont="1" applyFill="1" applyBorder="1" applyAlignment="1">
      <alignment horizontal="center" vertical="center" wrapText="1"/>
    </xf>
    <xf numFmtId="0" fontId="21" fillId="5" borderId="8" xfId="0" applyFont="1" applyFill="1" applyBorder="1" applyAlignment="1">
      <alignment horizontal="center" vertical="center" wrapText="1"/>
    </xf>
    <xf numFmtId="0" fontId="21" fillId="0" borderId="8" xfId="0" applyFont="1" applyBorder="1" applyAlignment="1">
      <alignment horizontal="right" vertical="center" wrapText="1"/>
    </xf>
    <xf numFmtId="0" fontId="20" fillId="0" borderId="8" xfId="0" applyFont="1" applyBorder="1" applyAlignment="1">
      <alignment horizontal="right" vertical="center" wrapText="1"/>
    </xf>
    <xf numFmtId="0" fontId="34" fillId="0" borderId="0" xfId="0" applyFont="1"/>
    <xf numFmtId="0" fontId="20" fillId="0" borderId="8" xfId="0" applyFont="1" applyBorder="1" applyAlignment="1">
      <alignment horizontal="left" vertical="center" wrapText="1"/>
    </xf>
    <xf numFmtId="0" fontId="35" fillId="0" borderId="0" xfId="0" applyFont="1" applyAlignment="1">
      <alignment horizontal="left" vertical="center"/>
    </xf>
    <xf numFmtId="0" fontId="20" fillId="0" borderId="0" xfId="0" applyFont="1" applyAlignment="1">
      <alignment horizontal="right" vertical="center"/>
    </xf>
    <xf numFmtId="0" fontId="0" fillId="0" borderId="0" xfId="0" applyAlignment="1">
      <alignment horizontal="right"/>
    </xf>
    <xf numFmtId="0" fontId="21" fillId="0" borderId="0" xfId="0" applyFont="1" applyAlignment="1">
      <alignment horizontal="right" vertical="center"/>
    </xf>
    <xf numFmtId="0" fontId="36" fillId="0" borderId="0" xfId="0" applyFont="1" applyAlignment="1">
      <alignment horizontal="left" vertical="center"/>
    </xf>
    <xf numFmtId="0" fontId="37" fillId="0" borderId="0" xfId="0" applyFont="1" applyAlignment="1">
      <alignment horizontal="left" vertical="center"/>
    </xf>
    <xf numFmtId="0" fontId="20" fillId="5" borderId="6" xfId="0" applyFont="1" applyFill="1" applyBorder="1" applyAlignment="1">
      <alignment horizontal="center" vertical="center" wrapText="1"/>
    </xf>
    <xf numFmtId="0" fontId="20" fillId="0" borderId="37" xfId="0" applyFont="1" applyBorder="1" applyAlignment="1">
      <alignment horizontal="right" vertical="center" wrapText="1"/>
    </xf>
    <xf numFmtId="0" fontId="20" fillId="0" borderId="37" xfId="0" applyFont="1" applyBorder="1" applyAlignment="1">
      <alignment vertical="center" wrapText="1"/>
    </xf>
    <xf numFmtId="0" fontId="39" fillId="0" borderId="0" xfId="0" applyFont="1" applyAlignment="1">
      <alignment horizontal="left" vertical="center"/>
    </xf>
    <xf numFmtId="0" fontId="0" fillId="0" borderId="0" xfId="0" applyFont="1" applyAlignment="1">
      <alignment horizontal="center" vertical="center"/>
    </xf>
    <xf numFmtId="0" fontId="26" fillId="0" borderId="0" xfId="0" applyFont="1" applyFill="1"/>
    <xf numFmtId="0" fontId="0" fillId="0" borderId="0" xfId="0" applyFont="1" applyFill="1" applyAlignment="1">
      <alignment horizontal="center" vertical="center"/>
    </xf>
    <xf numFmtId="0" fontId="26" fillId="0" borderId="34" xfId="0" applyFont="1" applyBorder="1" applyAlignment="1">
      <alignment vertical="center"/>
    </xf>
    <xf numFmtId="0" fontId="26" fillId="7" borderId="0" xfId="0" applyFont="1" applyFill="1"/>
    <xf numFmtId="0" fontId="40" fillId="0" borderId="0" xfId="0" applyFont="1"/>
    <xf numFmtId="0" fontId="26" fillId="0" borderId="12" xfId="0" applyFont="1" applyBorder="1"/>
    <xf numFmtId="0" fontId="26" fillId="0" borderId="34" xfId="0" applyFont="1" applyFill="1" applyBorder="1" applyAlignment="1">
      <alignment horizontal="justify" vertical="center" wrapText="1"/>
    </xf>
    <xf numFmtId="0" fontId="26" fillId="0" borderId="34" xfId="0" applyFont="1" applyFill="1" applyBorder="1" applyAlignment="1">
      <alignment horizontal="center" vertical="center" wrapText="1"/>
    </xf>
    <xf numFmtId="0" fontId="26" fillId="0" borderId="34" xfId="0" applyFont="1" applyFill="1" applyBorder="1"/>
    <xf numFmtId="0" fontId="41" fillId="0" borderId="34" xfId="0" applyFont="1" applyBorder="1" applyAlignment="1">
      <alignment horizontal="justify" vertical="center" wrapText="1"/>
    </xf>
    <xf numFmtId="0" fontId="21" fillId="0" borderId="34" xfId="0" applyFont="1" applyFill="1" applyBorder="1" applyAlignment="1">
      <alignment horizontal="justify" vertical="center" wrapText="1"/>
    </xf>
    <xf numFmtId="0" fontId="20" fillId="0" borderId="34" xfId="0" applyFont="1" applyFill="1" applyBorder="1" applyAlignment="1">
      <alignment horizontal="justify" vertical="center" wrapText="1"/>
    </xf>
    <xf numFmtId="0" fontId="43" fillId="0" borderId="8" xfId="0" applyFont="1" applyBorder="1" applyAlignment="1">
      <alignment horizontal="center" vertical="center" wrapText="1"/>
    </xf>
    <xf numFmtId="0" fontId="9" fillId="0" borderId="0" xfId="1" applyAlignment="1" applyProtection="1"/>
    <xf numFmtId="0" fontId="20" fillId="7" borderId="14" xfId="0" applyFont="1" applyFill="1" applyBorder="1" applyAlignment="1">
      <alignment horizontal="justify" vertical="center" wrapText="1"/>
    </xf>
    <xf numFmtId="0" fontId="21" fillId="7" borderId="8" xfId="0" applyFont="1" applyFill="1" applyBorder="1" applyAlignment="1">
      <alignment horizontal="center" vertical="center" wrapText="1"/>
    </xf>
    <xf numFmtId="0" fontId="21" fillId="7" borderId="14" xfId="0" applyFont="1" applyFill="1" applyBorder="1" applyAlignment="1">
      <alignment horizontal="justify" vertical="center" wrapText="1"/>
    </xf>
    <xf numFmtId="0" fontId="20" fillId="0" borderId="14" xfId="0" applyFont="1" applyFill="1" applyBorder="1" applyAlignment="1">
      <alignment horizontal="justify" vertical="center" wrapText="1"/>
    </xf>
    <xf numFmtId="0" fontId="21" fillId="0" borderId="8" xfId="0" applyFont="1" applyFill="1" applyBorder="1" applyAlignment="1">
      <alignment horizontal="center" vertical="center" wrapText="1"/>
    </xf>
    <xf numFmtId="0" fontId="44" fillId="0" borderId="8" xfId="0" applyFont="1" applyBorder="1" applyAlignment="1">
      <alignment horizontal="center" vertical="center" wrapText="1"/>
    </xf>
    <xf numFmtId="0" fontId="38" fillId="0" borderId="8" xfId="0" applyFont="1" applyBorder="1" applyAlignment="1">
      <alignment horizontal="center" vertical="center" wrapText="1"/>
    </xf>
    <xf numFmtId="0" fontId="45" fillId="0" borderId="34" xfId="0" applyFont="1" applyBorder="1" applyAlignment="1">
      <alignment horizontal="justify" vertical="center" wrapText="1"/>
    </xf>
    <xf numFmtId="0" fontId="20" fillId="6" borderId="34" xfId="0" applyFont="1" applyFill="1" applyBorder="1" applyAlignment="1">
      <alignment horizontal="justify" vertical="center" wrapText="1"/>
    </xf>
    <xf numFmtId="0" fontId="46" fillId="6" borderId="37" xfId="0" applyFont="1" applyFill="1" applyBorder="1" applyAlignment="1">
      <alignment horizontal="center" vertical="center" wrapText="1"/>
    </xf>
    <xf numFmtId="0" fontId="46" fillId="0" borderId="8" xfId="0" applyFont="1" applyBorder="1" applyAlignment="1">
      <alignment vertical="center" wrapText="1"/>
    </xf>
    <xf numFmtId="0" fontId="20" fillId="0" borderId="0" xfId="0" applyFont="1" applyAlignment="1">
      <alignment horizontal="right" vertical="top"/>
    </xf>
    <xf numFmtId="0" fontId="20" fillId="0" borderId="0" xfId="0" applyFont="1" applyAlignment="1">
      <alignment horizontal="left" vertical="top"/>
    </xf>
    <xf numFmtId="0" fontId="20" fillId="0" borderId="0" xfId="0" applyFont="1" applyAlignment="1">
      <alignment vertical="top"/>
    </xf>
    <xf numFmtId="0" fontId="20" fillId="0" borderId="0" xfId="0" applyFont="1" applyAlignment="1">
      <alignment vertical="center"/>
    </xf>
    <xf numFmtId="0" fontId="20" fillId="0" borderId="0" xfId="0" applyFont="1" applyBorder="1" applyProtection="1"/>
    <xf numFmtId="0" fontId="20" fillId="0" borderId="0" xfId="0" applyFont="1" applyBorder="1" applyAlignment="1" applyProtection="1">
      <alignment wrapText="1"/>
    </xf>
    <xf numFmtId="0" fontId="20" fillId="0" borderId="0" xfId="0" applyFont="1" applyBorder="1" applyAlignment="1" applyProtection="1">
      <alignment horizontal="center" vertical="center"/>
    </xf>
    <xf numFmtId="0" fontId="20" fillId="0" borderId="0" xfId="0" applyFont="1" applyFill="1" applyBorder="1" applyAlignment="1" applyProtection="1">
      <alignment vertical="top" wrapText="1"/>
    </xf>
    <xf numFmtId="0" fontId="20" fillId="2" borderId="12" xfId="0" applyFont="1" applyFill="1" applyBorder="1" applyAlignment="1" applyProtection="1">
      <alignment horizontal="right" vertical="top" wrapText="1"/>
    </xf>
    <xf numFmtId="0" fontId="20" fillId="2" borderId="41" xfId="0" applyFont="1" applyFill="1" applyBorder="1" applyAlignment="1" applyProtection="1">
      <alignment vertical="top" wrapText="1"/>
    </xf>
    <xf numFmtId="0" fontId="20" fillId="2" borderId="43" xfId="0" applyFont="1" applyFill="1" applyBorder="1" applyAlignment="1" applyProtection="1">
      <alignment vertical="top" wrapText="1"/>
    </xf>
    <xf numFmtId="0" fontId="20" fillId="4" borderId="19" xfId="0" applyFont="1" applyFill="1" applyBorder="1" applyAlignment="1" applyProtection="1">
      <alignment vertical="top" wrapText="1"/>
    </xf>
    <xf numFmtId="0" fontId="20" fillId="2" borderId="5" xfId="0" applyFont="1" applyFill="1" applyBorder="1" applyAlignment="1" applyProtection="1">
      <alignment vertical="top" wrapText="1"/>
    </xf>
    <xf numFmtId="0" fontId="20" fillId="0" borderId="0" xfId="0" applyFont="1" applyFill="1" applyBorder="1" applyAlignment="1" applyProtection="1">
      <alignment horizontal="center" vertical="center" wrapText="1"/>
    </xf>
    <xf numFmtId="0" fontId="47" fillId="0" borderId="0" xfId="0" applyFont="1" applyFill="1" applyBorder="1" applyAlignment="1" applyProtection="1">
      <alignment vertical="top" wrapText="1"/>
    </xf>
    <xf numFmtId="0" fontId="20" fillId="0" borderId="0" xfId="0" applyFont="1" applyFill="1" applyBorder="1" applyProtection="1"/>
    <xf numFmtId="0" fontId="20" fillId="2" borderId="14" xfId="0" applyFont="1" applyFill="1" applyBorder="1" applyAlignment="1" applyProtection="1">
      <alignment horizontal="left" wrapText="1"/>
    </xf>
    <xf numFmtId="0" fontId="20" fillId="2" borderId="11" xfId="0" applyFont="1" applyFill="1" applyBorder="1" applyAlignment="1" applyProtection="1">
      <alignment vertical="top" wrapText="1"/>
    </xf>
    <xf numFmtId="0" fontId="20" fillId="2" borderId="9" xfId="0" applyFont="1" applyFill="1" applyBorder="1" applyAlignment="1" applyProtection="1">
      <alignment vertical="top" wrapText="1"/>
    </xf>
    <xf numFmtId="0" fontId="20" fillId="4" borderId="29" xfId="0" applyFont="1" applyFill="1" applyBorder="1" applyAlignment="1" applyProtection="1">
      <alignment vertical="top" wrapText="1"/>
    </xf>
    <xf numFmtId="0" fontId="20" fillId="2" borderId="29" xfId="0" applyFont="1" applyFill="1" applyBorder="1" applyAlignment="1" applyProtection="1">
      <alignment vertical="top" wrapText="1"/>
    </xf>
    <xf numFmtId="0" fontId="20" fillId="2" borderId="45" xfId="0" applyFont="1" applyFill="1" applyBorder="1" applyAlignment="1" applyProtection="1">
      <alignment vertical="top" wrapText="1"/>
    </xf>
    <xf numFmtId="0" fontId="20" fillId="2" borderId="8" xfId="0" applyFont="1" applyFill="1" applyBorder="1" applyAlignment="1" applyProtection="1">
      <alignment vertical="top" wrapText="1"/>
    </xf>
    <xf numFmtId="0" fontId="20" fillId="0" borderId="0" xfId="0" applyFont="1" applyFill="1" applyBorder="1" applyAlignment="1" applyProtection="1">
      <alignment horizontal="center" vertical="center"/>
    </xf>
    <xf numFmtId="0" fontId="20" fillId="2" borderId="30" xfId="0" applyFont="1" applyFill="1" applyBorder="1" applyAlignment="1" applyProtection="1">
      <alignment vertical="top" wrapText="1"/>
    </xf>
    <xf numFmtId="0" fontId="20" fillId="0" borderId="36" xfId="0" applyFont="1" applyBorder="1" applyAlignment="1" applyProtection="1">
      <alignment horizontal="center" vertical="center" wrapText="1"/>
    </xf>
    <xf numFmtId="0" fontId="20" fillId="0" borderId="17" xfId="0" applyFont="1" applyBorder="1" applyAlignment="1" applyProtection="1">
      <alignment horizontal="center" vertical="center" wrapText="1"/>
    </xf>
    <xf numFmtId="0" fontId="20" fillId="0" borderId="17" xfId="0" applyFont="1" applyFill="1" applyBorder="1" applyAlignment="1" applyProtection="1">
      <alignment horizontal="center" vertical="center" wrapText="1"/>
    </xf>
    <xf numFmtId="0" fontId="20" fillId="0" borderId="31" xfId="0" applyFont="1" applyFill="1" applyBorder="1" applyAlignment="1" applyProtection="1">
      <alignment horizontal="center" vertical="center" wrapText="1"/>
    </xf>
    <xf numFmtId="0" fontId="20" fillId="0" borderId="46" xfId="0" applyFont="1" applyBorder="1" applyAlignment="1" applyProtection="1">
      <alignment horizontal="center" vertical="center" wrapText="1"/>
    </xf>
    <xf numFmtId="0" fontId="20" fillId="0" borderId="35" xfId="0" applyFont="1" applyBorder="1" applyAlignment="1" applyProtection="1">
      <alignment vertical="top" wrapText="1"/>
    </xf>
    <xf numFmtId="0" fontId="20" fillId="0" borderId="36" xfId="0" applyFont="1" applyFill="1" applyBorder="1" applyAlignment="1" applyProtection="1">
      <alignment horizontal="center" vertical="center" wrapText="1"/>
    </xf>
    <xf numFmtId="0" fontId="20" fillId="0" borderId="46" xfId="0" applyFont="1" applyFill="1" applyBorder="1" applyAlignment="1" applyProtection="1">
      <alignment horizontal="center" vertical="center" wrapText="1"/>
    </xf>
    <xf numFmtId="0" fontId="20" fillId="0" borderId="35" xfId="0" applyFont="1" applyFill="1" applyBorder="1" applyAlignment="1" applyProtection="1">
      <alignment vertical="top" wrapText="1"/>
    </xf>
    <xf numFmtId="0" fontId="20" fillId="2" borderId="15" xfId="0" applyFont="1" applyFill="1" applyBorder="1" applyAlignment="1" applyProtection="1">
      <alignment horizontal="left" vertical="top" wrapText="1"/>
    </xf>
    <xf numFmtId="0" fontId="20" fillId="0" borderId="4" xfId="0" applyFont="1" applyBorder="1" applyAlignment="1" applyProtection="1">
      <alignment horizontal="center" vertical="center" wrapText="1"/>
    </xf>
    <xf numFmtId="0" fontId="20" fillId="0" borderId="1" xfId="0" applyFont="1" applyBorder="1" applyAlignment="1" applyProtection="1">
      <alignment horizontal="center" vertical="center" wrapText="1"/>
    </xf>
    <xf numFmtId="0" fontId="20" fillId="0" borderId="1" xfId="0" applyFont="1" applyFill="1" applyBorder="1" applyAlignment="1" applyProtection="1">
      <alignment horizontal="center" vertical="center" wrapText="1"/>
    </xf>
    <xf numFmtId="0" fontId="20" fillId="0" borderId="18" xfId="0" applyFont="1" applyFill="1" applyBorder="1" applyAlignment="1" applyProtection="1">
      <alignment horizontal="center" vertical="center" wrapText="1"/>
    </xf>
    <xf numFmtId="0" fontId="20" fillId="0" borderId="47" xfId="0" applyFont="1" applyFill="1" applyBorder="1" applyAlignment="1" applyProtection="1">
      <alignment horizontal="center" vertical="center" wrapText="1"/>
    </xf>
    <xf numFmtId="0" fontId="20" fillId="0" borderId="7" xfId="0" applyFont="1" applyBorder="1" applyAlignment="1" applyProtection="1">
      <alignment vertical="top" wrapText="1"/>
    </xf>
    <xf numFmtId="0" fontId="20" fillId="5" borderId="0" xfId="0" applyFont="1" applyFill="1" applyBorder="1" applyAlignment="1" applyProtection="1">
      <alignment horizontal="center" vertical="center"/>
    </xf>
    <xf numFmtId="0" fontId="20" fillId="2" borderId="15" xfId="0" applyFont="1" applyFill="1" applyBorder="1" applyAlignment="1" applyProtection="1">
      <alignment vertical="top" wrapText="1"/>
    </xf>
    <xf numFmtId="0" fontId="20" fillId="0" borderId="7" xfId="0" applyFont="1" applyFill="1" applyBorder="1" applyAlignment="1" applyProtection="1">
      <alignment vertical="top" wrapText="1"/>
    </xf>
    <xf numFmtId="0" fontId="20" fillId="0" borderId="4" xfId="0" applyFont="1" applyFill="1" applyBorder="1" applyAlignment="1" applyProtection="1">
      <alignment horizontal="center" vertical="center" wrapText="1"/>
    </xf>
    <xf numFmtId="0" fontId="20" fillId="0" borderId="3" xfId="0" applyFont="1" applyFill="1" applyBorder="1" applyAlignment="1" applyProtection="1">
      <alignment horizontal="center" vertical="center" wrapText="1"/>
    </xf>
    <xf numFmtId="0" fontId="20" fillId="2" borderId="13" xfId="0" applyFont="1" applyFill="1" applyBorder="1" applyAlignment="1" applyProtection="1">
      <alignment horizontal="left" vertical="top" wrapText="1"/>
    </xf>
    <xf numFmtId="0" fontId="20" fillId="0" borderId="2" xfId="0" applyFont="1" applyBorder="1" applyAlignment="1" applyProtection="1">
      <alignment horizontal="center" vertical="center" wrapText="1"/>
    </xf>
    <xf numFmtId="0" fontId="20" fillId="0" borderId="3" xfId="0" applyFont="1" applyBorder="1" applyAlignment="1" applyProtection="1">
      <alignment horizontal="center" vertical="center" wrapText="1"/>
    </xf>
    <xf numFmtId="0" fontId="20" fillId="0" borderId="20" xfId="0" applyFont="1" applyFill="1" applyBorder="1" applyAlignment="1" applyProtection="1">
      <alignment horizontal="center" vertical="center" wrapText="1"/>
    </xf>
    <xf numFmtId="0" fontId="20" fillId="0" borderId="16" xfId="0" applyFont="1" applyFill="1" applyBorder="1" applyAlignment="1" applyProtection="1">
      <alignment vertical="top" wrapText="1"/>
    </xf>
    <xf numFmtId="0" fontId="20" fillId="4" borderId="15" xfId="0" applyFont="1" applyFill="1" applyBorder="1" applyAlignment="1" applyProtection="1">
      <alignment horizontal="left" vertical="top" wrapText="1"/>
    </xf>
    <xf numFmtId="0" fontId="20" fillId="4" borderId="48" xfId="0" applyFont="1" applyFill="1" applyBorder="1" applyAlignment="1" applyProtection="1">
      <alignment horizontal="left" vertical="top" wrapText="1"/>
    </xf>
    <xf numFmtId="0" fontId="20" fillId="0" borderId="49" xfId="0" applyFont="1" applyFill="1" applyBorder="1" applyAlignment="1" applyProtection="1">
      <alignment horizontal="center" vertical="center" wrapText="1"/>
    </xf>
    <xf numFmtId="0" fontId="20" fillId="0" borderId="50" xfId="0" applyFont="1" applyFill="1" applyBorder="1" applyAlignment="1" applyProtection="1">
      <alignment horizontal="center" vertical="center" wrapText="1"/>
    </xf>
    <xf numFmtId="0" fontId="20" fillId="0" borderId="51" xfId="0" applyFont="1" applyFill="1" applyBorder="1" applyAlignment="1" applyProtection="1">
      <alignment horizontal="center" vertical="center" wrapText="1"/>
    </xf>
    <xf numFmtId="0" fontId="20" fillId="0" borderId="52" xfId="0" applyFont="1" applyFill="1" applyBorder="1" applyAlignment="1" applyProtection="1">
      <alignment horizontal="center" vertical="center" wrapText="1"/>
    </xf>
    <xf numFmtId="0" fontId="20" fillId="0" borderId="53" xfId="0" applyFont="1" applyFill="1" applyBorder="1" applyAlignment="1" applyProtection="1">
      <alignment vertical="top" wrapText="1"/>
    </xf>
    <xf numFmtId="0" fontId="20" fillId="2" borderId="14" xfId="0" applyFont="1" applyFill="1" applyBorder="1" applyAlignment="1" applyProtection="1">
      <alignment vertical="top" wrapText="1"/>
    </xf>
    <xf numFmtId="0" fontId="20" fillId="0" borderId="11" xfId="0" applyFont="1" applyBorder="1" applyAlignment="1" applyProtection="1">
      <alignment vertical="top" wrapText="1"/>
    </xf>
    <xf numFmtId="0" fontId="20" fillId="0" borderId="9" xfId="0" applyFont="1" applyBorder="1" applyAlignment="1" applyProtection="1">
      <alignment vertical="top" wrapText="1"/>
    </xf>
    <xf numFmtId="0" fontId="20" fillId="0" borderId="10" xfId="0" applyFont="1" applyBorder="1" applyAlignment="1" applyProtection="1">
      <alignment vertical="top" wrapText="1"/>
    </xf>
    <xf numFmtId="0" fontId="20" fillId="0" borderId="45" xfId="0" applyFont="1" applyFill="1" applyBorder="1" applyAlignment="1" applyProtection="1">
      <alignment vertical="top" wrapText="1"/>
    </xf>
    <xf numFmtId="0" fontId="20" fillId="0" borderId="8" xfId="0" applyFont="1" applyFill="1" applyBorder="1" applyAlignment="1" applyProtection="1">
      <alignment vertical="top" wrapText="1"/>
    </xf>
    <xf numFmtId="0" fontId="48" fillId="0" borderId="14" xfId="0" applyFont="1" applyBorder="1" applyAlignment="1">
      <alignment horizontal="justify" vertical="center" wrapText="1"/>
    </xf>
    <xf numFmtId="0" fontId="48" fillId="0" borderId="8" xfId="0" applyFont="1" applyBorder="1" applyAlignment="1">
      <alignment horizontal="center" vertical="center" wrapText="1"/>
    </xf>
    <xf numFmtId="0" fontId="48" fillId="0" borderId="14" xfId="0" applyFont="1" applyBorder="1" applyAlignment="1">
      <alignment horizontal="center" vertical="center" wrapText="1"/>
    </xf>
    <xf numFmtId="0" fontId="50" fillId="4" borderId="28" xfId="0" applyFont="1" applyFill="1" applyBorder="1" applyAlignment="1" applyProtection="1">
      <alignment vertical="top" wrapText="1"/>
    </xf>
    <xf numFmtId="0" fontId="0" fillId="0" borderId="0" xfId="0" applyAlignment="1">
      <alignment horizontal="left" vertical="top"/>
    </xf>
    <xf numFmtId="0" fontId="21" fillId="6" borderId="34" xfId="0" applyFont="1" applyFill="1" applyBorder="1" applyAlignment="1">
      <alignment horizontal="left" vertical="top" wrapText="1"/>
    </xf>
    <xf numFmtId="0" fontId="20" fillId="0" borderId="14" xfId="0" applyFont="1" applyBorder="1" applyAlignment="1">
      <alignment horizontal="left" vertical="top" wrapText="1"/>
    </xf>
    <xf numFmtId="0" fontId="21" fillId="0" borderId="0" xfId="0" applyFont="1" applyAlignment="1">
      <alignment horizontal="left" vertical="top"/>
    </xf>
    <xf numFmtId="0" fontId="21" fillId="0" borderId="14" xfId="0" applyFont="1" applyBorder="1" applyAlignment="1">
      <alignment horizontal="left" vertical="top" wrapText="1"/>
    </xf>
    <xf numFmtId="0" fontId="39" fillId="0" borderId="0" xfId="0" applyFont="1" applyAlignment="1">
      <alignment horizontal="left" vertical="top"/>
    </xf>
    <xf numFmtId="0" fontId="53" fillId="0" borderId="37" xfId="0" applyFont="1" applyBorder="1" applyAlignment="1">
      <alignment horizontal="center" vertical="center" wrapText="1"/>
    </xf>
    <xf numFmtId="0" fontId="53" fillId="0" borderId="8" xfId="0" applyFont="1" applyBorder="1" applyAlignment="1">
      <alignment horizontal="center" vertical="center" wrapText="1"/>
    </xf>
    <xf numFmtId="0" fontId="49" fillId="0" borderId="34" xfId="0" applyFont="1" applyBorder="1" applyAlignment="1">
      <alignment horizontal="justify" vertical="top" wrapText="1"/>
    </xf>
    <xf numFmtId="0" fontId="36" fillId="0" borderId="34" xfId="0" applyFont="1" applyBorder="1" applyAlignment="1">
      <alignment horizontal="justify" vertical="top" wrapText="1"/>
    </xf>
    <xf numFmtId="0" fontId="0" fillId="0" borderId="34" xfId="0" applyFont="1" applyBorder="1" applyAlignment="1">
      <alignment horizontal="justify" vertical="center" wrapText="1"/>
    </xf>
    <xf numFmtId="0" fontId="45" fillId="0" borderId="34" xfId="0" applyFont="1" applyBorder="1"/>
    <xf numFmtId="0" fontId="39" fillId="0" borderId="14" xfId="0" applyFont="1" applyBorder="1" applyAlignment="1">
      <alignment horizontal="justify" vertical="center" wrapText="1"/>
    </xf>
    <xf numFmtId="0" fontId="49" fillId="2" borderId="44" xfId="0" applyFont="1" applyFill="1" applyBorder="1" applyAlignment="1" applyProtection="1">
      <alignment vertical="top" wrapText="1"/>
    </xf>
    <xf numFmtId="0" fontId="54" fillId="6" borderId="37" xfId="0" applyFont="1" applyFill="1" applyBorder="1" applyAlignment="1">
      <alignment horizontal="center" vertical="center" wrapText="1"/>
    </xf>
    <xf numFmtId="0" fontId="20" fillId="0" borderId="0" xfId="0" applyFont="1" applyFill="1" applyBorder="1" applyAlignment="1">
      <alignment vertical="top"/>
    </xf>
    <xf numFmtId="0" fontId="55" fillId="0" borderId="34" xfId="0" applyFont="1" applyBorder="1" applyAlignment="1">
      <alignment horizontal="justify" vertical="top" wrapText="1"/>
    </xf>
    <xf numFmtId="0" fontId="49" fillId="0" borderId="14" xfId="0" applyFont="1" applyBorder="1" applyAlignment="1">
      <alignment horizontal="justify" vertical="center" wrapText="1"/>
    </xf>
    <xf numFmtId="0" fontId="21" fillId="2" borderId="15" xfId="0" applyFont="1" applyFill="1" applyBorder="1" applyAlignment="1" applyProtection="1">
      <alignment horizontal="left" vertical="top" wrapText="1"/>
    </xf>
    <xf numFmtId="0" fontId="56" fillId="6" borderId="37" xfId="0" applyFont="1" applyFill="1" applyBorder="1" applyAlignment="1">
      <alignment horizontal="center" vertical="center" wrapText="1"/>
    </xf>
    <xf numFmtId="0" fontId="20" fillId="6" borderId="32" xfId="0" applyFont="1" applyFill="1" applyBorder="1" applyAlignment="1">
      <alignment horizontal="center" vertical="top" wrapText="1"/>
    </xf>
    <xf numFmtId="0" fontId="20" fillId="6" borderId="37" xfId="0" applyFont="1" applyFill="1" applyBorder="1" applyAlignment="1">
      <alignment horizontal="center" vertical="top" wrapText="1"/>
    </xf>
    <xf numFmtId="0" fontId="21" fillId="6" borderId="32" xfId="0" applyFont="1" applyFill="1" applyBorder="1" applyAlignment="1">
      <alignment horizontal="center" vertical="top" wrapText="1"/>
    </xf>
    <xf numFmtId="0" fontId="20" fillId="6" borderId="33" xfId="0" applyFont="1" applyFill="1" applyBorder="1" applyAlignment="1">
      <alignment horizontal="center" vertical="top" wrapText="1"/>
    </xf>
    <xf numFmtId="0" fontId="0" fillId="0" borderId="33" xfId="0" applyBorder="1" applyAlignment="1">
      <alignment vertical="top"/>
    </xf>
    <xf numFmtId="0" fontId="0" fillId="0" borderId="37" xfId="0" applyBorder="1" applyAlignment="1">
      <alignment vertical="top"/>
    </xf>
    <xf numFmtId="0" fontId="20" fillId="6" borderId="12" xfId="0" applyFont="1" applyFill="1" applyBorder="1" applyAlignment="1">
      <alignment horizontal="justify" vertical="center" wrapText="1"/>
    </xf>
    <xf numFmtId="0" fontId="20" fillId="6" borderId="14" xfId="0" applyFont="1" applyFill="1" applyBorder="1" applyAlignment="1">
      <alignment horizontal="justify" vertical="center" wrapText="1"/>
    </xf>
    <xf numFmtId="0" fontId="20" fillId="6" borderId="12" xfId="0" applyFont="1" applyFill="1" applyBorder="1" applyAlignment="1">
      <alignment horizontal="center" vertical="center" wrapText="1"/>
    </xf>
    <xf numFmtId="0" fontId="20" fillId="6" borderId="14" xfId="0" applyFont="1" applyFill="1" applyBorder="1" applyAlignment="1">
      <alignment horizontal="center" vertical="center" wrapText="1"/>
    </xf>
    <xf numFmtId="0" fontId="26" fillId="0" borderId="12" xfId="0" applyFont="1" applyBorder="1" applyAlignment="1">
      <alignment horizontal="justify" vertical="center" wrapText="1"/>
    </xf>
    <xf numFmtId="0" fontId="26" fillId="0" borderId="54" xfId="0" applyFont="1" applyBorder="1" applyAlignment="1">
      <alignment horizontal="justify" vertical="center" wrapText="1"/>
    </xf>
    <xf numFmtId="0" fontId="26" fillId="0" borderId="12" xfId="0" applyFont="1" applyBorder="1" applyAlignment="1">
      <alignment horizontal="center" vertical="center" wrapText="1"/>
    </xf>
    <xf numFmtId="0" fontId="26" fillId="0" borderId="54" xfId="0" applyFont="1" applyBorder="1" applyAlignment="1">
      <alignment horizontal="center" vertical="center" wrapText="1"/>
    </xf>
    <xf numFmtId="0" fontId="20" fillId="6" borderId="34" xfId="0" applyFont="1" applyFill="1" applyBorder="1" applyAlignment="1">
      <alignment horizontal="center" vertical="center" wrapText="1"/>
    </xf>
    <xf numFmtId="0" fontId="0" fillId="0" borderId="34" xfId="0" applyBorder="1" applyAlignment="1"/>
    <xf numFmtId="0" fontId="20" fillId="6" borderId="54" xfId="0" applyFont="1" applyFill="1" applyBorder="1" applyAlignment="1">
      <alignment horizontal="center" vertical="center" wrapText="1"/>
    </xf>
    <xf numFmtId="0" fontId="0" fillId="0" borderId="14" xfId="0" applyBorder="1" applyAlignment="1">
      <alignment horizontal="center" vertical="center" wrapText="1"/>
    </xf>
    <xf numFmtId="0" fontId="49" fillId="6" borderId="34" xfId="0" applyFont="1" applyFill="1" applyBorder="1" applyAlignment="1">
      <alignment horizontal="center" vertical="center" wrapText="1"/>
    </xf>
    <xf numFmtId="0" fontId="20" fillId="6" borderId="32" xfId="0" applyFont="1" applyFill="1" applyBorder="1" applyAlignment="1">
      <alignment horizontal="center" vertical="center" wrapText="1"/>
    </xf>
    <xf numFmtId="0" fontId="0" fillId="0" borderId="33" xfId="0" applyBorder="1" applyAlignment="1"/>
    <xf numFmtId="0" fontId="0" fillId="0" borderId="37" xfId="0" applyBorder="1" applyAlignment="1"/>
    <xf numFmtId="0" fontId="20" fillId="2" borderId="28" xfId="0" applyFont="1" applyFill="1" applyBorder="1" applyAlignment="1" applyProtection="1">
      <alignment vertical="top" wrapText="1"/>
    </xf>
    <xf numFmtId="0" fontId="20" fillId="2" borderId="19" xfId="0" applyFont="1" applyFill="1" applyBorder="1" applyAlignment="1" applyProtection="1">
      <alignment vertical="top" wrapText="1"/>
    </xf>
    <xf numFmtId="0" fontId="20" fillId="4" borderId="28" xfId="0" applyFont="1" applyFill="1" applyBorder="1" applyAlignment="1" applyProtection="1">
      <alignment vertical="top" wrapText="1"/>
    </xf>
    <xf numFmtId="0" fontId="20" fillId="4" borderId="19" xfId="0" applyFont="1" applyFill="1" applyBorder="1" applyAlignment="1" applyProtection="1">
      <alignment vertical="top" wrapText="1"/>
    </xf>
    <xf numFmtId="0" fontId="49" fillId="6" borderId="12" xfId="0" applyFont="1" applyFill="1" applyBorder="1" applyAlignment="1">
      <alignment horizontal="center" vertical="center" wrapText="1"/>
    </xf>
    <xf numFmtId="0" fontId="26" fillId="0" borderId="14" xfId="0" applyFont="1" applyBorder="1" applyAlignment="1">
      <alignment horizontal="center" vertical="center" wrapText="1"/>
    </xf>
    <xf numFmtId="0" fontId="51" fillId="6" borderId="12" xfId="0" applyFont="1" applyFill="1" applyBorder="1" applyAlignment="1">
      <alignment horizontal="center" vertical="center" wrapText="1"/>
    </xf>
    <xf numFmtId="0" fontId="52" fillId="0" borderId="14" xfId="0" applyFont="1" applyBorder="1" applyAlignment="1">
      <alignment horizontal="center" vertical="center" wrapText="1"/>
    </xf>
    <xf numFmtId="0" fontId="20" fillId="6" borderId="32" xfId="0" applyFont="1" applyFill="1" applyBorder="1" applyAlignment="1">
      <alignment horizontal="left" vertical="top" wrapText="1"/>
    </xf>
    <xf numFmtId="0" fontId="20" fillId="0" borderId="32" xfId="0" applyFont="1" applyBorder="1" applyAlignment="1">
      <alignment vertical="top" wrapText="1"/>
    </xf>
    <xf numFmtId="0" fontId="21" fillId="0" borderId="32" xfId="0" applyFont="1" applyBorder="1" applyAlignment="1">
      <alignment vertical="top" wrapText="1"/>
    </xf>
    <xf numFmtId="0" fontId="21" fillId="6" borderId="32" xfId="0" applyFont="1" applyFill="1" applyBorder="1" applyAlignment="1">
      <alignment vertical="top" wrapText="1"/>
    </xf>
    <xf numFmtId="0" fontId="20" fillId="6" borderId="32" xfId="0" applyFont="1" applyFill="1" applyBorder="1" applyAlignment="1">
      <alignment vertical="top" wrapText="1"/>
    </xf>
    <xf numFmtId="0" fontId="21" fillId="5" borderId="12" xfId="0" applyFont="1" applyFill="1" applyBorder="1" applyAlignment="1">
      <alignment horizontal="justify" vertical="center" wrapText="1"/>
    </xf>
    <xf numFmtId="0" fontId="21" fillId="5" borderId="14" xfId="0" applyFont="1" applyFill="1" applyBorder="1" applyAlignment="1">
      <alignment horizontal="justify" vertical="center" wrapText="1"/>
    </xf>
    <xf numFmtId="0" fontId="21" fillId="5" borderId="12" xfId="0" applyFont="1" applyFill="1" applyBorder="1" applyAlignment="1">
      <alignment horizontal="center" vertical="center" wrapText="1"/>
    </xf>
    <xf numFmtId="0" fontId="21" fillId="5" borderId="14" xfId="0" applyFont="1" applyFill="1" applyBorder="1" applyAlignment="1">
      <alignment horizontal="center" vertical="center" wrapText="1"/>
    </xf>
    <xf numFmtId="0" fontId="21" fillId="5" borderId="32" xfId="0" applyFont="1" applyFill="1" applyBorder="1" applyAlignment="1">
      <alignment horizontal="center" vertical="center" wrapText="1"/>
    </xf>
    <xf numFmtId="0" fontId="21" fillId="5" borderId="37" xfId="0" applyFont="1" applyFill="1" applyBorder="1" applyAlignment="1">
      <alignment horizontal="center" vertical="center" wrapText="1"/>
    </xf>
    <xf numFmtId="0" fontId="21" fillId="5" borderId="54" xfId="0" applyFont="1" applyFill="1" applyBorder="1" applyAlignment="1">
      <alignment horizontal="justify" vertical="center" wrapText="1"/>
    </xf>
    <xf numFmtId="0" fontId="21" fillId="5" borderId="54" xfId="0" applyFont="1" applyFill="1" applyBorder="1" applyAlignment="1">
      <alignment horizontal="center" vertical="center" wrapText="1"/>
    </xf>
    <xf numFmtId="0" fontId="21" fillId="5" borderId="33" xfId="0" applyFont="1" applyFill="1" applyBorder="1" applyAlignment="1">
      <alignment horizontal="center" vertical="center" wrapText="1"/>
    </xf>
    <xf numFmtId="0" fontId="20" fillId="5" borderId="32" xfId="0" applyFont="1" applyFill="1" applyBorder="1" applyAlignment="1">
      <alignment horizontal="center" vertical="center" wrapText="1"/>
    </xf>
    <xf numFmtId="0" fontId="20" fillId="5" borderId="33" xfId="0" applyFont="1" applyFill="1" applyBorder="1" applyAlignment="1">
      <alignment horizontal="center" vertical="center" wrapText="1"/>
    </xf>
    <xf numFmtId="0" fontId="20" fillId="5" borderId="37" xfId="0" applyFont="1" applyFill="1" applyBorder="1" applyAlignment="1">
      <alignment horizontal="center" vertical="center" wrapText="1"/>
    </xf>
  </cellXfs>
  <cellStyles count="10">
    <cellStyle name="ハイパーリンク" xfId="1" builtinId="8"/>
    <cellStyle name="標準" xfId="0" builtinId="0"/>
    <cellStyle name="標準 2" xfId="2" xr:uid="{00000000-0005-0000-0000-000002000000}"/>
    <cellStyle name="標準 3" xfId="4" xr:uid="{00000000-0005-0000-0000-000003000000}"/>
    <cellStyle name="標準 3 2" xfId="5" xr:uid="{00000000-0005-0000-0000-000004000000}"/>
    <cellStyle name="標準 3 3" xfId="6" xr:uid="{00000000-0005-0000-0000-000005000000}"/>
    <cellStyle name="標準 3 3 2" xfId="9" xr:uid="{00000000-0005-0000-0000-000006000000}"/>
    <cellStyle name="標準 3 4" xfId="7" xr:uid="{00000000-0005-0000-0000-000007000000}"/>
    <cellStyle name="標準 3 5" xfId="8" xr:uid="{00000000-0005-0000-0000-000008000000}"/>
    <cellStyle name="標準_DDF-IOT-Varenne-Apx-サンプル" xfId="3" xr:uid="{00000000-0005-0000-0000-000009000000}"/>
  </cellStyles>
  <dxfs count="9">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34998626667073579"/>
      </font>
    </dxf>
    <dxf>
      <font>
        <color theme="0" tint="-0.34998626667073579"/>
      </font>
    </dxf>
    <dxf>
      <font>
        <color theme="0" tint="-0.24994659260841701"/>
      </font>
    </dxf>
    <dxf>
      <font>
        <color theme="0" tint="-0.34998626667073579"/>
      </font>
    </dxf>
  </dxfs>
  <tableStyles count="0" defaultTableStyle="TableStyleMedium9" defaultPivotStyle="PivotStyleLight16"/>
  <colors>
    <mruColors>
      <color rgb="FF99CCFF"/>
      <color rgb="FFD9D9D9"/>
      <color rgb="FF3333FF"/>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16</xdr:col>
      <xdr:colOff>0</xdr:colOff>
      <xdr:row>16</xdr:row>
      <xdr:rowOff>0</xdr:rowOff>
    </xdr:from>
    <xdr:ext cx="71238" cy="294953"/>
    <xdr:sp macro="" textlink="">
      <xdr:nvSpPr>
        <xdr:cNvPr id="1037" name="Rectangle 13">
          <a:extLst>
            <a:ext uri="{FF2B5EF4-FFF2-40B4-BE49-F238E27FC236}">
              <a16:creationId xmlns:a16="http://schemas.microsoft.com/office/drawing/2014/main" id="{00000000-0008-0000-0000-00000D040000}"/>
            </a:ext>
          </a:extLst>
        </xdr:cNvPr>
        <xdr:cNvSpPr>
          <a:spLocks noChangeArrowheads="1"/>
        </xdr:cNvSpPr>
      </xdr:nvSpPr>
      <xdr:spPr bwMode="auto">
        <a:xfrm>
          <a:off x="14592300" y="2990850"/>
          <a:ext cx="71238" cy="294953"/>
        </a:xfrm>
        <a:prstGeom prst="rect">
          <a:avLst/>
        </a:prstGeom>
        <a:noFill/>
        <a:ln w="9525">
          <a:noFill/>
          <a:miter lim="800000"/>
          <a:headEnd/>
          <a:tailEnd/>
        </a:ln>
      </xdr:spPr>
      <xdr:txBody>
        <a:bodyPr wrap="none" lIns="0" tIns="0" rIns="0" bIns="0" anchor="t" upright="1">
          <a:spAutoFit/>
        </a:bodyPr>
        <a:lstStyle/>
        <a:p>
          <a:pPr algn="l" rtl="0">
            <a:defRPr sz="1000"/>
          </a:pPr>
          <a:r>
            <a:rPr lang="ja-JP" altLang="en-US" sz="2000" b="0" i="1" u="none" strike="noStrike" baseline="0">
              <a:solidFill>
                <a:srgbClr val="000000"/>
              </a:solidFill>
              <a:latin typeface="Arial"/>
              <a:cs typeface="Arial"/>
            </a:rPr>
            <a:t> </a:t>
          </a:r>
        </a:p>
      </xdr:txBody>
    </xdr:sp>
    <xdr:clientData/>
  </xdr:oneCellAnchor>
  <xdr:twoCellAnchor>
    <xdr:from>
      <xdr:col>0</xdr:col>
      <xdr:colOff>76200</xdr:colOff>
      <xdr:row>7</xdr:row>
      <xdr:rowOff>121920</xdr:rowOff>
    </xdr:from>
    <xdr:to>
      <xdr:col>2</xdr:col>
      <xdr:colOff>321930</xdr:colOff>
      <xdr:row>16</xdr:row>
      <xdr:rowOff>104806</xdr:rowOff>
    </xdr:to>
    <xdr:sp macro="" textlink="">
      <xdr:nvSpPr>
        <xdr:cNvPr id="1049" name="Rectangle 25">
          <a:extLst>
            <a:ext uri="{FF2B5EF4-FFF2-40B4-BE49-F238E27FC236}">
              <a16:creationId xmlns:a16="http://schemas.microsoft.com/office/drawing/2014/main" id="{00000000-0008-0000-0000-000019040000}"/>
            </a:ext>
          </a:extLst>
        </xdr:cNvPr>
        <xdr:cNvSpPr>
          <a:spLocks noChangeArrowheads="1"/>
        </xdr:cNvSpPr>
      </xdr:nvSpPr>
      <xdr:spPr bwMode="auto">
        <a:xfrm>
          <a:off x="76200" y="1571625"/>
          <a:ext cx="6477000" cy="1524000"/>
        </a:xfrm>
        <a:prstGeom prst="rect">
          <a:avLst/>
        </a:prstGeom>
        <a:solidFill>
          <a:srgbClr val="00FFFF"/>
        </a:solidFill>
        <a:ln w="25400">
          <a:solidFill>
            <a:srgbClr val="000000"/>
          </a:solidFill>
          <a:miter lim="800000"/>
          <a:headEnd/>
          <a:tailEnd/>
        </a:ln>
        <a:effectLst>
          <a:outerShdw dist="53882" dir="2700000" algn="ctr" rotWithShape="0">
            <a:srgbClr val="808080"/>
          </a:outerShdw>
        </a:effectLst>
      </xdr:spPr>
      <xdr:txBody>
        <a:bodyPr vertOverflow="clip" wrap="square" lIns="360000" tIns="46800" rIns="360000" bIns="46800" anchor="ctr" upright="1"/>
        <a:lstStyle/>
        <a:p>
          <a:pPr algn="ctr" rtl="0">
            <a:defRPr sz="1000"/>
          </a:pPr>
          <a:r>
            <a:rPr lang="en-US" altLang="ja-JP" sz="2800" b="1" i="1" u="none" strike="noStrike" baseline="0">
              <a:solidFill>
                <a:srgbClr val="000000"/>
              </a:solidFill>
              <a:latin typeface="Arial"/>
              <a:cs typeface="Arial"/>
            </a:rPr>
            <a:t>I.I : IOT Device Functions</a:t>
          </a:r>
          <a:r>
            <a:rPr lang="ja-JP" altLang="en-US" sz="2800" b="1" i="1" u="none" strike="noStrike" baseline="0">
              <a:solidFill>
                <a:srgbClr val="000000"/>
              </a:solidFill>
              <a:latin typeface="ＭＳ Ｐゴシック"/>
              <a:ea typeface="ＭＳ Ｐゴシック"/>
            </a:rPr>
            <a:t>付録</a:t>
          </a:r>
        </a:p>
      </xdr:txBody>
    </xdr:sp>
    <xdr:clientData/>
  </xdr:twoCellAnchor>
  <xdr:oneCellAnchor>
    <xdr:from>
      <xdr:col>16</xdr:col>
      <xdr:colOff>0</xdr:colOff>
      <xdr:row>16</xdr:row>
      <xdr:rowOff>0</xdr:rowOff>
    </xdr:from>
    <xdr:ext cx="71238" cy="294953"/>
    <xdr:sp macro="" textlink="">
      <xdr:nvSpPr>
        <xdr:cNvPr id="1050" name="Rectangle 26">
          <a:extLst>
            <a:ext uri="{FF2B5EF4-FFF2-40B4-BE49-F238E27FC236}">
              <a16:creationId xmlns:a16="http://schemas.microsoft.com/office/drawing/2014/main" id="{00000000-0008-0000-0000-00001A040000}"/>
            </a:ext>
          </a:extLst>
        </xdr:cNvPr>
        <xdr:cNvSpPr>
          <a:spLocks noChangeArrowheads="1"/>
        </xdr:cNvSpPr>
      </xdr:nvSpPr>
      <xdr:spPr bwMode="auto">
        <a:xfrm>
          <a:off x="14592300" y="2990850"/>
          <a:ext cx="71238" cy="294953"/>
        </a:xfrm>
        <a:prstGeom prst="rect">
          <a:avLst/>
        </a:prstGeom>
        <a:noFill/>
        <a:ln w="9525">
          <a:noFill/>
          <a:miter lim="800000"/>
          <a:headEnd/>
          <a:tailEnd/>
        </a:ln>
      </xdr:spPr>
      <xdr:txBody>
        <a:bodyPr wrap="none" lIns="0" tIns="0" rIns="0" bIns="0" anchor="t" upright="1">
          <a:spAutoFit/>
        </a:bodyPr>
        <a:lstStyle/>
        <a:p>
          <a:pPr algn="l" rtl="0">
            <a:defRPr sz="1000"/>
          </a:pPr>
          <a:r>
            <a:rPr lang="ja-JP" altLang="en-US" sz="2000" b="0" i="1" u="none" strike="noStrike" baseline="0">
              <a:solidFill>
                <a:srgbClr val="000000"/>
              </a:solidFill>
              <a:latin typeface="Arial"/>
              <a:cs typeface="Arial"/>
            </a:rPr>
            <a:t> </a:t>
          </a:r>
        </a:p>
      </xdr:txBody>
    </xdr:sp>
    <xdr:clientData/>
  </xdr:oneCellAnchor>
  <xdr:twoCellAnchor editAs="oneCell">
    <xdr:from>
      <xdr:col>0</xdr:col>
      <xdr:colOff>339090</xdr:colOff>
      <xdr:row>63</xdr:row>
      <xdr:rowOff>95250</xdr:rowOff>
    </xdr:from>
    <xdr:to>
      <xdr:col>2</xdr:col>
      <xdr:colOff>293375</xdr:colOff>
      <xdr:row>75</xdr:row>
      <xdr:rowOff>47625</xdr:rowOff>
    </xdr:to>
    <xdr:sp macro="" textlink="">
      <xdr:nvSpPr>
        <xdr:cNvPr id="1051" name="Text Box 27">
          <a:extLst>
            <a:ext uri="{FF2B5EF4-FFF2-40B4-BE49-F238E27FC236}">
              <a16:creationId xmlns:a16="http://schemas.microsoft.com/office/drawing/2014/main" id="{00000000-0008-0000-0000-00001B040000}"/>
            </a:ext>
          </a:extLst>
        </xdr:cNvPr>
        <xdr:cNvSpPr txBox="1">
          <a:spLocks noChangeArrowheads="1"/>
        </xdr:cNvSpPr>
      </xdr:nvSpPr>
      <xdr:spPr bwMode="auto">
        <a:xfrm>
          <a:off x="342900" y="11296650"/>
          <a:ext cx="6181725" cy="2009775"/>
        </a:xfrm>
        <a:prstGeom prst="rect">
          <a:avLst/>
        </a:prstGeom>
        <a:noFill/>
        <a:ln w="9525">
          <a:no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マクロに関する注意</a:t>
          </a:r>
          <a:endParaRPr lang="ja-JP" altLang="en-US" sz="1000" b="0" i="0" u="none" strike="noStrike" baseline="0">
            <a:solidFill>
              <a:srgbClr val="000000"/>
            </a:solidFill>
            <a:latin typeface="ＭＳ Ｐゴシック"/>
            <a:ea typeface="ＭＳ Ｐゴシック"/>
          </a:endParaRPr>
        </a:p>
        <a:p>
          <a:pPr algn="l" rtl="0">
            <a:lnSpc>
              <a:spcPts val="1200"/>
            </a:lnSpc>
            <a:defRPr sz="1000"/>
          </a:pPr>
          <a:r>
            <a:rPr lang="ja-JP" altLang="en-US" sz="1000" b="0" i="0" u="none" strike="noStrike" baseline="0">
              <a:solidFill>
                <a:srgbClr val="000000"/>
              </a:solidFill>
              <a:latin typeface="ＭＳ Ｐゴシック"/>
              <a:ea typeface="ＭＳ Ｐゴシック"/>
            </a:rPr>
            <a:t>・各シートにはマクロが動作するときに必要な「名前」が定義してある．名前が定義されたセルを削除、コピーなどする際は注意が必要。</a:t>
          </a:r>
        </a:p>
        <a:p>
          <a:pPr algn="l" rtl="0">
            <a:lnSpc>
              <a:spcPts val="1200"/>
            </a:lnSpc>
            <a:defRPr sz="1000"/>
          </a:pPr>
          <a:r>
            <a:rPr lang="ja-JP" altLang="en-US" sz="1000" b="0" i="0" u="none" strike="noStrike" baseline="0">
              <a:solidFill>
                <a:srgbClr val="000000"/>
              </a:solidFill>
              <a:latin typeface="ＭＳ Ｐゴシック"/>
              <a:ea typeface="ＭＳ Ｐゴシック"/>
            </a:rPr>
            <a:t>・マクロを実行するために下記ボタンが用意されているが、持っている機能は下記のとおり。</a:t>
          </a:r>
        </a:p>
        <a:p>
          <a:pPr algn="l" rtl="0">
            <a:lnSpc>
              <a:spcPts val="1200"/>
            </a:lnSpc>
            <a:defRPr sz="1000"/>
          </a:pPr>
          <a:r>
            <a:rPr lang="en-US" altLang="ja-JP"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ＭＳ Ｐゴシック"/>
              <a:ea typeface="ＭＳ Ｐゴシック"/>
            </a:rPr>
            <a:t>コード生成</a:t>
          </a:r>
          <a:r>
            <a:rPr lang="en-US" altLang="ja-JP" sz="1000" b="0" i="0" u="none" strike="noStrike" baseline="0">
              <a:solidFill>
                <a:srgbClr val="000000"/>
              </a:solidFill>
              <a:latin typeface="ＭＳ Ｐゴシック"/>
              <a:ea typeface="ＭＳ Ｐゴシック"/>
            </a:rPr>
            <a:t>]</a:t>
          </a:r>
        </a:p>
        <a:p>
          <a:pPr algn="l" rtl="0">
            <a:lnSpc>
              <a:spcPts val="1200"/>
            </a:lnSpc>
            <a:defRPr sz="1000"/>
          </a:pPr>
          <a:r>
            <a:rPr lang="ja-JP" altLang="en-US" sz="1000" b="0" i="0" u="none" strike="noStrike" baseline="0">
              <a:solidFill>
                <a:srgbClr val="000000"/>
              </a:solidFill>
              <a:latin typeface="ＭＳ Ｐゴシック"/>
              <a:ea typeface="ＭＳ Ｐゴシック"/>
            </a:rPr>
            <a:t>各表から</a:t>
          </a:r>
          <a:r>
            <a:rPr lang="en-US" altLang="ja-JP" sz="1000" b="0" i="0" u="none" strike="noStrike" baseline="0">
              <a:solidFill>
                <a:srgbClr val="000000"/>
              </a:solidFill>
              <a:latin typeface="ＭＳ Ｐゴシック"/>
              <a:ea typeface="ＭＳ Ｐゴシック"/>
            </a:rPr>
            <a:t>SpecLib</a:t>
          </a:r>
          <a:r>
            <a:rPr lang="ja-JP" altLang="en-US" sz="1000" b="0" i="0" u="none" strike="noStrike" baseline="0">
              <a:solidFill>
                <a:srgbClr val="000000"/>
              </a:solidFill>
              <a:latin typeface="ＭＳ Ｐゴシック"/>
              <a:ea typeface="ＭＳ Ｐゴシック"/>
            </a:rPr>
            <a:t>実装に必要なテーブルを抽出、ファイルへ書き出す。ファイル名は任意のものが指定できる。</a:t>
          </a:r>
        </a:p>
        <a:p>
          <a:pPr algn="l" rtl="0">
            <a:lnSpc>
              <a:spcPts val="1200"/>
            </a:lnSpc>
            <a:defRPr sz="1000"/>
          </a:pPr>
          <a:r>
            <a:rPr lang="ja-JP" altLang="en-US" sz="1000" b="0" i="0" u="none" strike="noStrike" baseline="0">
              <a:solidFill>
                <a:srgbClr val="000000"/>
              </a:solidFill>
              <a:latin typeface="ＭＳ Ｐゴシック"/>
              <a:ea typeface="ＭＳ Ｐゴシック"/>
            </a:rPr>
            <a:t>各表に隣接するセル範囲に値が入力されていると本マクロは動作しない。念のため、該当するセルには保護をかけているが保護を解除してセルに入力した場合、動作は保証されない。</a:t>
          </a:r>
        </a:p>
        <a:p>
          <a:pPr algn="l" rtl="0">
            <a:lnSpc>
              <a:spcPts val="1200"/>
            </a:lnSpc>
            <a:defRPr sz="1000"/>
          </a:pPr>
          <a:r>
            <a:rPr lang="en-US" altLang="ja-JP"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ＭＳ Ｐゴシック"/>
              <a:ea typeface="ＭＳ Ｐゴシック"/>
            </a:rPr>
            <a:t>辺長チェック</a:t>
          </a:r>
          <a:r>
            <a:rPr lang="en-US" altLang="ja-JP" sz="1000" b="0" i="0" u="none" strike="noStrike" baseline="0">
              <a:solidFill>
                <a:srgbClr val="000000"/>
              </a:solidFill>
              <a:latin typeface="ＭＳ Ｐゴシック"/>
              <a:ea typeface="ＭＳ Ｐゴシック"/>
            </a:rPr>
            <a:t>]</a:t>
          </a:r>
        </a:p>
        <a:p>
          <a:pPr algn="l" rtl="0">
            <a:lnSpc>
              <a:spcPts val="1200"/>
            </a:lnSpc>
            <a:defRPr sz="1000"/>
          </a:pPr>
          <a:r>
            <a:rPr lang="ja-JP" altLang="en-US" sz="1000" b="0" i="0" u="none" strike="noStrike" baseline="0">
              <a:solidFill>
                <a:srgbClr val="000000"/>
              </a:solidFill>
              <a:latin typeface="ＭＳ Ｐゴシック"/>
              <a:ea typeface="ＭＳ Ｐゴシック"/>
            </a:rPr>
            <a:t>使用可能な定型サイズの辺長が非定形サイズ範囲に収まっているかどうかをチェックする。</a:t>
          </a:r>
        </a:p>
        <a:p>
          <a:pPr algn="l" rtl="0">
            <a:lnSpc>
              <a:spcPts val="1200"/>
            </a:lnSpc>
            <a:defRPr sz="1000"/>
          </a:pPr>
          <a:r>
            <a:rPr lang="en-US" altLang="ja-JP"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ＭＳ Ｐゴシック"/>
              <a:ea typeface="ＭＳ Ｐゴシック"/>
            </a:rPr>
            <a:t>仕様書印刷</a:t>
          </a:r>
          <a:r>
            <a:rPr lang="en-US" altLang="ja-JP" sz="1000" b="0" i="0" u="none" strike="noStrike" baseline="0">
              <a:solidFill>
                <a:srgbClr val="000000"/>
              </a:solidFill>
              <a:latin typeface="ＭＳ Ｐゴシック"/>
              <a:ea typeface="ＭＳ Ｐゴシック"/>
            </a:rPr>
            <a:t>]</a:t>
          </a:r>
        </a:p>
        <a:p>
          <a:pPr algn="l" rtl="0">
            <a:lnSpc>
              <a:spcPts val="1100"/>
            </a:lnSpc>
            <a:defRPr sz="1000"/>
          </a:pPr>
          <a:r>
            <a:rPr lang="ja-JP" altLang="en-US" sz="1000" b="0" i="0" u="none" strike="noStrike" baseline="0">
              <a:solidFill>
                <a:srgbClr val="000000"/>
              </a:solidFill>
              <a:latin typeface="ＭＳ Ｐゴシック"/>
              <a:ea typeface="ＭＳ Ｐゴシック"/>
            </a:rPr>
            <a:t>仕様書として配布するのに必要なシートを選択し、印刷ダイアログを呼び出す。</a:t>
          </a:r>
        </a:p>
      </xdr:txBody>
    </xdr:sp>
    <xdr:clientData fPrintsWithSheet="0"/>
  </xdr:twoCellAnchor>
  <mc:AlternateContent xmlns:mc="http://schemas.openxmlformats.org/markup-compatibility/2006">
    <mc:Choice xmlns:a14="http://schemas.microsoft.com/office/drawing/2010/main" Requires="a14">
      <xdr:twoCellAnchor editAs="oneCell">
        <xdr:from>
          <xdr:col>83</xdr:col>
          <xdr:colOff>180975</xdr:colOff>
          <xdr:row>78</xdr:row>
          <xdr:rowOff>85725</xdr:rowOff>
        </xdr:from>
        <xdr:to>
          <xdr:col>85</xdr:col>
          <xdr:colOff>285750</xdr:colOff>
          <xdr:row>79</xdr:row>
          <xdr:rowOff>152400</xdr:rowOff>
        </xdr:to>
        <xdr:sp macro="" textlink="">
          <xdr:nvSpPr>
            <xdr:cNvPr id="1025" name="生成"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3:B59"/>
  <sheetViews>
    <sheetView tabSelected="1" topLeftCell="A2" zoomScale="130" zoomScaleNormal="130" workbookViewId="0">
      <selection activeCell="E9" sqref="E9"/>
    </sheetView>
  </sheetViews>
  <sheetFormatPr defaultRowHeight="13.5" x14ac:dyDescent="0.25"/>
  <cols>
    <col min="1" max="1" width="5.85546875" style="6" customWidth="1"/>
    <col min="2" max="2" width="87.5703125" style="6" customWidth="1"/>
    <col min="3" max="3" width="5.85546875" style="6" customWidth="1"/>
    <col min="4" max="9" width="9.140625" style="6"/>
    <col min="10" max="10" width="9.85546875" style="6" customWidth="1"/>
    <col min="11" max="16384" width="9.140625" style="6"/>
  </cols>
  <sheetData>
    <row r="3" spans="1:2" ht="23.25" x14ac:dyDescent="0.35">
      <c r="A3" s="5"/>
      <c r="B3" s="20" t="s">
        <v>1290</v>
      </c>
    </row>
    <row r="4" spans="1:2" ht="23.25" x14ac:dyDescent="0.35">
      <c r="A4" s="7"/>
      <c r="B4" s="8" t="s">
        <v>37</v>
      </c>
    </row>
    <row r="20" spans="2:2" x14ac:dyDescent="0.25">
      <c r="B20" s="9" t="s">
        <v>1289</v>
      </c>
    </row>
    <row r="21" spans="2:2" x14ac:dyDescent="0.25">
      <c r="B21" s="9"/>
    </row>
    <row r="22" spans="2:2" x14ac:dyDescent="0.25">
      <c r="B22" s="9"/>
    </row>
    <row r="23" spans="2:2" x14ac:dyDescent="0.25">
      <c r="B23" s="9"/>
    </row>
    <row r="25" spans="2:2" s="10" customFormat="1" x14ac:dyDescent="0.25">
      <c r="B25" s="6"/>
    </row>
    <row r="26" spans="2:2" s="10" customFormat="1" x14ac:dyDescent="0.15">
      <c r="B26" s="11" t="s">
        <v>74</v>
      </c>
    </row>
    <row r="27" spans="2:2" s="10" customFormat="1" x14ac:dyDescent="0.15">
      <c r="B27" s="12" t="s">
        <v>75</v>
      </c>
    </row>
    <row r="28" spans="2:2" s="10" customFormat="1" x14ac:dyDescent="0.15"/>
    <row r="29" spans="2:2" s="10" customFormat="1" x14ac:dyDescent="0.15">
      <c r="B29" s="11" t="s">
        <v>76</v>
      </c>
    </row>
    <row r="30" spans="2:2" s="10" customFormat="1" x14ac:dyDescent="0.15">
      <c r="B30" s="12" t="s">
        <v>77</v>
      </c>
    </row>
    <row r="31" spans="2:2" s="10" customFormat="1" x14ac:dyDescent="0.15">
      <c r="B31" s="12" t="s">
        <v>78</v>
      </c>
    </row>
    <row r="32" spans="2:2" s="10" customFormat="1" x14ac:dyDescent="0.15">
      <c r="B32" s="12" t="s">
        <v>79</v>
      </c>
    </row>
    <row r="33" spans="2:2" s="10" customFormat="1" ht="25.5" x14ac:dyDescent="0.15">
      <c r="B33" s="12" t="s">
        <v>80</v>
      </c>
    </row>
    <row r="34" spans="2:2" s="10" customFormat="1" x14ac:dyDescent="0.15"/>
    <row r="35" spans="2:2" s="10" customFormat="1" x14ac:dyDescent="0.15">
      <c r="B35" s="11" t="s">
        <v>81</v>
      </c>
    </row>
    <row r="36" spans="2:2" s="10" customFormat="1" x14ac:dyDescent="0.15">
      <c r="B36" s="13" t="s">
        <v>8</v>
      </c>
    </row>
    <row r="37" spans="2:2" s="10" customFormat="1" x14ac:dyDescent="0.15">
      <c r="B37" s="12" t="s">
        <v>82</v>
      </c>
    </row>
    <row r="38" spans="2:2" s="10" customFormat="1" x14ac:dyDescent="0.15">
      <c r="B38" s="13" t="s">
        <v>5</v>
      </c>
    </row>
    <row r="39" spans="2:2" s="10" customFormat="1" x14ac:dyDescent="0.15">
      <c r="B39" s="12" t="s">
        <v>83</v>
      </c>
    </row>
    <row r="40" spans="2:2" s="10" customFormat="1" x14ac:dyDescent="0.15">
      <c r="B40" s="13" t="s">
        <v>84</v>
      </c>
    </row>
    <row r="41" spans="2:2" s="10" customFormat="1" x14ac:dyDescent="0.15">
      <c r="B41" s="12" t="s">
        <v>85</v>
      </c>
    </row>
    <row r="42" spans="2:2" s="10" customFormat="1" x14ac:dyDescent="0.15">
      <c r="B42" s="13" t="s">
        <v>86</v>
      </c>
    </row>
    <row r="43" spans="2:2" s="10" customFormat="1" x14ac:dyDescent="0.15">
      <c r="B43" s="12" t="s">
        <v>87</v>
      </c>
    </row>
    <row r="44" spans="2:2" s="10" customFormat="1" x14ac:dyDescent="0.15">
      <c r="B44" s="13" t="s">
        <v>88</v>
      </c>
    </row>
    <row r="45" spans="2:2" s="10" customFormat="1" x14ac:dyDescent="0.15">
      <c r="B45" s="12" t="s">
        <v>89</v>
      </c>
    </row>
    <row r="46" spans="2:2" s="10" customFormat="1" x14ac:dyDescent="0.15">
      <c r="B46"/>
    </row>
    <row r="47" spans="2:2" s="10" customFormat="1" x14ac:dyDescent="0.15"/>
    <row r="48" spans="2:2" s="10" customFormat="1" x14ac:dyDescent="0.15"/>
    <row r="49" spans="2:2" s="10" customFormat="1" x14ac:dyDescent="0.15"/>
    <row r="50" spans="2:2" s="10" customFormat="1" x14ac:dyDescent="0.15"/>
    <row r="51" spans="2:2" s="10" customFormat="1" x14ac:dyDescent="0.15"/>
    <row r="52" spans="2:2" s="10" customFormat="1" x14ac:dyDescent="0.15"/>
    <row r="53" spans="2:2" s="10" customFormat="1" x14ac:dyDescent="0.15"/>
    <row r="54" spans="2:2" s="10" customFormat="1" x14ac:dyDescent="0.15"/>
    <row r="55" spans="2:2" s="10" customFormat="1" x14ac:dyDescent="0.15"/>
    <row r="56" spans="2:2" s="10" customFormat="1" x14ac:dyDescent="0.15"/>
    <row r="57" spans="2:2" s="10" customFormat="1" x14ac:dyDescent="0.15"/>
    <row r="58" spans="2:2" s="10" customFormat="1" x14ac:dyDescent="0.15"/>
    <row r="59" spans="2:2" x14ac:dyDescent="0.25">
      <c r="B59" s="10"/>
    </row>
  </sheetData>
  <phoneticPr fontId="8"/>
  <hyperlinks>
    <hyperlink ref="B36" location="用紙サイズ!R1C1" display="用紙サイズ" xr:uid="{00000000-0004-0000-0000-000000000000}"/>
    <hyperlink ref="B38" location="用紙種類!R1C1" display="用紙種類" xr:uid="{00000000-0004-0000-0000-000001000000}"/>
    <hyperlink ref="B40" location="画質制御分類!R1C1" display="画質制御分類" xr:uid="{00000000-0004-0000-0000-000002000000}"/>
    <hyperlink ref="B42" location="用紙種類優先順位!R1C1" display="用紙種類優先順位" xr:uid="{00000000-0004-0000-0000-000003000000}"/>
    <hyperlink ref="B44" location="排出先機能!R1C1" display="排出先機能" xr:uid="{00000000-0004-0000-0000-000004000000}"/>
  </hyperlinks>
  <pageMargins left="0.39370078740157483" right="0.39370078740157483" top="0.39370078740157483" bottom="0.39370078740157483" header="0.11811023622047245" footer="7.874015748031496E-2"/>
  <pageSetup paperSize="9" firstPageNumber="0" orientation="portrait" useFirstPageNumber="1" horizontalDpi="300" verticalDpi="300" r:id="rId1"/>
  <headerFooter alignWithMargins="0"/>
  <colBreaks count="1" manualBreakCount="1">
    <brk id="3" max="57" man="1"/>
  </colBreaks>
  <drawing r:id="rId2"/>
  <legacyDrawing r:id="rId3"/>
  <controls>
    <mc:AlternateContent xmlns:mc="http://schemas.openxmlformats.org/markup-compatibility/2006">
      <mc:Choice Requires="x14">
        <control shapeId="1025" r:id="rId4" name="生成">
          <controlPr print="0" autoLine="0" r:id="rId5">
            <anchor moveWithCells="1">
              <from>
                <xdr:col>83</xdr:col>
                <xdr:colOff>180975</xdr:colOff>
                <xdr:row>78</xdr:row>
                <xdr:rowOff>85725</xdr:rowOff>
              </from>
              <to>
                <xdr:col>85</xdr:col>
                <xdr:colOff>285750</xdr:colOff>
                <xdr:row>79</xdr:row>
                <xdr:rowOff>152400</xdr:rowOff>
              </to>
            </anchor>
          </controlPr>
        </control>
      </mc:Choice>
      <mc:Fallback>
        <control shapeId="1025" r:id="rId4" name="生成"/>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02322-A51F-48B2-B6A7-189DFFA6C8B7}">
  <sheetPr codeName="Sheet2"/>
  <dimension ref="B2:B10"/>
  <sheetViews>
    <sheetView zoomScale="130" zoomScaleNormal="130" workbookViewId="0">
      <selection activeCell="C4" sqref="C4"/>
    </sheetView>
  </sheetViews>
  <sheetFormatPr defaultRowHeight="12" x14ac:dyDescent="0.15"/>
  <cols>
    <col min="2" max="2" width="37.85546875" customWidth="1"/>
    <col min="3" max="3" width="31.42578125" customWidth="1"/>
  </cols>
  <sheetData>
    <row r="2" spans="2:2" x14ac:dyDescent="0.15">
      <c r="B2" t="s">
        <v>1268</v>
      </c>
    </row>
    <row r="3" spans="2:2" ht="13.5" x14ac:dyDescent="0.15">
      <c r="B3" s="161" t="s">
        <v>1100</v>
      </c>
    </row>
    <row r="4" spans="2:2" ht="13.5" x14ac:dyDescent="0.15">
      <c r="B4" s="161" t="s">
        <v>1101</v>
      </c>
    </row>
    <row r="5" spans="2:2" ht="13.5" x14ac:dyDescent="0.15">
      <c r="B5" s="161" t="s">
        <v>1102</v>
      </c>
    </row>
    <row r="6" spans="2:2" ht="13.5" x14ac:dyDescent="0.15">
      <c r="B6" s="161" t="s">
        <v>1103</v>
      </c>
    </row>
    <row r="7" spans="2:2" ht="13.5" x14ac:dyDescent="0.15">
      <c r="B7" s="161" t="s">
        <v>1104</v>
      </c>
    </row>
    <row r="8" spans="2:2" ht="13.5" x14ac:dyDescent="0.15">
      <c r="B8" s="161" t="s">
        <v>1105</v>
      </c>
    </row>
    <row r="9" spans="2:2" ht="13.5" x14ac:dyDescent="0.15">
      <c r="B9" s="161" t="s">
        <v>1106</v>
      </c>
    </row>
    <row r="10" spans="2:2" ht="13.5" x14ac:dyDescent="0.15">
      <c r="B10" s="161" t="s">
        <v>1107</v>
      </c>
    </row>
  </sheetData>
  <phoneticPr fontId="8"/>
  <hyperlinks>
    <hyperlink ref="B3" location="'2.2.2. 標準構成とオプション(1)'!A1" display="2.2.2. 標準構成とオプション(1)" xr:uid="{74F4BE1E-1B31-4866-928F-417EE250ACA8}"/>
    <hyperlink ref="B4" location="'2.2.2. 標準構成とオプション(2)'!A1" display="2.2.2. 標準構成とオプション(2)" xr:uid="{C09B18AB-5269-4092-9644-1B147D2FC694}"/>
    <hyperlink ref="B5" location="'2.2.3. トレイおよびオプション装着検知'!A1" display="2.2.3. トレイおよびオプション装着検知" xr:uid="{DCB51C20-0365-4A14-A556-CA13D5E6BDA3}"/>
    <hyperlink ref="B6" location="'2.2.4. オプションの故障と機能制限'!A1" display="2.2.4. オプションの故障と機能制限" xr:uid="{252B2A22-5CF3-4C8A-97EF-16A839DDDB38}"/>
    <hyperlink ref="B7" location="'2.5 機能一覧'!A1" display="2.5 機能一覧" xr:uid="{B55024E3-DFB1-4D4E-B814-0233F8313595}"/>
    <hyperlink ref="B8" location="'3.4.1. 排出先指定'!A1" display="3.4.1. 排出先指定" xr:uid="{90C5FEE0-CA8D-4DDE-AA88-B16122D7B7E5}"/>
    <hyperlink ref="B9" location="'3.6.4. 用紙トレイの状態'!A1" display="3.6.4. 用紙トレイの状態" xr:uid="{4804C014-5AB7-4FA5-A6D1-85D8BEEA3DFF}"/>
    <hyperlink ref="B10" location="' 3.6.5. 排出トレイ、出力装置の状態'!A1" display="3.6.5. 排出トレイ、出力装置の状態" xr:uid="{F3F7A7F5-A86C-4D1B-96A3-6826EC2B375E}"/>
  </hyperlinks>
  <pageMargins left="0.7" right="0.7" top="0.75" bottom="0.75" header="0.3" footer="0.3"/>
  <pageSetup paperSize="9" orientation="portrait" copies="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D109B-204E-4BD3-82AA-7D739AF47948}">
  <sheetPr codeName="Sheet3"/>
  <dimension ref="B2:E8"/>
  <sheetViews>
    <sheetView zoomScale="130" zoomScaleNormal="130" workbookViewId="0">
      <selection activeCell="D6" sqref="D6"/>
    </sheetView>
  </sheetViews>
  <sheetFormatPr defaultRowHeight="12" x14ac:dyDescent="0.15"/>
  <cols>
    <col min="2" max="2" width="25.42578125" customWidth="1"/>
    <col min="3" max="5" width="22.7109375" customWidth="1"/>
  </cols>
  <sheetData>
    <row r="2" spans="2:5" ht="12.75" thickBot="1" x14ac:dyDescent="0.2"/>
    <row r="3" spans="2:5" ht="12.75" thickBot="1" x14ac:dyDescent="0.2">
      <c r="B3" s="170" t="s">
        <v>1144</v>
      </c>
      <c r="C3" s="109" t="s">
        <v>1145</v>
      </c>
      <c r="D3" s="171" t="s">
        <v>1146</v>
      </c>
      <c r="E3" s="171" t="s">
        <v>1147</v>
      </c>
    </row>
    <row r="4" spans="2:5" ht="12.75" thickBot="1" x14ac:dyDescent="0.2">
      <c r="B4" s="88" t="s">
        <v>1148</v>
      </c>
      <c r="C4" s="84" t="s">
        <v>1145</v>
      </c>
      <c r="D4" s="172" t="s">
        <v>1146</v>
      </c>
      <c r="E4" s="172" t="s">
        <v>1147</v>
      </c>
    </row>
    <row r="5" spans="2:5" ht="12.75" thickBot="1" x14ac:dyDescent="0.2">
      <c r="B5" s="88" t="s">
        <v>1149</v>
      </c>
      <c r="C5" s="84" t="s">
        <v>1150</v>
      </c>
      <c r="D5" s="84" t="s">
        <v>1150</v>
      </c>
      <c r="E5" s="84" t="s">
        <v>1150</v>
      </c>
    </row>
    <row r="6" spans="2:5" ht="12.75" thickBot="1" x14ac:dyDescent="0.2">
      <c r="B6" s="88" t="s">
        <v>1151</v>
      </c>
      <c r="C6" s="84" t="s">
        <v>1291</v>
      </c>
      <c r="D6" s="84" t="s">
        <v>1291</v>
      </c>
      <c r="E6" s="84" t="s">
        <v>1292</v>
      </c>
    </row>
    <row r="8" spans="2:5" x14ac:dyDescent="0.15">
      <c r="B8" s="256" t="s">
        <v>1253</v>
      </c>
      <c r="C8" s="66"/>
      <c r="D8" s="66"/>
      <c r="E8" s="66"/>
    </row>
  </sheetData>
  <phoneticPr fontId="8"/>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B1:K51"/>
  <sheetViews>
    <sheetView zoomScale="130" zoomScaleNormal="130" workbookViewId="0">
      <pane xSplit="3" ySplit="4" topLeftCell="D35" activePane="bottomRight" state="frozen"/>
      <selection pane="topRight" activeCell="D1" sqref="D1"/>
      <selection pane="bottomLeft" activeCell="A5" sqref="A5"/>
      <selection pane="bottomRight" activeCell="B43" sqref="B43"/>
    </sheetView>
  </sheetViews>
  <sheetFormatPr defaultRowHeight="12" x14ac:dyDescent="0.15"/>
  <cols>
    <col min="1" max="1" width="3" style="66" customWidth="1"/>
    <col min="2" max="2" width="36.85546875" style="66" customWidth="1"/>
    <col min="3" max="3" width="35.42578125" style="66" customWidth="1"/>
    <col min="4" max="7" width="6.7109375" style="66" customWidth="1"/>
    <col min="8" max="9" width="6.7109375" style="66" hidden="1" customWidth="1"/>
    <col min="10" max="11" width="6.7109375" style="66" customWidth="1"/>
    <col min="12" max="16384" width="9.140625" style="66"/>
  </cols>
  <sheetData>
    <row r="1" spans="2:11" ht="12.75" thickBot="1" x14ac:dyDescent="0.2"/>
    <row r="2" spans="2:11" ht="12.75" thickBot="1" x14ac:dyDescent="0.2">
      <c r="F2" s="263" t="s">
        <v>556</v>
      </c>
      <c r="G2" s="264"/>
      <c r="H2" s="265"/>
      <c r="I2" s="265"/>
      <c r="J2" s="265"/>
      <c r="K2" s="266"/>
    </row>
    <row r="3" spans="2:11" ht="12.75" thickBot="1" x14ac:dyDescent="0.2">
      <c r="B3" s="67" t="s">
        <v>484</v>
      </c>
      <c r="C3" s="68" t="s">
        <v>485</v>
      </c>
      <c r="D3" s="261" t="s">
        <v>1258</v>
      </c>
      <c r="E3" s="262"/>
      <c r="F3" s="261" t="s">
        <v>1254</v>
      </c>
      <c r="G3" s="262"/>
      <c r="H3" s="261" t="s">
        <v>1269</v>
      </c>
      <c r="I3" s="262"/>
      <c r="J3" s="261" t="s">
        <v>547</v>
      </c>
      <c r="K3" s="262"/>
    </row>
    <row r="4" spans="2:11" ht="12.75" thickBot="1" x14ac:dyDescent="0.2">
      <c r="B4" s="69"/>
      <c r="C4" s="70"/>
      <c r="D4" s="71" t="s">
        <v>486</v>
      </c>
      <c r="E4" s="71" t="s">
        <v>487</v>
      </c>
      <c r="F4" s="71" t="s">
        <v>486</v>
      </c>
      <c r="G4" s="71" t="s">
        <v>487</v>
      </c>
      <c r="H4" s="71" t="s">
        <v>486</v>
      </c>
      <c r="I4" s="71" t="s">
        <v>487</v>
      </c>
      <c r="J4" s="71" t="s">
        <v>486</v>
      </c>
      <c r="K4" s="71" t="s">
        <v>487</v>
      </c>
    </row>
    <row r="5" spans="2:11" ht="12.75" thickBot="1" x14ac:dyDescent="0.2">
      <c r="B5" s="72" t="s">
        <v>522</v>
      </c>
      <c r="C5" s="73"/>
      <c r="D5" s="62" t="s">
        <v>488</v>
      </c>
      <c r="E5" s="62" t="s">
        <v>489</v>
      </c>
      <c r="F5" s="62" t="s">
        <v>488</v>
      </c>
      <c r="G5" s="62" t="s">
        <v>489</v>
      </c>
      <c r="H5" s="62" t="s">
        <v>488</v>
      </c>
      <c r="I5" s="62" t="s">
        <v>489</v>
      </c>
      <c r="J5" s="62" t="s">
        <v>488</v>
      </c>
      <c r="K5" s="62" t="s">
        <v>489</v>
      </c>
    </row>
    <row r="6" spans="2:11" ht="12.75" thickBot="1" x14ac:dyDescent="0.2">
      <c r="B6" s="72" t="s">
        <v>523</v>
      </c>
      <c r="C6" s="73"/>
      <c r="D6" s="62" t="s">
        <v>488</v>
      </c>
      <c r="E6" s="62" t="s">
        <v>489</v>
      </c>
      <c r="F6" s="62" t="s">
        <v>488</v>
      </c>
      <c r="G6" s="62" t="s">
        <v>489</v>
      </c>
      <c r="H6" s="62" t="s">
        <v>488</v>
      </c>
      <c r="I6" s="62" t="s">
        <v>489</v>
      </c>
      <c r="J6" s="62" t="s">
        <v>488</v>
      </c>
      <c r="K6" s="62" t="s">
        <v>489</v>
      </c>
    </row>
    <row r="7" spans="2:11" ht="12.75" thickBot="1" x14ac:dyDescent="0.2">
      <c r="B7" s="72" t="s">
        <v>524</v>
      </c>
      <c r="C7" s="73"/>
      <c r="D7" s="62" t="s">
        <v>488</v>
      </c>
      <c r="E7" s="62" t="s">
        <v>489</v>
      </c>
      <c r="F7" s="62" t="s">
        <v>488</v>
      </c>
      <c r="G7" s="62" t="s">
        <v>489</v>
      </c>
      <c r="H7" s="62" t="s">
        <v>488</v>
      </c>
      <c r="I7" s="62" t="s">
        <v>489</v>
      </c>
      <c r="J7" s="62" t="s">
        <v>488</v>
      </c>
      <c r="K7" s="62" t="s">
        <v>489</v>
      </c>
    </row>
    <row r="8" spans="2:11" ht="12.75" thickBot="1" x14ac:dyDescent="0.2">
      <c r="B8" s="72" t="s">
        <v>525</v>
      </c>
      <c r="C8" s="73"/>
      <c r="D8" s="62" t="s">
        <v>488</v>
      </c>
      <c r="E8" s="62" t="s">
        <v>489</v>
      </c>
      <c r="F8" s="62" t="s">
        <v>488</v>
      </c>
      <c r="G8" s="62" t="s">
        <v>489</v>
      </c>
      <c r="H8" s="63" t="s">
        <v>456</v>
      </c>
      <c r="I8" s="63" t="s">
        <v>456</v>
      </c>
      <c r="J8" s="63" t="s">
        <v>456</v>
      </c>
      <c r="K8" s="63" t="s">
        <v>456</v>
      </c>
    </row>
    <row r="9" spans="2:11" ht="12.75" thickBot="1" x14ac:dyDescent="0.2">
      <c r="B9" s="74" t="s">
        <v>490</v>
      </c>
      <c r="C9" s="73"/>
      <c r="D9" s="62" t="s">
        <v>984</v>
      </c>
      <c r="E9" s="62" t="s">
        <v>489</v>
      </c>
      <c r="F9" s="62" t="s">
        <v>488</v>
      </c>
      <c r="G9" s="62" t="s">
        <v>489</v>
      </c>
      <c r="H9" s="62" t="s">
        <v>488</v>
      </c>
      <c r="I9" s="62" t="s">
        <v>489</v>
      </c>
      <c r="J9" s="62" t="s">
        <v>488</v>
      </c>
      <c r="K9" s="62" t="s">
        <v>489</v>
      </c>
    </row>
    <row r="10" spans="2:11" ht="12.75" thickBot="1" x14ac:dyDescent="0.2">
      <c r="B10" s="72" t="s">
        <v>491</v>
      </c>
      <c r="C10" s="73"/>
      <c r="D10" s="62" t="s">
        <v>488</v>
      </c>
      <c r="E10" s="62" t="s">
        <v>489</v>
      </c>
      <c r="F10" s="62" t="s">
        <v>488</v>
      </c>
      <c r="G10" s="62" t="s">
        <v>489</v>
      </c>
      <c r="H10" s="62" t="s">
        <v>488</v>
      </c>
      <c r="I10" s="62" t="s">
        <v>489</v>
      </c>
      <c r="J10" s="62" t="s">
        <v>488</v>
      </c>
      <c r="K10" s="62" t="s">
        <v>489</v>
      </c>
    </row>
    <row r="11" spans="2:11" ht="12.75" thickBot="1" x14ac:dyDescent="0.2">
      <c r="B11" s="74" t="s">
        <v>492</v>
      </c>
      <c r="C11" s="73"/>
      <c r="D11" s="62" t="s">
        <v>488</v>
      </c>
      <c r="E11" s="62" t="s">
        <v>489</v>
      </c>
      <c r="F11" s="62" t="s">
        <v>488</v>
      </c>
      <c r="G11" s="62" t="s">
        <v>489</v>
      </c>
      <c r="H11" s="62" t="s">
        <v>488</v>
      </c>
      <c r="I11" s="62" t="s">
        <v>489</v>
      </c>
      <c r="J11" s="62" t="s">
        <v>488</v>
      </c>
      <c r="K11" s="62" t="s">
        <v>489</v>
      </c>
    </row>
    <row r="12" spans="2:11" ht="12.75" thickBot="1" x14ac:dyDescent="0.2">
      <c r="B12" s="74" t="s">
        <v>493</v>
      </c>
      <c r="C12" s="73" t="s">
        <v>494</v>
      </c>
      <c r="D12" s="62" t="s">
        <v>986</v>
      </c>
      <c r="E12" s="62" t="s">
        <v>489</v>
      </c>
      <c r="F12" s="62" t="s">
        <v>495</v>
      </c>
      <c r="G12" s="62" t="s">
        <v>489</v>
      </c>
      <c r="H12" s="62" t="s">
        <v>488</v>
      </c>
      <c r="I12" s="62" t="s">
        <v>489</v>
      </c>
      <c r="J12" s="62" t="s">
        <v>495</v>
      </c>
      <c r="K12" s="62" t="s">
        <v>489</v>
      </c>
    </row>
    <row r="13" spans="2:11" ht="12.75" thickBot="1" x14ac:dyDescent="0.2">
      <c r="B13" s="74" t="s">
        <v>533</v>
      </c>
      <c r="C13" s="73" t="s">
        <v>534</v>
      </c>
      <c r="D13" s="63" t="s">
        <v>456</v>
      </c>
      <c r="E13" s="63" t="s">
        <v>456</v>
      </c>
      <c r="F13" s="63" t="s">
        <v>456</v>
      </c>
      <c r="G13" s="63" t="s">
        <v>456</v>
      </c>
      <c r="H13" s="63" t="s">
        <v>456</v>
      </c>
      <c r="I13" s="63" t="s">
        <v>456</v>
      </c>
      <c r="J13" s="63" t="s">
        <v>456</v>
      </c>
      <c r="K13" s="63" t="s">
        <v>456</v>
      </c>
    </row>
    <row r="14" spans="2:11" ht="12.75" thickBot="1" x14ac:dyDescent="0.2">
      <c r="B14" s="74" t="s">
        <v>496</v>
      </c>
      <c r="C14" s="73" t="s">
        <v>535</v>
      </c>
      <c r="D14" s="63" t="s">
        <v>456</v>
      </c>
      <c r="E14" s="63" t="s">
        <v>456</v>
      </c>
      <c r="F14" s="63" t="s">
        <v>456</v>
      </c>
      <c r="G14" s="63" t="s">
        <v>456</v>
      </c>
      <c r="H14" s="63" t="s">
        <v>456</v>
      </c>
      <c r="I14" s="63" t="s">
        <v>456</v>
      </c>
      <c r="J14" s="63" t="s">
        <v>456</v>
      </c>
      <c r="K14" s="63" t="s">
        <v>456</v>
      </c>
    </row>
    <row r="15" spans="2:11" ht="12.75" thickBot="1" x14ac:dyDescent="0.2">
      <c r="B15" s="74" t="s">
        <v>496</v>
      </c>
      <c r="C15" s="73" t="s">
        <v>497</v>
      </c>
      <c r="D15" s="62" t="s">
        <v>528</v>
      </c>
      <c r="E15" s="62" t="s">
        <v>489</v>
      </c>
      <c r="F15" s="62" t="s">
        <v>495</v>
      </c>
      <c r="G15" s="62" t="s">
        <v>489</v>
      </c>
      <c r="H15" s="62" t="s">
        <v>528</v>
      </c>
      <c r="I15" s="62" t="s">
        <v>489</v>
      </c>
      <c r="J15" s="62" t="s">
        <v>495</v>
      </c>
      <c r="K15" s="62" t="s">
        <v>489</v>
      </c>
    </row>
    <row r="16" spans="2:11" ht="12.75" thickBot="1" x14ac:dyDescent="0.2">
      <c r="B16" s="74" t="s">
        <v>498</v>
      </c>
      <c r="C16" s="73" t="s">
        <v>499</v>
      </c>
      <c r="D16" s="63" t="s">
        <v>456</v>
      </c>
      <c r="E16" s="63" t="s">
        <v>456</v>
      </c>
      <c r="F16" s="62" t="s">
        <v>528</v>
      </c>
      <c r="G16" s="62" t="s">
        <v>489</v>
      </c>
      <c r="H16" s="62"/>
      <c r="I16" s="62"/>
      <c r="J16" s="63" t="s">
        <v>456</v>
      </c>
      <c r="K16" s="63" t="s">
        <v>456</v>
      </c>
    </row>
    <row r="17" spans="2:11" ht="12.75" thickBot="1" x14ac:dyDescent="0.2">
      <c r="B17" s="74" t="s">
        <v>536</v>
      </c>
      <c r="C17" s="73" t="s">
        <v>537</v>
      </c>
      <c r="D17" s="62" t="s">
        <v>528</v>
      </c>
      <c r="E17" s="62" t="s">
        <v>489</v>
      </c>
      <c r="F17" s="63" t="s">
        <v>456</v>
      </c>
      <c r="G17" s="63" t="s">
        <v>456</v>
      </c>
      <c r="H17" s="62" t="s">
        <v>528</v>
      </c>
      <c r="I17" s="62" t="s">
        <v>489</v>
      </c>
      <c r="J17" s="62" t="s">
        <v>495</v>
      </c>
      <c r="K17" s="62" t="s">
        <v>489</v>
      </c>
    </row>
    <row r="18" spans="2:11" ht="12.75" thickBot="1" x14ac:dyDescent="0.2">
      <c r="B18" s="74" t="s">
        <v>538</v>
      </c>
      <c r="C18" s="73" t="s">
        <v>539</v>
      </c>
      <c r="D18" s="63" t="s">
        <v>456</v>
      </c>
      <c r="E18" s="63" t="s">
        <v>456</v>
      </c>
      <c r="F18" s="63" t="s">
        <v>456</v>
      </c>
      <c r="G18" s="63" t="s">
        <v>456</v>
      </c>
      <c r="H18" s="62" t="s">
        <v>528</v>
      </c>
      <c r="I18" s="62" t="s">
        <v>548</v>
      </c>
      <c r="J18" s="62" t="s">
        <v>495</v>
      </c>
      <c r="K18" s="62" t="s">
        <v>489</v>
      </c>
    </row>
    <row r="19" spans="2:11" ht="12.75" thickBot="1" x14ac:dyDescent="0.2">
      <c r="B19" s="74" t="s">
        <v>540</v>
      </c>
      <c r="C19" s="73" t="s">
        <v>541</v>
      </c>
      <c r="D19" s="63" t="s">
        <v>456</v>
      </c>
      <c r="E19" s="63" t="s">
        <v>456</v>
      </c>
      <c r="F19" s="63" t="s">
        <v>456</v>
      </c>
      <c r="G19" s="63" t="s">
        <v>456</v>
      </c>
      <c r="H19" s="62" t="s">
        <v>528</v>
      </c>
      <c r="I19" s="62" t="s">
        <v>548</v>
      </c>
      <c r="J19" s="62" t="s">
        <v>495</v>
      </c>
      <c r="K19" s="62" t="s">
        <v>489</v>
      </c>
    </row>
    <row r="20" spans="2:11" ht="12.75" thickBot="1" x14ac:dyDescent="0.2">
      <c r="B20" s="74" t="s">
        <v>536</v>
      </c>
      <c r="C20" s="73" t="s">
        <v>557</v>
      </c>
      <c r="D20" s="63" t="s">
        <v>456</v>
      </c>
      <c r="E20" s="63" t="s">
        <v>456</v>
      </c>
      <c r="F20" s="63" t="s">
        <v>456</v>
      </c>
      <c r="G20" s="63" t="s">
        <v>456</v>
      </c>
      <c r="H20" s="63" t="s">
        <v>456</v>
      </c>
      <c r="I20" s="63" t="s">
        <v>456</v>
      </c>
      <c r="J20" s="62" t="s">
        <v>495</v>
      </c>
      <c r="K20" s="62" t="s">
        <v>489</v>
      </c>
    </row>
    <row r="21" spans="2:11" ht="24" thickBot="1" x14ac:dyDescent="0.2">
      <c r="B21" s="74" t="s">
        <v>544</v>
      </c>
      <c r="C21" s="73" t="s">
        <v>558</v>
      </c>
      <c r="D21" s="63" t="s">
        <v>456</v>
      </c>
      <c r="E21" s="63" t="s">
        <v>456</v>
      </c>
      <c r="F21" s="63" t="s">
        <v>456</v>
      </c>
      <c r="G21" s="63" t="s">
        <v>456</v>
      </c>
      <c r="H21" s="63" t="s">
        <v>456</v>
      </c>
      <c r="I21" s="63" t="s">
        <v>456</v>
      </c>
      <c r="J21" s="62" t="s">
        <v>495</v>
      </c>
      <c r="K21" s="62" t="s">
        <v>489</v>
      </c>
    </row>
    <row r="22" spans="2:11" ht="12.75" thickBot="1" x14ac:dyDescent="0.2">
      <c r="B22" s="74" t="s">
        <v>538</v>
      </c>
      <c r="C22" s="73" t="s">
        <v>542</v>
      </c>
      <c r="D22" s="63" t="s">
        <v>456</v>
      </c>
      <c r="E22" s="63" t="s">
        <v>456</v>
      </c>
      <c r="F22" s="63" t="s">
        <v>456</v>
      </c>
      <c r="G22" s="63" t="s">
        <v>456</v>
      </c>
      <c r="H22" s="63" t="s">
        <v>456</v>
      </c>
      <c r="I22" s="63" t="s">
        <v>456</v>
      </c>
      <c r="J22" s="62" t="s">
        <v>495</v>
      </c>
      <c r="K22" s="62" t="s">
        <v>489</v>
      </c>
    </row>
    <row r="23" spans="2:11" ht="12.75" thickBot="1" x14ac:dyDescent="0.2">
      <c r="B23" s="74" t="s">
        <v>540</v>
      </c>
      <c r="C23" s="73" t="s">
        <v>543</v>
      </c>
      <c r="D23" s="63" t="s">
        <v>456</v>
      </c>
      <c r="E23" s="63" t="s">
        <v>456</v>
      </c>
      <c r="F23" s="63" t="s">
        <v>456</v>
      </c>
      <c r="G23" s="63" t="s">
        <v>456</v>
      </c>
      <c r="H23" s="63" t="s">
        <v>456</v>
      </c>
      <c r="I23" s="63" t="s">
        <v>456</v>
      </c>
      <c r="J23" s="62" t="s">
        <v>495</v>
      </c>
      <c r="K23" s="62" t="s">
        <v>489</v>
      </c>
    </row>
    <row r="24" spans="2:11" ht="24" thickBot="1" x14ac:dyDescent="0.2">
      <c r="B24" s="74" t="s">
        <v>545</v>
      </c>
      <c r="C24" s="73" t="s">
        <v>546</v>
      </c>
      <c r="D24" s="63" t="s">
        <v>456</v>
      </c>
      <c r="E24" s="63" t="s">
        <v>456</v>
      </c>
      <c r="F24" s="63" t="s">
        <v>456</v>
      </c>
      <c r="G24" s="63" t="s">
        <v>456</v>
      </c>
      <c r="H24" s="63" t="s">
        <v>456</v>
      </c>
      <c r="I24" s="63" t="s">
        <v>456</v>
      </c>
      <c r="J24" s="62" t="s">
        <v>495</v>
      </c>
      <c r="K24" s="62" t="s">
        <v>489</v>
      </c>
    </row>
    <row r="25" spans="2:11" ht="12.75" thickBot="1" x14ac:dyDescent="0.2">
      <c r="B25" s="74" t="s">
        <v>500</v>
      </c>
      <c r="C25" s="73"/>
      <c r="D25" s="62" t="s">
        <v>495</v>
      </c>
      <c r="E25" s="62" t="s">
        <v>489</v>
      </c>
      <c r="F25" s="62" t="s">
        <v>495</v>
      </c>
      <c r="G25" s="62" t="s">
        <v>489</v>
      </c>
      <c r="H25" s="62" t="s">
        <v>495</v>
      </c>
      <c r="I25" s="62" t="s">
        <v>489</v>
      </c>
      <c r="J25" s="62" t="s">
        <v>495</v>
      </c>
      <c r="K25" s="62" t="s">
        <v>489</v>
      </c>
    </row>
    <row r="26" spans="2:11" ht="12.75" thickBot="1" x14ac:dyDescent="0.2">
      <c r="B26" s="74" t="s">
        <v>501</v>
      </c>
      <c r="C26" s="73"/>
      <c r="D26" s="62" t="s">
        <v>495</v>
      </c>
      <c r="E26" s="62" t="s">
        <v>489</v>
      </c>
      <c r="F26" s="62" t="s">
        <v>495</v>
      </c>
      <c r="G26" s="62" t="s">
        <v>489</v>
      </c>
      <c r="H26" s="62" t="s">
        <v>495</v>
      </c>
      <c r="I26" s="62" t="s">
        <v>489</v>
      </c>
      <c r="J26" s="62" t="s">
        <v>495</v>
      </c>
      <c r="K26" s="62" t="s">
        <v>489</v>
      </c>
    </row>
    <row r="27" spans="2:11" ht="12.75" thickBot="1" x14ac:dyDescent="0.2">
      <c r="B27" s="75" t="s">
        <v>502</v>
      </c>
      <c r="C27" s="76" t="s">
        <v>526</v>
      </c>
      <c r="D27" s="62" t="s">
        <v>495</v>
      </c>
      <c r="E27" s="62" t="s">
        <v>489</v>
      </c>
      <c r="F27" s="61" t="s">
        <v>495</v>
      </c>
      <c r="G27" s="61" t="s">
        <v>489</v>
      </c>
      <c r="H27" s="62" t="s">
        <v>495</v>
      </c>
      <c r="I27" s="62" t="s">
        <v>549</v>
      </c>
      <c r="J27" s="62" t="s">
        <v>495</v>
      </c>
      <c r="K27" s="62" t="s">
        <v>489</v>
      </c>
    </row>
    <row r="28" spans="2:11" ht="12.75" thickBot="1" x14ac:dyDescent="0.2">
      <c r="B28" s="74" t="s">
        <v>650</v>
      </c>
      <c r="C28" s="73" t="s">
        <v>503</v>
      </c>
      <c r="D28" s="62" t="s">
        <v>495</v>
      </c>
      <c r="E28" s="62" t="s">
        <v>489</v>
      </c>
      <c r="F28" s="62" t="s">
        <v>495</v>
      </c>
      <c r="G28" s="62" t="s">
        <v>489</v>
      </c>
      <c r="H28" s="62" t="s">
        <v>495</v>
      </c>
      <c r="I28" s="62" t="s">
        <v>489</v>
      </c>
      <c r="J28" s="62" t="s">
        <v>495</v>
      </c>
      <c r="K28" s="62" t="s">
        <v>489</v>
      </c>
    </row>
    <row r="29" spans="2:11" ht="12.75" thickBot="1" x14ac:dyDescent="0.2">
      <c r="B29" s="74" t="s">
        <v>647</v>
      </c>
      <c r="C29" s="73" t="s">
        <v>504</v>
      </c>
      <c r="D29" s="62" t="s">
        <v>495</v>
      </c>
      <c r="E29" s="62" t="s">
        <v>489</v>
      </c>
      <c r="F29" s="62" t="s">
        <v>495</v>
      </c>
      <c r="G29" s="62" t="s">
        <v>489</v>
      </c>
      <c r="H29" s="62" t="s">
        <v>495</v>
      </c>
      <c r="I29" s="62" t="s">
        <v>489</v>
      </c>
      <c r="J29" s="62" t="s">
        <v>495</v>
      </c>
      <c r="K29" s="62" t="s">
        <v>489</v>
      </c>
    </row>
    <row r="30" spans="2:11" ht="12.75" thickBot="1" x14ac:dyDescent="0.2">
      <c r="B30" s="74" t="s">
        <v>505</v>
      </c>
      <c r="C30" s="73" t="s">
        <v>1284</v>
      </c>
      <c r="D30" s="62" t="s">
        <v>495</v>
      </c>
      <c r="E30" s="62" t="s">
        <v>489</v>
      </c>
      <c r="F30" s="62" t="s">
        <v>495</v>
      </c>
      <c r="G30" s="62" t="s">
        <v>489</v>
      </c>
      <c r="H30" s="62" t="s">
        <v>495</v>
      </c>
      <c r="I30" s="62" t="s">
        <v>489</v>
      </c>
      <c r="J30" s="62" t="s">
        <v>495</v>
      </c>
      <c r="K30" s="62" t="s">
        <v>489</v>
      </c>
    </row>
    <row r="31" spans="2:11" ht="12.75" thickBot="1" x14ac:dyDescent="0.2">
      <c r="B31" s="74" t="s">
        <v>506</v>
      </c>
      <c r="C31" s="73" t="s">
        <v>1285</v>
      </c>
      <c r="D31" s="62" t="s">
        <v>495</v>
      </c>
      <c r="E31" s="62" t="s">
        <v>489</v>
      </c>
      <c r="F31" s="62" t="s">
        <v>495</v>
      </c>
      <c r="G31" s="62" t="s">
        <v>489</v>
      </c>
      <c r="H31" s="63" t="s">
        <v>456</v>
      </c>
      <c r="I31" s="63" t="s">
        <v>456</v>
      </c>
      <c r="J31" s="63" t="s">
        <v>456</v>
      </c>
      <c r="K31" s="63" t="s">
        <v>456</v>
      </c>
    </row>
    <row r="32" spans="2:11" ht="24.75" thickBot="1" x14ac:dyDescent="0.2">
      <c r="B32" s="77" t="s">
        <v>507</v>
      </c>
      <c r="C32" s="78" t="s">
        <v>1286</v>
      </c>
      <c r="D32" s="62" t="s">
        <v>495</v>
      </c>
      <c r="E32" s="62" t="s">
        <v>489</v>
      </c>
      <c r="F32" s="64" t="s">
        <v>495</v>
      </c>
      <c r="G32" s="64" t="s">
        <v>489</v>
      </c>
      <c r="H32" s="61" t="s">
        <v>495</v>
      </c>
      <c r="I32" s="61" t="s">
        <v>489</v>
      </c>
      <c r="J32" s="61" t="s">
        <v>495</v>
      </c>
      <c r="K32" s="61" t="s">
        <v>489</v>
      </c>
    </row>
    <row r="33" spans="2:11" ht="24.75" thickBot="1" x14ac:dyDescent="0.2">
      <c r="B33" s="75" t="s">
        <v>527</v>
      </c>
      <c r="C33" s="75" t="s">
        <v>532</v>
      </c>
      <c r="D33" s="62" t="s">
        <v>495</v>
      </c>
      <c r="E33" s="62" t="s">
        <v>489</v>
      </c>
      <c r="F33" s="61" t="s">
        <v>528</v>
      </c>
      <c r="G33" s="61" t="s">
        <v>529</v>
      </c>
      <c r="H33" s="61" t="s">
        <v>495</v>
      </c>
      <c r="I33" s="81" t="s">
        <v>552</v>
      </c>
      <c r="J33" s="81" t="s">
        <v>495</v>
      </c>
      <c r="K33" s="81" t="s">
        <v>489</v>
      </c>
    </row>
    <row r="34" spans="2:11" ht="24.75" thickBot="1" x14ac:dyDescent="0.2">
      <c r="B34" s="75" t="s">
        <v>550</v>
      </c>
      <c r="C34" s="75" t="s">
        <v>551</v>
      </c>
      <c r="D34" s="65" t="s">
        <v>456</v>
      </c>
      <c r="E34" s="80" t="s">
        <v>456</v>
      </c>
      <c r="F34" s="65" t="s">
        <v>456</v>
      </c>
      <c r="G34" s="80" t="s">
        <v>456</v>
      </c>
      <c r="H34" s="62" t="s">
        <v>495</v>
      </c>
      <c r="I34" s="62" t="s">
        <v>552</v>
      </c>
      <c r="J34" s="62" t="s">
        <v>495</v>
      </c>
      <c r="K34" s="62" t="s">
        <v>489</v>
      </c>
    </row>
    <row r="35" spans="2:11" ht="12.75" thickBot="1" x14ac:dyDescent="0.2">
      <c r="B35" s="74" t="s">
        <v>508</v>
      </c>
      <c r="C35" s="79" t="s">
        <v>531</v>
      </c>
      <c r="D35" s="62" t="s">
        <v>495</v>
      </c>
      <c r="E35" s="62" t="s">
        <v>489</v>
      </c>
      <c r="F35" s="61" t="s">
        <v>528</v>
      </c>
      <c r="G35" s="61" t="s">
        <v>529</v>
      </c>
      <c r="H35" s="61" t="s">
        <v>495</v>
      </c>
      <c r="I35" s="81" t="s">
        <v>553</v>
      </c>
      <c r="J35" s="81" t="s">
        <v>495</v>
      </c>
      <c r="K35" s="81" t="s">
        <v>489</v>
      </c>
    </row>
    <row r="36" spans="2:11" ht="12.75" thickBot="1" x14ac:dyDescent="0.2">
      <c r="B36" s="75" t="s">
        <v>455</v>
      </c>
      <c r="C36" s="75"/>
      <c r="D36" s="61" t="s">
        <v>495</v>
      </c>
      <c r="E36" s="61" t="s">
        <v>489</v>
      </c>
      <c r="F36" s="65" t="s">
        <v>456</v>
      </c>
      <c r="G36" s="65" t="s">
        <v>456</v>
      </c>
      <c r="H36" s="61" t="s">
        <v>495</v>
      </c>
      <c r="I36" s="61" t="s">
        <v>489</v>
      </c>
      <c r="J36" s="61" t="s">
        <v>495</v>
      </c>
      <c r="K36" s="61" t="s">
        <v>489</v>
      </c>
    </row>
    <row r="37" spans="2:11" ht="12.75" thickBot="1" x14ac:dyDescent="0.2">
      <c r="B37" s="75" t="s">
        <v>554</v>
      </c>
      <c r="C37" s="82" t="s">
        <v>555</v>
      </c>
      <c r="D37" s="65" t="s">
        <v>456</v>
      </c>
      <c r="E37" s="65" t="s">
        <v>456</v>
      </c>
      <c r="F37" s="65" t="s">
        <v>456</v>
      </c>
      <c r="G37" s="65" t="s">
        <v>456</v>
      </c>
      <c r="H37" s="65" t="s">
        <v>456</v>
      </c>
      <c r="I37" s="65" t="s">
        <v>456</v>
      </c>
      <c r="J37" s="65" t="s">
        <v>456</v>
      </c>
      <c r="K37" s="65" t="s">
        <v>456</v>
      </c>
    </row>
    <row r="38" spans="2:11" ht="12.75" thickBot="1" x14ac:dyDescent="0.2">
      <c r="B38" s="75" t="s">
        <v>509</v>
      </c>
      <c r="C38" s="75" t="s">
        <v>510</v>
      </c>
      <c r="D38" s="61" t="s">
        <v>495</v>
      </c>
      <c r="E38" s="61" t="s">
        <v>489</v>
      </c>
      <c r="F38" s="61" t="s">
        <v>495</v>
      </c>
      <c r="G38" s="61" t="s">
        <v>489</v>
      </c>
      <c r="H38" s="61" t="s">
        <v>495</v>
      </c>
      <c r="I38" s="61" t="s">
        <v>552</v>
      </c>
      <c r="J38" s="61" t="s">
        <v>495</v>
      </c>
      <c r="K38" s="61" t="s">
        <v>489</v>
      </c>
    </row>
    <row r="39" spans="2:11" ht="12.75" thickBot="1" x14ac:dyDescent="0.2">
      <c r="B39" s="75" t="s">
        <v>511</v>
      </c>
      <c r="C39" s="75" t="s">
        <v>512</v>
      </c>
      <c r="D39" s="61" t="s">
        <v>495</v>
      </c>
      <c r="E39" s="61" t="s">
        <v>489</v>
      </c>
      <c r="F39" s="61" t="s">
        <v>495</v>
      </c>
      <c r="G39" s="61" t="s">
        <v>489</v>
      </c>
      <c r="H39" s="61" t="s">
        <v>495</v>
      </c>
      <c r="I39" s="61" t="s">
        <v>552</v>
      </c>
      <c r="J39" s="61" t="s">
        <v>495</v>
      </c>
      <c r="K39" s="61" t="s">
        <v>489</v>
      </c>
    </row>
    <row r="40" spans="2:11" ht="12.75" thickBot="1" x14ac:dyDescent="0.2">
      <c r="B40" s="75" t="s">
        <v>513</v>
      </c>
      <c r="C40" s="75" t="s">
        <v>514</v>
      </c>
      <c r="D40" s="61" t="s">
        <v>495</v>
      </c>
      <c r="E40" s="61" t="s">
        <v>489</v>
      </c>
      <c r="F40" s="61" t="s">
        <v>495</v>
      </c>
      <c r="G40" s="61" t="s">
        <v>489</v>
      </c>
      <c r="H40" s="61" t="s">
        <v>495</v>
      </c>
      <c r="I40" s="61" t="s">
        <v>552</v>
      </c>
      <c r="J40" s="61" t="s">
        <v>495</v>
      </c>
      <c r="K40" s="61" t="s">
        <v>489</v>
      </c>
    </row>
    <row r="41" spans="2:11" ht="12.75" thickBot="1" x14ac:dyDescent="0.2">
      <c r="B41" s="75" t="s">
        <v>515</v>
      </c>
      <c r="C41" s="75" t="s">
        <v>1278</v>
      </c>
      <c r="D41" s="61" t="s">
        <v>495</v>
      </c>
      <c r="E41" s="61" t="s">
        <v>489</v>
      </c>
      <c r="F41" s="61" t="s">
        <v>495</v>
      </c>
      <c r="G41" s="61" t="s">
        <v>489</v>
      </c>
      <c r="H41" s="61" t="s">
        <v>495</v>
      </c>
      <c r="I41" s="61" t="s">
        <v>552</v>
      </c>
      <c r="J41" s="61" t="s">
        <v>495</v>
      </c>
      <c r="K41" s="61" t="s">
        <v>489</v>
      </c>
    </row>
    <row r="42" spans="2:11" ht="24.75" thickBot="1" x14ac:dyDescent="0.2">
      <c r="B42" s="75" t="s">
        <v>516</v>
      </c>
      <c r="C42" s="75" t="s">
        <v>1279</v>
      </c>
      <c r="D42" s="61" t="s">
        <v>495</v>
      </c>
      <c r="E42" s="61" t="s">
        <v>489</v>
      </c>
      <c r="F42" s="61" t="s">
        <v>495</v>
      </c>
      <c r="G42" s="61" t="s">
        <v>489</v>
      </c>
      <c r="H42" s="61" t="s">
        <v>495</v>
      </c>
      <c r="I42" s="61" t="s">
        <v>552</v>
      </c>
      <c r="J42" s="61" t="s">
        <v>495</v>
      </c>
      <c r="K42" s="61" t="s">
        <v>489</v>
      </c>
    </row>
    <row r="43" spans="2:11" ht="24.75" thickBot="1" x14ac:dyDescent="0.2">
      <c r="B43" s="75" t="s">
        <v>517</v>
      </c>
      <c r="C43" s="75" t="s">
        <v>1280</v>
      </c>
      <c r="D43" s="61" t="s">
        <v>495</v>
      </c>
      <c r="E43" s="61" t="s">
        <v>489</v>
      </c>
      <c r="F43" s="61" t="s">
        <v>495</v>
      </c>
      <c r="G43" s="61" t="s">
        <v>489</v>
      </c>
      <c r="H43" s="61" t="s">
        <v>495</v>
      </c>
      <c r="I43" s="61" t="s">
        <v>552</v>
      </c>
      <c r="J43" s="61" t="s">
        <v>495</v>
      </c>
      <c r="K43" s="61" t="s">
        <v>489</v>
      </c>
    </row>
    <row r="44" spans="2:11" ht="12.75" thickBot="1" x14ac:dyDescent="0.2">
      <c r="B44" s="75" t="s">
        <v>518</v>
      </c>
      <c r="C44" s="75" t="s">
        <v>1281</v>
      </c>
      <c r="D44" s="61" t="s">
        <v>495</v>
      </c>
      <c r="E44" s="61" t="s">
        <v>489</v>
      </c>
      <c r="F44" s="61" t="s">
        <v>495</v>
      </c>
      <c r="G44" s="61" t="s">
        <v>489</v>
      </c>
      <c r="H44" s="61" t="s">
        <v>495</v>
      </c>
      <c r="I44" s="61" t="s">
        <v>552</v>
      </c>
      <c r="J44" s="61" t="s">
        <v>495</v>
      </c>
      <c r="K44" s="61" t="s">
        <v>489</v>
      </c>
    </row>
    <row r="45" spans="2:11" ht="24.75" thickBot="1" x14ac:dyDescent="0.2">
      <c r="B45" s="75" t="s">
        <v>519</v>
      </c>
      <c r="C45" s="75" t="s">
        <v>1282</v>
      </c>
      <c r="D45" s="61" t="s">
        <v>495</v>
      </c>
      <c r="E45" s="61" t="s">
        <v>489</v>
      </c>
      <c r="F45" s="61" t="s">
        <v>495</v>
      </c>
      <c r="G45" s="61" t="s">
        <v>489</v>
      </c>
      <c r="H45" s="61" t="s">
        <v>495</v>
      </c>
      <c r="I45" s="61" t="s">
        <v>552</v>
      </c>
      <c r="J45" s="61" t="s">
        <v>495</v>
      </c>
      <c r="K45" s="61" t="s">
        <v>489</v>
      </c>
    </row>
    <row r="46" spans="2:11" ht="24.75" thickBot="1" x14ac:dyDescent="0.2">
      <c r="B46" s="75" t="s">
        <v>520</v>
      </c>
      <c r="C46" s="75" t="s">
        <v>1283</v>
      </c>
      <c r="D46" s="61" t="s">
        <v>495</v>
      </c>
      <c r="E46" s="61" t="s">
        <v>489</v>
      </c>
      <c r="F46" s="61" t="s">
        <v>495</v>
      </c>
      <c r="G46" s="61" t="s">
        <v>489</v>
      </c>
      <c r="H46" s="61" t="s">
        <v>495</v>
      </c>
      <c r="I46" s="61" t="s">
        <v>552</v>
      </c>
      <c r="J46" s="61" t="s">
        <v>495</v>
      </c>
      <c r="K46" s="61" t="s">
        <v>489</v>
      </c>
    </row>
    <row r="47" spans="2:11" ht="24" thickBot="1" x14ac:dyDescent="0.2">
      <c r="B47" s="257" t="s">
        <v>1257</v>
      </c>
      <c r="C47" s="250" t="s">
        <v>1256</v>
      </c>
      <c r="D47" s="61" t="s">
        <v>495</v>
      </c>
      <c r="E47" s="61" t="s">
        <v>489</v>
      </c>
      <c r="F47" s="61" t="s">
        <v>495</v>
      </c>
      <c r="G47" s="61" t="s">
        <v>489</v>
      </c>
      <c r="H47" s="61" t="s">
        <v>495</v>
      </c>
      <c r="I47" s="61" t="s">
        <v>489</v>
      </c>
      <c r="J47" s="61" t="s">
        <v>495</v>
      </c>
      <c r="K47" s="61" t="s">
        <v>489</v>
      </c>
    </row>
    <row r="48" spans="2:11" ht="24.75" thickBot="1" x14ac:dyDescent="0.2">
      <c r="B48" s="249" t="s">
        <v>1255</v>
      </c>
      <c r="C48" s="75" t="s">
        <v>530</v>
      </c>
      <c r="D48" s="61" t="s">
        <v>495</v>
      </c>
      <c r="E48" s="61" t="s">
        <v>489</v>
      </c>
      <c r="F48" s="61" t="s">
        <v>495</v>
      </c>
      <c r="G48" s="61" t="s">
        <v>489</v>
      </c>
      <c r="H48" s="61" t="s">
        <v>495</v>
      </c>
      <c r="I48" s="61" t="s">
        <v>489</v>
      </c>
      <c r="J48" s="61" t="s">
        <v>495</v>
      </c>
      <c r="K48" s="61" t="s">
        <v>489</v>
      </c>
    </row>
    <row r="50" spans="11:11" x14ac:dyDescent="0.15">
      <c r="K50" s="83" t="s">
        <v>1288</v>
      </c>
    </row>
    <row r="51" spans="11:11" x14ac:dyDescent="0.15">
      <c r="K51" s="83"/>
    </row>
  </sheetData>
  <mergeCells count="5">
    <mergeCell ref="D3:E3"/>
    <mergeCell ref="H3:I3"/>
    <mergeCell ref="J3:K3"/>
    <mergeCell ref="F2:K2"/>
    <mergeCell ref="F3:G3"/>
  </mergeCells>
  <phoneticPr fontId="8"/>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B2:H76"/>
  <sheetViews>
    <sheetView zoomScale="130" zoomScaleNormal="130" workbookViewId="0">
      <selection activeCell="B77" sqref="B77"/>
    </sheetView>
  </sheetViews>
  <sheetFormatPr defaultRowHeight="12" x14ac:dyDescent="0.15"/>
  <cols>
    <col min="1" max="1" width="2.5703125" customWidth="1"/>
    <col min="2" max="4" width="10.7109375" customWidth="1"/>
    <col min="5" max="5" width="24.140625" customWidth="1"/>
    <col min="6" max="8" width="10.7109375" customWidth="1"/>
  </cols>
  <sheetData>
    <row r="2" spans="2:8" ht="12.75" thickBot="1" x14ac:dyDescent="0.2"/>
    <row r="3" spans="2:8" x14ac:dyDescent="0.15">
      <c r="B3" s="103" t="s">
        <v>645</v>
      </c>
      <c r="C3" s="103" t="s">
        <v>640</v>
      </c>
      <c r="D3" s="103" t="s">
        <v>641</v>
      </c>
      <c r="E3" s="267" t="s">
        <v>642</v>
      </c>
      <c r="F3" s="103" t="s">
        <v>653</v>
      </c>
      <c r="G3" s="269" t="s">
        <v>654</v>
      </c>
      <c r="H3" s="103" t="s">
        <v>646</v>
      </c>
    </row>
    <row r="4" spans="2:8" ht="12.75" thickBot="1" x14ac:dyDescent="0.2">
      <c r="B4" s="104" t="s">
        <v>639</v>
      </c>
      <c r="C4" s="104" t="s">
        <v>639</v>
      </c>
      <c r="D4" s="104" t="s">
        <v>639</v>
      </c>
      <c r="E4" s="268"/>
      <c r="F4" s="104" t="s">
        <v>639</v>
      </c>
      <c r="G4" s="270"/>
      <c r="H4" s="104" t="s">
        <v>639</v>
      </c>
    </row>
    <row r="5" spans="2:8" ht="12.75" thickBot="1" x14ac:dyDescent="0.2">
      <c r="B5" s="91" t="s">
        <v>559</v>
      </c>
      <c r="C5" s="91" t="s">
        <v>559</v>
      </c>
      <c r="D5" s="91" t="s">
        <v>559</v>
      </c>
      <c r="E5" s="87" t="s">
        <v>651</v>
      </c>
      <c r="F5" s="91" t="s">
        <v>559</v>
      </c>
      <c r="G5" s="91" t="s">
        <v>649</v>
      </c>
      <c r="H5" s="91"/>
    </row>
    <row r="6" spans="2:8" ht="12.75" thickBot="1" x14ac:dyDescent="0.2">
      <c r="B6" s="91" t="s">
        <v>559</v>
      </c>
      <c r="C6" s="91" t="s">
        <v>559</v>
      </c>
      <c r="D6" s="87" t="s">
        <v>643</v>
      </c>
      <c r="E6" s="87" t="s">
        <v>651</v>
      </c>
      <c r="F6" s="91" t="s">
        <v>559</v>
      </c>
      <c r="G6" s="91" t="s">
        <v>559</v>
      </c>
      <c r="H6" s="91"/>
    </row>
    <row r="7" spans="2:8" ht="12.75" thickBot="1" x14ac:dyDescent="0.2">
      <c r="B7" s="158" t="s">
        <v>559</v>
      </c>
      <c r="C7" s="158" t="s">
        <v>559</v>
      </c>
      <c r="D7" s="158" t="s">
        <v>559</v>
      </c>
      <c r="E7" s="159" t="s">
        <v>651</v>
      </c>
      <c r="F7" s="158" t="s">
        <v>559</v>
      </c>
      <c r="G7" s="158" t="s">
        <v>559</v>
      </c>
      <c r="H7" s="159" t="s">
        <v>646</v>
      </c>
    </row>
    <row r="8" spans="2:8" ht="12.75" thickBot="1" x14ac:dyDescent="0.2">
      <c r="B8" s="158" t="s">
        <v>559</v>
      </c>
      <c r="C8" s="158" t="s">
        <v>559</v>
      </c>
      <c r="D8" s="159" t="s">
        <v>643</v>
      </c>
      <c r="E8" s="159" t="s">
        <v>651</v>
      </c>
      <c r="F8" s="158" t="s">
        <v>559</v>
      </c>
      <c r="G8" s="158" t="s">
        <v>559</v>
      </c>
      <c r="H8" s="159" t="s">
        <v>646</v>
      </c>
    </row>
    <row r="9" spans="2:8" ht="12.75" thickBot="1" x14ac:dyDescent="0.2">
      <c r="B9" s="91" t="s">
        <v>559</v>
      </c>
      <c r="C9" s="91" t="s">
        <v>559</v>
      </c>
      <c r="D9" s="91" t="s">
        <v>559</v>
      </c>
      <c r="E9" s="87" t="s">
        <v>648</v>
      </c>
      <c r="F9" s="91" t="s">
        <v>559</v>
      </c>
      <c r="G9" s="91" t="s">
        <v>559</v>
      </c>
      <c r="H9" s="87"/>
    </row>
    <row r="10" spans="2:8" ht="12.75" thickBot="1" x14ac:dyDescent="0.2">
      <c r="B10" s="91" t="s">
        <v>559</v>
      </c>
      <c r="C10" s="91" t="s">
        <v>559</v>
      </c>
      <c r="D10" s="87" t="s">
        <v>643</v>
      </c>
      <c r="E10" s="87" t="s">
        <v>648</v>
      </c>
      <c r="F10" s="91" t="s">
        <v>559</v>
      </c>
      <c r="G10" s="91" t="s">
        <v>559</v>
      </c>
      <c r="H10" s="87"/>
    </row>
    <row r="11" spans="2:8" ht="12.75" thickBot="1" x14ac:dyDescent="0.2">
      <c r="B11" s="158" t="s">
        <v>559</v>
      </c>
      <c r="C11" s="158" t="s">
        <v>559</v>
      </c>
      <c r="D11" s="158" t="s">
        <v>559</v>
      </c>
      <c r="E11" s="159" t="s">
        <v>648</v>
      </c>
      <c r="F11" s="158" t="s">
        <v>559</v>
      </c>
      <c r="G11" s="158" t="s">
        <v>559</v>
      </c>
      <c r="H11" s="159" t="s">
        <v>646</v>
      </c>
    </row>
    <row r="12" spans="2:8" ht="12.75" thickBot="1" x14ac:dyDescent="0.2">
      <c r="B12" s="158" t="s">
        <v>559</v>
      </c>
      <c r="C12" s="158" t="s">
        <v>559</v>
      </c>
      <c r="D12" s="159" t="s">
        <v>643</v>
      </c>
      <c r="E12" s="159" t="s">
        <v>648</v>
      </c>
      <c r="F12" s="158" t="s">
        <v>559</v>
      </c>
      <c r="G12" s="158" t="s">
        <v>559</v>
      </c>
      <c r="H12" s="159" t="s">
        <v>646</v>
      </c>
    </row>
    <row r="13" spans="2:8" ht="12.75" thickBot="1" x14ac:dyDescent="0.2">
      <c r="B13" s="101"/>
      <c r="C13" s="101"/>
      <c r="D13" s="101"/>
      <c r="E13" s="102"/>
      <c r="F13" s="101"/>
      <c r="G13" s="101"/>
      <c r="H13" s="102"/>
    </row>
    <row r="14" spans="2:8" ht="12.75" thickBot="1" x14ac:dyDescent="0.2">
      <c r="B14" s="91" t="s">
        <v>559</v>
      </c>
      <c r="C14" s="91" t="s">
        <v>559</v>
      </c>
      <c r="D14" s="91" t="s">
        <v>559</v>
      </c>
      <c r="E14" s="75" t="s">
        <v>509</v>
      </c>
      <c r="F14" s="91" t="s">
        <v>559</v>
      </c>
      <c r="G14" s="91" t="s">
        <v>559</v>
      </c>
      <c r="H14" s="91" t="s">
        <v>559</v>
      </c>
    </row>
    <row r="15" spans="2:8" ht="12.75" thickBot="1" x14ac:dyDescent="0.2">
      <c r="B15" s="91" t="s">
        <v>559</v>
      </c>
      <c r="C15" s="91" t="s">
        <v>559</v>
      </c>
      <c r="D15" s="87" t="s">
        <v>643</v>
      </c>
      <c r="E15" s="75" t="s">
        <v>509</v>
      </c>
      <c r="F15" s="91" t="s">
        <v>559</v>
      </c>
      <c r="G15" s="91" t="s">
        <v>559</v>
      </c>
      <c r="H15" s="91" t="s">
        <v>559</v>
      </c>
    </row>
    <row r="16" spans="2:8" ht="12.75" hidden="1" thickBot="1" x14ac:dyDescent="0.2">
      <c r="B16" s="105" t="s">
        <v>559</v>
      </c>
      <c r="C16" s="105" t="s">
        <v>559</v>
      </c>
      <c r="D16" s="106" t="s">
        <v>644</v>
      </c>
      <c r="E16" s="107" t="s">
        <v>509</v>
      </c>
      <c r="F16" s="105" t="s">
        <v>559</v>
      </c>
      <c r="G16" s="105" t="s">
        <v>559</v>
      </c>
      <c r="H16" s="105" t="s">
        <v>559</v>
      </c>
    </row>
    <row r="17" spans="2:8" ht="12.75" thickBot="1" x14ac:dyDescent="0.2">
      <c r="B17" s="91" t="s">
        <v>559</v>
      </c>
      <c r="C17" s="87" t="s">
        <v>640</v>
      </c>
      <c r="D17" s="91" t="s">
        <v>559</v>
      </c>
      <c r="E17" s="75" t="s">
        <v>509</v>
      </c>
      <c r="F17" s="91" t="s">
        <v>559</v>
      </c>
      <c r="G17" s="91" t="s">
        <v>559</v>
      </c>
      <c r="H17" s="91" t="s">
        <v>559</v>
      </c>
    </row>
    <row r="18" spans="2:8" ht="12.75" thickBot="1" x14ac:dyDescent="0.2">
      <c r="B18" s="91" t="s">
        <v>559</v>
      </c>
      <c r="C18" s="87" t="s">
        <v>640</v>
      </c>
      <c r="D18" s="87" t="s">
        <v>643</v>
      </c>
      <c r="E18" s="75" t="s">
        <v>509</v>
      </c>
      <c r="F18" s="91" t="s">
        <v>559</v>
      </c>
      <c r="G18" s="91" t="s">
        <v>559</v>
      </c>
      <c r="H18" s="91" t="s">
        <v>559</v>
      </c>
    </row>
    <row r="19" spans="2:8" ht="12.75" hidden="1" thickBot="1" x14ac:dyDescent="0.2">
      <c r="B19" s="105" t="s">
        <v>559</v>
      </c>
      <c r="C19" s="106" t="s">
        <v>640</v>
      </c>
      <c r="D19" s="106" t="s">
        <v>644</v>
      </c>
      <c r="E19" s="107" t="s">
        <v>509</v>
      </c>
      <c r="F19" s="105" t="s">
        <v>559</v>
      </c>
      <c r="G19" s="105" t="s">
        <v>559</v>
      </c>
      <c r="H19" s="105" t="s">
        <v>559</v>
      </c>
    </row>
    <row r="20" spans="2:8" ht="12.75" thickBot="1" x14ac:dyDescent="0.2">
      <c r="B20" s="87" t="s">
        <v>638</v>
      </c>
      <c r="C20" s="91" t="s">
        <v>559</v>
      </c>
      <c r="D20" s="91" t="s">
        <v>559</v>
      </c>
      <c r="E20" s="75" t="s">
        <v>509</v>
      </c>
      <c r="F20" s="91" t="s">
        <v>559</v>
      </c>
      <c r="G20" s="91" t="s">
        <v>559</v>
      </c>
      <c r="H20" s="91" t="s">
        <v>559</v>
      </c>
    </row>
    <row r="21" spans="2:8" ht="12.75" thickBot="1" x14ac:dyDescent="0.2">
      <c r="B21" s="87" t="s">
        <v>638</v>
      </c>
      <c r="C21" s="91" t="s">
        <v>559</v>
      </c>
      <c r="D21" s="87" t="s">
        <v>643</v>
      </c>
      <c r="E21" s="75" t="s">
        <v>509</v>
      </c>
      <c r="F21" s="91" t="s">
        <v>559</v>
      </c>
      <c r="G21" s="91" t="s">
        <v>559</v>
      </c>
      <c r="H21" s="91" t="s">
        <v>559</v>
      </c>
    </row>
    <row r="22" spans="2:8" ht="12.75" hidden="1" thickBot="1" x14ac:dyDescent="0.2">
      <c r="B22" s="106" t="s">
        <v>638</v>
      </c>
      <c r="C22" s="105" t="s">
        <v>559</v>
      </c>
      <c r="D22" s="106" t="s">
        <v>644</v>
      </c>
      <c r="E22" s="107" t="s">
        <v>509</v>
      </c>
      <c r="F22" s="105" t="s">
        <v>559</v>
      </c>
      <c r="G22" s="105" t="s">
        <v>559</v>
      </c>
      <c r="H22" s="105" t="s">
        <v>559</v>
      </c>
    </row>
    <row r="23" spans="2:8" ht="12.75" thickBot="1" x14ac:dyDescent="0.2">
      <c r="B23" s="87" t="s">
        <v>638</v>
      </c>
      <c r="C23" s="87" t="s">
        <v>640</v>
      </c>
      <c r="D23" s="91" t="s">
        <v>559</v>
      </c>
      <c r="E23" s="75" t="s">
        <v>509</v>
      </c>
      <c r="F23" s="91" t="s">
        <v>559</v>
      </c>
      <c r="G23" s="91" t="s">
        <v>559</v>
      </c>
      <c r="H23" s="91" t="s">
        <v>559</v>
      </c>
    </row>
    <row r="24" spans="2:8" ht="12.75" thickBot="1" x14ac:dyDescent="0.2">
      <c r="B24" s="87" t="s">
        <v>638</v>
      </c>
      <c r="C24" s="87" t="s">
        <v>640</v>
      </c>
      <c r="D24" s="87" t="s">
        <v>643</v>
      </c>
      <c r="E24" s="75" t="s">
        <v>509</v>
      </c>
      <c r="F24" s="91" t="s">
        <v>559</v>
      </c>
      <c r="G24" s="91" t="s">
        <v>559</v>
      </c>
      <c r="H24" s="91" t="s">
        <v>559</v>
      </c>
    </row>
    <row r="25" spans="2:8" ht="12.75" hidden="1" thickBot="1" x14ac:dyDescent="0.2">
      <c r="B25" s="106" t="s">
        <v>638</v>
      </c>
      <c r="C25" s="106" t="s">
        <v>640</v>
      </c>
      <c r="D25" s="106" t="s">
        <v>644</v>
      </c>
      <c r="E25" s="107" t="s">
        <v>509</v>
      </c>
      <c r="F25" s="105" t="s">
        <v>559</v>
      </c>
      <c r="G25" s="105" t="s">
        <v>559</v>
      </c>
      <c r="H25" s="105" t="s">
        <v>559</v>
      </c>
    </row>
    <row r="26" spans="2:8" ht="12.75" thickBot="1" x14ac:dyDescent="0.2">
      <c r="B26" s="91" t="s">
        <v>559</v>
      </c>
      <c r="C26" s="91" t="s">
        <v>559</v>
      </c>
      <c r="D26" s="91" t="s">
        <v>559</v>
      </c>
      <c r="E26" s="75" t="s">
        <v>511</v>
      </c>
      <c r="F26" s="91" t="s">
        <v>559</v>
      </c>
      <c r="G26" s="91" t="s">
        <v>559</v>
      </c>
      <c r="H26" s="91" t="s">
        <v>559</v>
      </c>
    </row>
    <row r="27" spans="2:8" ht="12.75" thickBot="1" x14ac:dyDescent="0.2">
      <c r="B27" s="91" t="s">
        <v>559</v>
      </c>
      <c r="C27" s="91" t="s">
        <v>559</v>
      </c>
      <c r="D27" s="87" t="s">
        <v>643</v>
      </c>
      <c r="E27" s="75" t="s">
        <v>511</v>
      </c>
      <c r="F27" s="91" t="s">
        <v>559</v>
      </c>
      <c r="G27" s="91" t="s">
        <v>559</v>
      </c>
      <c r="H27" s="91" t="s">
        <v>559</v>
      </c>
    </row>
    <row r="28" spans="2:8" ht="12.75" hidden="1" thickBot="1" x14ac:dyDescent="0.2">
      <c r="B28" s="105" t="s">
        <v>559</v>
      </c>
      <c r="C28" s="105" t="s">
        <v>559</v>
      </c>
      <c r="D28" s="106" t="s">
        <v>644</v>
      </c>
      <c r="E28" s="107" t="s">
        <v>511</v>
      </c>
      <c r="F28" s="105" t="s">
        <v>559</v>
      </c>
      <c r="G28" s="105" t="s">
        <v>559</v>
      </c>
      <c r="H28" s="105" t="s">
        <v>559</v>
      </c>
    </row>
    <row r="29" spans="2:8" ht="12.75" thickBot="1" x14ac:dyDescent="0.2">
      <c r="B29" s="91" t="s">
        <v>559</v>
      </c>
      <c r="C29" s="87" t="s">
        <v>640</v>
      </c>
      <c r="D29" s="91" t="s">
        <v>559</v>
      </c>
      <c r="E29" s="75" t="s">
        <v>511</v>
      </c>
      <c r="F29" s="91" t="s">
        <v>559</v>
      </c>
      <c r="G29" s="91" t="s">
        <v>559</v>
      </c>
      <c r="H29" s="91" t="s">
        <v>559</v>
      </c>
    </row>
    <row r="30" spans="2:8" ht="12.75" thickBot="1" x14ac:dyDescent="0.2">
      <c r="B30" s="91" t="s">
        <v>559</v>
      </c>
      <c r="C30" s="87" t="s">
        <v>640</v>
      </c>
      <c r="D30" s="87" t="s">
        <v>643</v>
      </c>
      <c r="E30" s="75" t="s">
        <v>511</v>
      </c>
      <c r="F30" s="91" t="s">
        <v>559</v>
      </c>
      <c r="G30" s="91" t="s">
        <v>559</v>
      </c>
      <c r="H30" s="91" t="s">
        <v>559</v>
      </c>
    </row>
    <row r="31" spans="2:8" ht="12.75" hidden="1" thickBot="1" x14ac:dyDescent="0.2">
      <c r="B31" s="105" t="s">
        <v>559</v>
      </c>
      <c r="C31" s="106" t="s">
        <v>640</v>
      </c>
      <c r="D31" s="106" t="s">
        <v>644</v>
      </c>
      <c r="E31" s="107" t="s">
        <v>511</v>
      </c>
      <c r="F31" s="105" t="s">
        <v>559</v>
      </c>
      <c r="G31" s="105" t="s">
        <v>559</v>
      </c>
      <c r="H31" s="105" t="s">
        <v>559</v>
      </c>
    </row>
    <row r="32" spans="2:8" ht="12.75" thickBot="1" x14ac:dyDescent="0.2">
      <c r="B32" s="87" t="s">
        <v>638</v>
      </c>
      <c r="C32" s="91" t="s">
        <v>559</v>
      </c>
      <c r="D32" s="91" t="s">
        <v>559</v>
      </c>
      <c r="E32" s="75" t="s">
        <v>511</v>
      </c>
      <c r="F32" s="91" t="s">
        <v>559</v>
      </c>
      <c r="G32" s="91" t="s">
        <v>559</v>
      </c>
      <c r="H32" s="91" t="s">
        <v>559</v>
      </c>
    </row>
    <row r="33" spans="2:8" ht="12.75" thickBot="1" x14ac:dyDescent="0.2">
      <c r="B33" s="87" t="s">
        <v>638</v>
      </c>
      <c r="C33" s="91" t="s">
        <v>559</v>
      </c>
      <c r="D33" s="87" t="s">
        <v>643</v>
      </c>
      <c r="E33" s="75" t="s">
        <v>511</v>
      </c>
      <c r="F33" s="91" t="s">
        <v>559</v>
      </c>
      <c r="G33" s="91" t="s">
        <v>559</v>
      </c>
      <c r="H33" s="91" t="s">
        <v>559</v>
      </c>
    </row>
    <row r="34" spans="2:8" ht="12.75" hidden="1" thickBot="1" x14ac:dyDescent="0.2">
      <c r="B34" s="106" t="s">
        <v>638</v>
      </c>
      <c r="C34" s="105" t="s">
        <v>559</v>
      </c>
      <c r="D34" s="106" t="s">
        <v>644</v>
      </c>
      <c r="E34" s="107" t="s">
        <v>511</v>
      </c>
      <c r="F34" s="105" t="s">
        <v>559</v>
      </c>
      <c r="G34" s="105" t="s">
        <v>559</v>
      </c>
      <c r="H34" s="105" t="s">
        <v>559</v>
      </c>
    </row>
    <row r="35" spans="2:8" ht="12.75" thickBot="1" x14ac:dyDescent="0.2">
      <c r="B35" s="87" t="s">
        <v>638</v>
      </c>
      <c r="C35" s="87" t="s">
        <v>640</v>
      </c>
      <c r="D35" s="91" t="s">
        <v>559</v>
      </c>
      <c r="E35" s="75" t="s">
        <v>511</v>
      </c>
      <c r="F35" s="91" t="s">
        <v>559</v>
      </c>
      <c r="G35" s="91" t="s">
        <v>559</v>
      </c>
      <c r="H35" s="91" t="s">
        <v>559</v>
      </c>
    </row>
    <row r="36" spans="2:8" ht="12.75" thickBot="1" x14ac:dyDescent="0.2">
      <c r="B36" s="87" t="s">
        <v>638</v>
      </c>
      <c r="C36" s="87" t="s">
        <v>640</v>
      </c>
      <c r="D36" s="87" t="s">
        <v>643</v>
      </c>
      <c r="E36" s="75" t="s">
        <v>511</v>
      </c>
      <c r="F36" s="91" t="s">
        <v>559</v>
      </c>
      <c r="G36" s="91" t="s">
        <v>559</v>
      </c>
      <c r="H36" s="91" t="s">
        <v>559</v>
      </c>
    </row>
    <row r="37" spans="2:8" ht="12.75" hidden="1" thickBot="1" x14ac:dyDescent="0.2">
      <c r="B37" s="106" t="s">
        <v>638</v>
      </c>
      <c r="C37" s="106" t="s">
        <v>640</v>
      </c>
      <c r="D37" s="106" t="s">
        <v>644</v>
      </c>
      <c r="E37" s="107" t="s">
        <v>511</v>
      </c>
      <c r="F37" s="105" t="s">
        <v>559</v>
      </c>
      <c r="G37" s="105" t="s">
        <v>559</v>
      </c>
      <c r="H37" s="105" t="s">
        <v>559</v>
      </c>
    </row>
    <row r="38" spans="2:8" ht="12.75" thickBot="1" x14ac:dyDescent="0.2">
      <c r="B38" s="91" t="s">
        <v>559</v>
      </c>
      <c r="C38" s="91" t="s">
        <v>559</v>
      </c>
      <c r="D38" s="91" t="s">
        <v>559</v>
      </c>
      <c r="E38" s="75" t="s">
        <v>511</v>
      </c>
      <c r="F38" s="87" t="s">
        <v>652</v>
      </c>
      <c r="G38" s="91" t="s">
        <v>559</v>
      </c>
      <c r="H38" s="91" t="s">
        <v>559</v>
      </c>
    </row>
    <row r="39" spans="2:8" ht="12.75" thickBot="1" x14ac:dyDescent="0.2">
      <c r="B39" s="91" t="s">
        <v>559</v>
      </c>
      <c r="C39" s="91" t="s">
        <v>559</v>
      </c>
      <c r="D39" s="87" t="s">
        <v>643</v>
      </c>
      <c r="E39" s="75" t="s">
        <v>511</v>
      </c>
      <c r="F39" s="87" t="s">
        <v>653</v>
      </c>
      <c r="G39" s="91" t="s">
        <v>559</v>
      </c>
      <c r="H39" s="91" t="s">
        <v>559</v>
      </c>
    </row>
    <row r="40" spans="2:8" ht="12.75" hidden="1" thickBot="1" x14ac:dyDescent="0.2">
      <c r="B40" s="105" t="s">
        <v>559</v>
      </c>
      <c r="C40" s="105" t="s">
        <v>559</v>
      </c>
      <c r="D40" s="106" t="s">
        <v>644</v>
      </c>
      <c r="E40" s="107" t="s">
        <v>511</v>
      </c>
      <c r="F40" s="106" t="s">
        <v>652</v>
      </c>
      <c r="G40" s="105" t="s">
        <v>559</v>
      </c>
      <c r="H40" s="105" t="s">
        <v>559</v>
      </c>
    </row>
    <row r="41" spans="2:8" ht="12.75" thickBot="1" x14ac:dyDescent="0.2">
      <c r="B41" s="91" t="s">
        <v>559</v>
      </c>
      <c r="C41" s="87" t="s">
        <v>640</v>
      </c>
      <c r="D41" s="91" t="s">
        <v>559</v>
      </c>
      <c r="E41" s="75" t="s">
        <v>511</v>
      </c>
      <c r="F41" s="87" t="s">
        <v>652</v>
      </c>
      <c r="G41" s="91" t="s">
        <v>559</v>
      </c>
      <c r="H41" s="91" t="s">
        <v>559</v>
      </c>
    </row>
    <row r="42" spans="2:8" ht="12.75" thickBot="1" x14ac:dyDescent="0.2">
      <c r="B42" s="91" t="s">
        <v>559</v>
      </c>
      <c r="C42" s="87" t="s">
        <v>640</v>
      </c>
      <c r="D42" s="87" t="s">
        <v>643</v>
      </c>
      <c r="E42" s="75" t="s">
        <v>511</v>
      </c>
      <c r="F42" s="87" t="s">
        <v>652</v>
      </c>
      <c r="G42" s="91" t="s">
        <v>559</v>
      </c>
      <c r="H42" s="91" t="s">
        <v>559</v>
      </c>
    </row>
    <row r="43" spans="2:8" ht="12.75" hidden="1" thickBot="1" x14ac:dyDescent="0.2">
      <c r="B43" s="105" t="s">
        <v>559</v>
      </c>
      <c r="C43" s="106" t="s">
        <v>640</v>
      </c>
      <c r="D43" s="106" t="s">
        <v>644</v>
      </c>
      <c r="E43" s="107" t="s">
        <v>511</v>
      </c>
      <c r="F43" s="106" t="s">
        <v>652</v>
      </c>
      <c r="G43" s="105" t="s">
        <v>559</v>
      </c>
      <c r="H43" s="105" t="s">
        <v>559</v>
      </c>
    </row>
    <row r="44" spans="2:8" ht="12.75" thickBot="1" x14ac:dyDescent="0.2">
      <c r="B44" s="87" t="s">
        <v>638</v>
      </c>
      <c r="C44" s="91" t="s">
        <v>559</v>
      </c>
      <c r="D44" s="91" t="s">
        <v>559</v>
      </c>
      <c r="E44" s="75" t="s">
        <v>511</v>
      </c>
      <c r="F44" s="87" t="s">
        <v>652</v>
      </c>
      <c r="G44" s="91" t="s">
        <v>559</v>
      </c>
      <c r="H44" s="91" t="s">
        <v>559</v>
      </c>
    </row>
    <row r="45" spans="2:8" ht="12.75" thickBot="1" x14ac:dyDescent="0.2">
      <c r="B45" s="87" t="s">
        <v>638</v>
      </c>
      <c r="C45" s="91" t="s">
        <v>559</v>
      </c>
      <c r="D45" s="87" t="s">
        <v>643</v>
      </c>
      <c r="E45" s="75" t="s">
        <v>511</v>
      </c>
      <c r="F45" s="87" t="s">
        <v>652</v>
      </c>
      <c r="G45" s="91" t="s">
        <v>559</v>
      </c>
      <c r="H45" s="91" t="s">
        <v>559</v>
      </c>
    </row>
    <row r="46" spans="2:8" ht="12.75" hidden="1" thickBot="1" x14ac:dyDescent="0.2">
      <c r="B46" s="106" t="s">
        <v>638</v>
      </c>
      <c r="C46" s="105" t="s">
        <v>559</v>
      </c>
      <c r="D46" s="106" t="s">
        <v>644</v>
      </c>
      <c r="E46" s="107" t="s">
        <v>511</v>
      </c>
      <c r="F46" s="106" t="s">
        <v>652</v>
      </c>
      <c r="G46" s="105" t="s">
        <v>559</v>
      </c>
      <c r="H46" s="105" t="s">
        <v>559</v>
      </c>
    </row>
    <row r="47" spans="2:8" ht="12.75" thickBot="1" x14ac:dyDescent="0.2">
      <c r="B47" s="87" t="s">
        <v>638</v>
      </c>
      <c r="C47" s="87" t="s">
        <v>640</v>
      </c>
      <c r="D47" s="91" t="s">
        <v>559</v>
      </c>
      <c r="E47" s="75" t="s">
        <v>511</v>
      </c>
      <c r="F47" s="87" t="s">
        <v>652</v>
      </c>
      <c r="G47" s="91" t="s">
        <v>559</v>
      </c>
      <c r="H47" s="91" t="s">
        <v>559</v>
      </c>
    </row>
    <row r="48" spans="2:8" ht="12.75" thickBot="1" x14ac:dyDescent="0.2">
      <c r="B48" s="87" t="s">
        <v>638</v>
      </c>
      <c r="C48" s="87" t="s">
        <v>640</v>
      </c>
      <c r="D48" s="87" t="s">
        <v>643</v>
      </c>
      <c r="E48" s="75" t="s">
        <v>511</v>
      </c>
      <c r="F48" s="87" t="s">
        <v>652</v>
      </c>
      <c r="G48" s="91" t="s">
        <v>559</v>
      </c>
      <c r="H48" s="91" t="s">
        <v>559</v>
      </c>
    </row>
    <row r="49" spans="2:8" ht="12.75" hidden="1" thickBot="1" x14ac:dyDescent="0.2">
      <c r="B49" s="106" t="s">
        <v>638</v>
      </c>
      <c r="C49" s="106" t="s">
        <v>640</v>
      </c>
      <c r="D49" s="106" t="s">
        <v>644</v>
      </c>
      <c r="E49" s="107" t="s">
        <v>511</v>
      </c>
      <c r="F49" s="106" t="s">
        <v>652</v>
      </c>
      <c r="G49" s="105" t="s">
        <v>559</v>
      </c>
      <c r="H49" s="105" t="s">
        <v>559</v>
      </c>
    </row>
    <row r="50" spans="2:8" ht="12.75" thickBot="1" x14ac:dyDescent="0.2">
      <c r="B50" s="91" t="s">
        <v>559</v>
      </c>
      <c r="C50" s="91" t="s">
        <v>559</v>
      </c>
      <c r="D50" s="91" t="s">
        <v>559</v>
      </c>
      <c r="E50" s="75" t="s">
        <v>513</v>
      </c>
      <c r="F50" s="91" t="s">
        <v>559</v>
      </c>
      <c r="G50" s="87" t="s">
        <v>521</v>
      </c>
      <c r="H50" s="91" t="s">
        <v>559</v>
      </c>
    </row>
    <row r="51" spans="2:8" ht="12.75" thickBot="1" x14ac:dyDescent="0.2">
      <c r="B51" s="91" t="s">
        <v>559</v>
      </c>
      <c r="C51" s="91" t="s">
        <v>559</v>
      </c>
      <c r="D51" s="87" t="s">
        <v>643</v>
      </c>
      <c r="E51" s="75" t="s">
        <v>513</v>
      </c>
      <c r="F51" s="91" t="s">
        <v>559</v>
      </c>
      <c r="G51" s="87" t="s">
        <v>521</v>
      </c>
      <c r="H51" s="91" t="s">
        <v>559</v>
      </c>
    </row>
    <row r="52" spans="2:8" ht="12.75" hidden="1" thickBot="1" x14ac:dyDescent="0.2">
      <c r="B52" s="105" t="s">
        <v>559</v>
      </c>
      <c r="C52" s="105" t="s">
        <v>559</v>
      </c>
      <c r="D52" s="106" t="s">
        <v>644</v>
      </c>
      <c r="E52" s="107" t="s">
        <v>509</v>
      </c>
      <c r="F52" s="105" t="s">
        <v>559</v>
      </c>
      <c r="G52" s="106" t="s">
        <v>521</v>
      </c>
      <c r="H52" s="105" t="s">
        <v>559</v>
      </c>
    </row>
    <row r="53" spans="2:8" ht="12.75" thickBot="1" x14ac:dyDescent="0.2">
      <c r="B53" s="91" t="s">
        <v>559</v>
      </c>
      <c r="C53" s="87" t="s">
        <v>640</v>
      </c>
      <c r="D53" s="91" t="s">
        <v>559</v>
      </c>
      <c r="E53" s="75" t="s">
        <v>513</v>
      </c>
      <c r="F53" s="91" t="s">
        <v>559</v>
      </c>
      <c r="G53" s="87" t="s">
        <v>521</v>
      </c>
      <c r="H53" s="91" t="s">
        <v>559</v>
      </c>
    </row>
    <row r="54" spans="2:8" ht="12.75" thickBot="1" x14ac:dyDescent="0.2">
      <c r="B54" s="91" t="s">
        <v>559</v>
      </c>
      <c r="C54" s="87" t="s">
        <v>640</v>
      </c>
      <c r="D54" s="87" t="s">
        <v>643</v>
      </c>
      <c r="E54" s="75" t="s">
        <v>513</v>
      </c>
      <c r="F54" s="91" t="s">
        <v>559</v>
      </c>
      <c r="G54" s="87" t="s">
        <v>521</v>
      </c>
      <c r="H54" s="91" t="s">
        <v>559</v>
      </c>
    </row>
    <row r="55" spans="2:8" ht="12.75" hidden="1" thickBot="1" x14ac:dyDescent="0.2">
      <c r="B55" s="105" t="s">
        <v>559</v>
      </c>
      <c r="C55" s="106" t="s">
        <v>640</v>
      </c>
      <c r="D55" s="106" t="s">
        <v>644</v>
      </c>
      <c r="E55" s="107" t="s">
        <v>509</v>
      </c>
      <c r="F55" s="105" t="s">
        <v>559</v>
      </c>
      <c r="G55" s="106" t="s">
        <v>521</v>
      </c>
      <c r="H55" s="105" t="s">
        <v>559</v>
      </c>
    </row>
    <row r="56" spans="2:8" ht="12.75" thickBot="1" x14ac:dyDescent="0.2">
      <c r="B56" s="87" t="s">
        <v>638</v>
      </c>
      <c r="C56" s="91" t="s">
        <v>559</v>
      </c>
      <c r="D56" s="91" t="s">
        <v>559</v>
      </c>
      <c r="E56" s="75" t="s">
        <v>513</v>
      </c>
      <c r="F56" s="91" t="s">
        <v>559</v>
      </c>
      <c r="G56" s="87" t="s">
        <v>521</v>
      </c>
      <c r="H56" s="91" t="s">
        <v>559</v>
      </c>
    </row>
    <row r="57" spans="2:8" ht="12.75" thickBot="1" x14ac:dyDescent="0.2">
      <c r="B57" s="87" t="s">
        <v>638</v>
      </c>
      <c r="C57" s="91" t="s">
        <v>559</v>
      </c>
      <c r="D57" s="87" t="s">
        <v>643</v>
      </c>
      <c r="E57" s="75" t="s">
        <v>513</v>
      </c>
      <c r="F57" s="91" t="s">
        <v>559</v>
      </c>
      <c r="G57" s="87" t="s">
        <v>521</v>
      </c>
      <c r="H57" s="91" t="s">
        <v>559</v>
      </c>
    </row>
    <row r="58" spans="2:8" ht="12.75" hidden="1" thickBot="1" x14ac:dyDescent="0.2">
      <c r="B58" s="106" t="s">
        <v>638</v>
      </c>
      <c r="C58" s="105" t="s">
        <v>559</v>
      </c>
      <c r="D58" s="106" t="s">
        <v>644</v>
      </c>
      <c r="E58" s="107" t="s">
        <v>509</v>
      </c>
      <c r="F58" s="105" t="s">
        <v>559</v>
      </c>
      <c r="G58" s="106" t="s">
        <v>521</v>
      </c>
      <c r="H58" s="105" t="s">
        <v>559</v>
      </c>
    </row>
    <row r="59" spans="2:8" ht="12.75" thickBot="1" x14ac:dyDescent="0.2">
      <c r="B59" s="87" t="s">
        <v>638</v>
      </c>
      <c r="C59" s="87" t="s">
        <v>640</v>
      </c>
      <c r="D59" s="91" t="s">
        <v>559</v>
      </c>
      <c r="E59" s="75" t="s">
        <v>513</v>
      </c>
      <c r="F59" s="91" t="s">
        <v>559</v>
      </c>
      <c r="G59" s="87" t="s">
        <v>521</v>
      </c>
      <c r="H59" s="91" t="s">
        <v>559</v>
      </c>
    </row>
    <row r="60" spans="2:8" ht="12.75" thickBot="1" x14ac:dyDescent="0.2">
      <c r="B60" s="87" t="s">
        <v>638</v>
      </c>
      <c r="C60" s="87" t="s">
        <v>640</v>
      </c>
      <c r="D60" s="87" t="s">
        <v>643</v>
      </c>
      <c r="E60" s="75" t="s">
        <v>513</v>
      </c>
      <c r="F60" s="91" t="s">
        <v>559</v>
      </c>
      <c r="G60" s="87" t="s">
        <v>521</v>
      </c>
      <c r="H60" s="91" t="s">
        <v>559</v>
      </c>
    </row>
    <row r="61" spans="2:8" ht="12.75" hidden="1" thickBot="1" x14ac:dyDescent="0.2">
      <c r="B61" s="106" t="s">
        <v>638</v>
      </c>
      <c r="C61" s="106" t="s">
        <v>640</v>
      </c>
      <c r="D61" s="106" t="s">
        <v>644</v>
      </c>
      <c r="E61" s="107" t="s">
        <v>509</v>
      </c>
      <c r="F61" s="105" t="s">
        <v>559</v>
      </c>
      <c r="G61" s="106" t="s">
        <v>521</v>
      </c>
      <c r="H61" s="105" t="s">
        <v>559</v>
      </c>
    </row>
    <row r="64" spans="2:8" x14ac:dyDescent="0.15">
      <c r="B64" s="125" t="s">
        <v>769</v>
      </c>
    </row>
    <row r="65" spans="2:2" x14ac:dyDescent="0.15">
      <c r="B65" s="118"/>
    </row>
    <row r="66" spans="2:2" x14ac:dyDescent="0.15">
      <c r="B66" s="118" t="s">
        <v>770</v>
      </c>
    </row>
    <row r="67" spans="2:2" x14ac:dyDescent="0.15">
      <c r="B67" s="118" t="s">
        <v>771</v>
      </c>
    </row>
    <row r="68" spans="2:2" x14ac:dyDescent="0.15">
      <c r="B68" s="118" t="s">
        <v>1043</v>
      </c>
    </row>
    <row r="69" spans="2:2" x14ac:dyDescent="0.15">
      <c r="B69" s="118" t="s">
        <v>1044</v>
      </c>
    </row>
    <row r="70" spans="2:2" x14ac:dyDescent="0.15">
      <c r="B70" s="118" t="s">
        <v>1040</v>
      </c>
    </row>
    <row r="71" spans="2:2" x14ac:dyDescent="0.15">
      <c r="B71" s="118" t="s">
        <v>1041</v>
      </c>
    </row>
    <row r="72" spans="2:2" x14ac:dyDescent="0.15">
      <c r="B72" s="118" t="s">
        <v>1042</v>
      </c>
    </row>
    <row r="73" spans="2:2" x14ac:dyDescent="0.15">
      <c r="B73" s="118" t="s">
        <v>1248</v>
      </c>
    </row>
    <row r="74" spans="2:2" x14ac:dyDescent="0.15">
      <c r="B74" s="118"/>
    </row>
    <row r="75" spans="2:2" x14ac:dyDescent="0.15">
      <c r="B75" s="125" t="s">
        <v>772</v>
      </c>
    </row>
    <row r="76" spans="2:2" x14ac:dyDescent="0.15">
      <c r="B76" s="118" t="s">
        <v>773</v>
      </c>
    </row>
  </sheetData>
  <autoFilter ref="B3:H61" xr:uid="{00000000-0009-0000-0000-000002000000}"/>
  <mergeCells count="2">
    <mergeCell ref="E3:E4"/>
    <mergeCell ref="G3:G4"/>
  </mergeCells>
  <phoneticPr fontId="8"/>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outlinePr summaryBelow="0" summaryRight="0"/>
  </sheetPr>
  <dimension ref="B1:R99"/>
  <sheetViews>
    <sheetView zoomScale="130" zoomScaleNormal="130" workbookViewId="0">
      <pane xSplit="4" ySplit="2" topLeftCell="E59" activePane="bottomRight" state="frozen"/>
      <selection pane="topRight" activeCell="E1" sqref="E1"/>
      <selection pane="bottomLeft" activeCell="A3" sqref="A3"/>
      <selection pane="bottomRight" activeCell="S83" sqref="S83"/>
    </sheetView>
  </sheetViews>
  <sheetFormatPr defaultRowHeight="12.75" outlineLevelCol="1" x14ac:dyDescent="0.2"/>
  <cols>
    <col min="1" max="1" width="3.7109375" style="92" customWidth="1"/>
    <col min="2" max="2" width="46.85546875" style="92" customWidth="1"/>
    <col min="3" max="3" width="10.42578125" style="92" customWidth="1"/>
    <col min="4" max="4" width="13.140625" style="92" customWidth="1"/>
    <col min="5" max="5" width="16" style="92" customWidth="1"/>
    <col min="6" max="6" width="29.7109375" style="92" customWidth="1"/>
    <col min="7" max="7" width="4.140625" style="92" customWidth="1" collapsed="1"/>
    <col min="8" max="9" width="5.7109375" style="92" hidden="1" customWidth="1" outlineLevel="1"/>
    <col min="10" max="13" width="5.7109375" style="148" hidden="1" customWidth="1" outlineLevel="1"/>
    <col min="14" max="14" width="2.5703125" style="92" hidden="1" customWidth="1" outlineLevel="1"/>
    <col min="15" max="18" width="28.140625" style="92" hidden="1" customWidth="1" outlineLevel="1"/>
    <col min="19" max="28" width="28.140625" style="92" customWidth="1"/>
    <col min="29" max="16384" width="9.140625" style="92"/>
  </cols>
  <sheetData>
    <row r="1" spans="2:15" ht="13.5" thickBot="1" x14ac:dyDescent="0.25"/>
    <row r="2" spans="2:15" ht="13.5" thickBot="1" x14ac:dyDescent="0.25">
      <c r="B2" s="93" t="s">
        <v>634</v>
      </c>
      <c r="C2" s="94" t="s">
        <v>635</v>
      </c>
      <c r="D2" s="94" t="s">
        <v>636</v>
      </c>
      <c r="E2" s="95" t="s">
        <v>637</v>
      </c>
      <c r="F2" s="95" t="s">
        <v>569</v>
      </c>
    </row>
    <row r="3" spans="2:15" ht="13.5" thickBot="1" x14ac:dyDescent="0.25">
      <c r="B3" s="271" t="s">
        <v>991</v>
      </c>
      <c r="C3" s="273" t="s">
        <v>992</v>
      </c>
      <c r="D3" s="273" t="s">
        <v>559</v>
      </c>
      <c r="E3" s="97" t="s">
        <v>560</v>
      </c>
      <c r="F3" s="98" t="s">
        <v>570</v>
      </c>
      <c r="H3" s="149" t="str">
        <f>IF(OR(I3="○",J3="○",K3="○",L3="○",M3="○"),"○","×")</f>
        <v>×</v>
      </c>
      <c r="I3" s="149" t="str">
        <f>IF('2.2.2. 標準構成とオプション(1)'!D6="S","×","○")</f>
        <v>×</v>
      </c>
      <c r="J3" s="149" t="s">
        <v>985</v>
      </c>
      <c r="K3" s="149" t="s">
        <v>985</v>
      </c>
      <c r="L3" s="149" t="s">
        <v>35</v>
      </c>
      <c r="M3" s="149" t="s">
        <v>35</v>
      </c>
      <c r="N3" s="147"/>
      <c r="O3" s="92" t="str">
        <f>'2.2.2. 標準構成とオプション(1)'!B6</f>
        <v>トレイ2</v>
      </c>
    </row>
    <row r="4" spans="2:15" ht="13.5" thickBot="1" x14ac:dyDescent="0.25">
      <c r="B4" s="272"/>
      <c r="C4" s="274"/>
      <c r="D4" s="274"/>
      <c r="E4" s="97" t="s">
        <v>561</v>
      </c>
      <c r="F4" s="98" t="s">
        <v>571</v>
      </c>
      <c r="H4" s="149" t="str">
        <f t="shared" ref="H4:H61" si="0">IF(OR(I4="○",J4="○",K4="○",L4="○",M4="○"),"○","×")</f>
        <v>×</v>
      </c>
      <c r="I4" s="149" t="str">
        <f>IF('2.2.2. 標準構成とオプション(1)'!D7="S","×","○")</f>
        <v>×</v>
      </c>
      <c r="J4" s="149" t="s">
        <v>35</v>
      </c>
      <c r="K4" s="149" t="s">
        <v>35</v>
      </c>
      <c r="L4" s="149" t="s">
        <v>35</v>
      </c>
      <c r="M4" s="149" t="s">
        <v>35</v>
      </c>
      <c r="N4" s="147"/>
      <c r="O4" s="92" t="str">
        <f>'2.2.2. 標準構成とオプション(1)'!B7</f>
        <v>トレイ3</v>
      </c>
    </row>
    <row r="5" spans="2:15" ht="13.5" thickBot="1" x14ac:dyDescent="0.25">
      <c r="B5" s="272"/>
      <c r="C5" s="274"/>
      <c r="D5" s="274"/>
      <c r="E5" s="97" t="s">
        <v>562</v>
      </c>
      <c r="F5" s="98" t="s">
        <v>572</v>
      </c>
      <c r="H5" s="149" t="str">
        <f t="shared" si="0"/>
        <v>×</v>
      </c>
      <c r="I5" s="149" t="str">
        <f>IF('2.2.2. 標準構成とオプション(1)'!D8="S","×","○")</f>
        <v>×</v>
      </c>
      <c r="J5" s="149" t="s">
        <v>35</v>
      </c>
      <c r="K5" s="149" t="s">
        <v>35</v>
      </c>
      <c r="L5" s="149" t="s">
        <v>35</v>
      </c>
      <c r="M5" s="149" t="s">
        <v>35</v>
      </c>
      <c r="N5" s="147"/>
      <c r="O5" s="92" t="str">
        <f>'2.2.2. 標準構成とオプション(1)'!B8</f>
        <v>トレイ4</v>
      </c>
    </row>
    <row r="6" spans="2:15" ht="13.5" thickBot="1" x14ac:dyDescent="0.25">
      <c r="B6" s="272"/>
      <c r="C6" s="274"/>
      <c r="D6" s="274"/>
      <c r="E6" s="97" t="s">
        <v>563</v>
      </c>
      <c r="F6" s="98" t="s">
        <v>573</v>
      </c>
      <c r="H6" s="149" t="str">
        <f t="shared" si="0"/>
        <v>○</v>
      </c>
      <c r="I6" s="149" t="str">
        <f>IF('2.2.2. 標準構成とオプション(1)'!D8&lt;&gt;"S","×","○")</f>
        <v>○</v>
      </c>
      <c r="J6" s="149" t="s">
        <v>35</v>
      </c>
      <c r="K6" s="149" t="s">
        <v>35</v>
      </c>
      <c r="L6" s="149" t="s">
        <v>35</v>
      </c>
      <c r="M6" s="149" t="s">
        <v>35</v>
      </c>
      <c r="N6" s="147"/>
      <c r="O6" s="92" t="str">
        <f>'2.2.2. 標準構成とオプション(1)'!B8</f>
        <v>トレイ4</v>
      </c>
    </row>
    <row r="7" spans="2:15" ht="13.5" thickBot="1" x14ac:dyDescent="0.25">
      <c r="B7" s="272"/>
      <c r="C7" s="274"/>
      <c r="D7" s="274"/>
      <c r="E7" s="97" t="s">
        <v>564</v>
      </c>
      <c r="F7" s="98" t="s">
        <v>574</v>
      </c>
      <c r="H7" s="149" t="str">
        <f t="shared" si="0"/>
        <v>○</v>
      </c>
      <c r="I7" s="149" t="str">
        <f>IF(OR(I17="○",I18="○",I19="○",I20="○",I21="○",I22="○"),"○","×")</f>
        <v>○</v>
      </c>
      <c r="J7" s="149" t="s">
        <v>35</v>
      </c>
      <c r="K7" s="149" t="s">
        <v>35</v>
      </c>
      <c r="L7" s="149" t="s">
        <v>35</v>
      </c>
      <c r="M7" s="149" t="s">
        <v>35</v>
      </c>
      <c r="N7" s="147"/>
      <c r="O7" s="152" t="s">
        <v>988</v>
      </c>
    </row>
    <row r="8" spans="2:15" ht="13.5" thickBot="1" x14ac:dyDescent="0.25">
      <c r="B8" s="272"/>
      <c r="C8" s="274"/>
      <c r="D8" s="274"/>
      <c r="E8" s="97" t="s">
        <v>565</v>
      </c>
      <c r="F8" s="98" t="s">
        <v>575</v>
      </c>
      <c r="H8" s="149" t="str">
        <f t="shared" si="0"/>
        <v>○</v>
      </c>
      <c r="I8" s="149" t="str">
        <f>IF(OR(I18="○",,I21="○",I22="○"),"○","×")</f>
        <v>○</v>
      </c>
      <c r="J8" s="149" t="s">
        <v>35</v>
      </c>
      <c r="K8" s="149" t="s">
        <v>35</v>
      </c>
      <c r="L8" s="149" t="s">
        <v>35</v>
      </c>
      <c r="M8" s="149" t="s">
        <v>35</v>
      </c>
      <c r="N8" s="147"/>
      <c r="O8" s="92" t="s">
        <v>989</v>
      </c>
    </row>
    <row r="9" spans="2:15" ht="13.5" thickBot="1" x14ac:dyDescent="0.25">
      <c r="B9" s="272"/>
      <c r="C9" s="274"/>
      <c r="D9" s="274"/>
      <c r="E9" s="97" t="s">
        <v>566</v>
      </c>
      <c r="F9" s="98" t="s">
        <v>576</v>
      </c>
      <c r="H9" s="149" t="str">
        <f t="shared" si="0"/>
        <v>×</v>
      </c>
      <c r="I9" s="149" t="str">
        <f>IF(OR(I24="○"),"○","×")</f>
        <v>×</v>
      </c>
      <c r="J9" s="149" t="s">
        <v>35</v>
      </c>
      <c r="K9" s="149" t="s">
        <v>35</v>
      </c>
      <c r="L9" s="149" t="s">
        <v>35</v>
      </c>
      <c r="M9" s="149" t="s">
        <v>35</v>
      </c>
      <c r="N9" s="147"/>
      <c r="O9" s="92" t="s">
        <v>990</v>
      </c>
    </row>
    <row r="10" spans="2:15" ht="13.5" thickBot="1" x14ac:dyDescent="0.25">
      <c r="B10" s="272"/>
      <c r="C10" s="274"/>
      <c r="D10" s="274"/>
      <c r="E10" s="97" t="s">
        <v>567</v>
      </c>
      <c r="F10" s="98" t="s">
        <v>577</v>
      </c>
      <c r="H10" s="149" t="str">
        <f t="shared" si="0"/>
        <v>×</v>
      </c>
      <c r="I10" s="149" t="str">
        <f>IF(OR(I24="○"),"○","×")</f>
        <v>×</v>
      </c>
      <c r="J10" s="149" t="s">
        <v>985</v>
      </c>
      <c r="K10" s="149" t="s">
        <v>985</v>
      </c>
      <c r="L10" s="149" t="s">
        <v>35</v>
      </c>
      <c r="M10" s="149" t="s">
        <v>35</v>
      </c>
      <c r="N10" s="147"/>
      <c r="O10" s="92" t="s">
        <v>990</v>
      </c>
    </row>
    <row r="11" spans="2:15" ht="13.5" thickBot="1" x14ac:dyDescent="0.25">
      <c r="B11" s="272"/>
      <c r="C11" s="274"/>
      <c r="D11" s="274"/>
      <c r="E11" s="97" t="s">
        <v>568</v>
      </c>
      <c r="F11" s="153" t="s">
        <v>578</v>
      </c>
      <c r="H11" s="149" t="str">
        <f t="shared" si="0"/>
        <v>×</v>
      </c>
      <c r="I11" s="149" t="s">
        <v>985</v>
      </c>
      <c r="J11" s="149" t="s">
        <v>985</v>
      </c>
      <c r="K11" s="149" t="s">
        <v>985</v>
      </c>
      <c r="L11" s="149" t="s">
        <v>35</v>
      </c>
      <c r="M11" s="149" t="s">
        <v>35</v>
      </c>
      <c r="N11" s="147"/>
      <c r="O11" s="151"/>
    </row>
    <row r="12" spans="2:15" ht="13.5" thickBot="1" x14ac:dyDescent="0.25">
      <c r="B12" s="96" t="s">
        <v>993</v>
      </c>
      <c r="C12" s="99" t="s">
        <v>994</v>
      </c>
      <c r="D12" s="99" t="s">
        <v>559</v>
      </c>
      <c r="E12" s="96" t="s">
        <v>1045</v>
      </c>
      <c r="F12" s="98" t="s">
        <v>579</v>
      </c>
      <c r="H12" s="149" t="str">
        <f t="shared" si="0"/>
        <v>○</v>
      </c>
      <c r="I12" s="149" t="str">
        <f>_xlfn.SWITCH('2.2.2. 標準構成とオプション(1)'!D9,"S","○","O","○",,"×")</f>
        <v>○</v>
      </c>
      <c r="J12" s="149" t="s">
        <v>985</v>
      </c>
      <c r="K12" s="149" t="s">
        <v>985</v>
      </c>
      <c r="L12" s="149" t="s">
        <v>35</v>
      </c>
      <c r="M12" s="149" t="s">
        <v>35</v>
      </c>
      <c r="N12" s="147"/>
      <c r="O12" s="92" t="str">
        <f>'2.2.2. 標準構成とオプション(1)'!B9</f>
        <v>SMH（手差しトレイ）</v>
      </c>
    </row>
    <row r="13" spans="2:15" ht="13.5" thickBot="1" x14ac:dyDescent="0.25">
      <c r="B13" s="96" t="s">
        <v>996</v>
      </c>
      <c r="C13" s="99" t="s">
        <v>992</v>
      </c>
      <c r="D13" s="99" t="s">
        <v>559</v>
      </c>
      <c r="E13" s="96" t="s">
        <v>995</v>
      </c>
      <c r="F13" s="98" t="s">
        <v>580</v>
      </c>
      <c r="H13" s="149" t="str">
        <f t="shared" si="0"/>
        <v>○</v>
      </c>
      <c r="I13" s="149" t="str">
        <f>_xlfn.SWITCH('2.2.2. 標準構成とオプション(1)'!D41,"S","○","O","○","－","×")</f>
        <v>○</v>
      </c>
      <c r="J13" s="149" t="s">
        <v>985</v>
      </c>
      <c r="K13" s="149" t="s">
        <v>985</v>
      </c>
      <c r="L13" s="149" t="s">
        <v>35</v>
      </c>
      <c r="M13" s="149" t="s">
        <v>35</v>
      </c>
      <c r="N13" s="147"/>
      <c r="O13" s="92" t="str">
        <f>'2.2.2. 標準構成とオプション(1)'!B41</f>
        <v>D2G-Finisher (Interposer Unit)</v>
      </c>
    </row>
    <row r="14" spans="2:15" ht="13.5" thickBot="1" x14ac:dyDescent="0.25">
      <c r="B14" s="96" t="s">
        <v>997</v>
      </c>
      <c r="C14" s="99" t="s">
        <v>992</v>
      </c>
      <c r="D14" s="99" t="s">
        <v>559</v>
      </c>
      <c r="E14" s="96" t="s">
        <v>995</v>
      </c>
      <c r="F14" s="98" t="s">
        <v>582</v>
      </c>
      <c r="H14" s="149" t="str">
        <f t="shared" si="0"/>
        <v>×</v>
      </c>
      <c r="I14" s="149" t="s">
        <v>985</v>
      </c>
      <c r="J14" s="149" t="s">
        <v>985</v>
      </c>
      <c r="K14" s="149" t="s">
        <v>985</v>
      </c>
      <c r="L14" s="149" t="s">
        <v>35</v>
      </c>
      <c r="M14" s="149" t="s">
        <v>35</v>
      </c>
      <c r="N14" s="147"/>
      <c r="O14" s="151"/>
    </row>
    <row r="15" spans="2:15" ht="13.5" thickBot="1" x14ac:dyDescent="0.25">
      <c r="B15" s="96" t="s">
        <v>998</v>
      </c>
      <c r="C15" s="99" t="s">
        <v>992</v>
      </c>
      <c r="D15" s="99" t="s">
        <v>559</v>
      </c>
      <c r="E15" s="96" t="s">
        <v>995</v>
      </c>
      <c r="F15" s="98" t="s">
        <v>584</v>
      </c>
      <c r="H15" s="149" t="str">
        <f t="shared" si="0"/>
        <v>×</v>
      </c>
      <c r="I15" s="149" t="s">
        <v>985</v>
      </c>
      <c r="J15" s="149" t="s">
        <v>985</v>
      </c>
      <c r="K15" s="149" t="s">
        <v>985</v>
      </c>
      <c r="L15" s="149" t="s">
        <v>35</v>
      </c>
      <c r="M15" s="149" t="s">
        <v>35</v>
      </c>
      <c r="N15" s="147"/>
      <c r="O15" s="151"/>
    </row>
    <row r="16" spans="2:15" ht="13.5" thickBot="1" x14ac:dyDescent="0.25">
      <c r="B16" s="96" t="s">
        <v>999</v>
      </c>
      <c r="C16" s="99" t="s">
        <v>992</v>
      </c>
      <c r="D16" s="99" t="s">
        <v>559</v>
      </c>
      <c r="E16" s="96" t="s">
        <v>995</v>
      </c>
      <c r="F16" s="98" t="s">
        <v>581</v>
      </c>
      <c r="H16" s="149" t="str">
        <f t="shared" si="0"/>
        <v>×</v>
      </c>
      <c r="I16" s="149" t="s">
        <v>985</v>
      </c>
      <c r="J16" s="149" t="s">
        <v>985</v>
      </c>
      <c r="K16" s="149" t="s">
        <v>985</v>
      </c>
      <c r="L16" s="149" t="s">
        <v>35</v>
      </c>
      <c r="M16" s="149" t="s">
        <v>35</v>
      </c>
      <c r="N16" s="147"/>
      <c r="O16" s="151"/>
    </row>
    <row r="17" spans="2:15" ht="13.5" thickBot="1" x14ac:dyDescent="0.25">
      <c r="B17" s="96" t="s">
        <v>1000</v>
      </c>
      <c r="C17" s="99" t="s">
        <v>992</v>
      </c>
      <c r="D17" s="99" t="s">
        <v>559</v>
      </c>
      <c r="E17" s="96" t="s">
        <v>995</v>
      </c>
      <c r="F17" s="98" t="s">
        <v>585</v>
      </c>
      <c r="H17" s="149" t="str">
        <f t="shared" si="0"/>
        <v>○</v>
      </c>
      <c r="I17" s="149" t="str">
        <f>_xlfn.SWITCH('2.2.2. 標準構成とオプション(1)'!D12,"S","○","O","○","－","×")</f>
        <v>○</v>
      </c>
      <c r="J17" s="149" t="s">
        <v>985</v>
      </c>
      <c r="K17" s="149" t="s">
        <v>985</v>
      </c>
      <c r="L17" s="149" t="s">
        <v>35</v>
      </c>
      <c r="M17" s="149" t="s">
        <v>35</v>
      </c>
      <c r="N17" s="147"/>
      <c r="O17" s="92" t="str">
        <f>'2.2.2. 標準構成とオプション(1)'!B12</f>
        <v>1段HCF</v>
      </c>
    </row>
    <row r="18" spans="2:15" ht="13.5" thickBot="1" x14ac:dyDescent="0.25">
      <c r="B18" s="96" t="s">
        <v>1001</v>
      </c>
      <c r="C18" s="99" t="s">
        <v>992</v>
      </c>
      <c r="D18" s="99" t="s">
        <v>559</v>
      </c>
      <c r="E18" s="96" t="s">
        <v>995</v>
      </c>
      <c r="F18" s="98" t="s">
        <v>586</v>
      </c>
      <c r="H18" s="149" t="str">
        <f t="shared" si="0"/>
        <v>×</v>
      </c>
      <c r="I18" s="149" t="str">
        <f>_xlfn.SWITCH('2.2.2. 標準構成とオプション(1)'!D13,"S","○","O","○","－","×")</f>
        <v>×</v>
      </c>
      <c r="J18" s="149" t="s">
        <v>985</v>
      </c>
      <c r="K18" s="149" t="s">
        <v>985</v>
      </c>
      <c r="L18" s="149" t="s">
        <v>35</v>
      </c>
      <c r="M18" s="149" t="s">
        <v>35</v>
      </c>
      <c r="N18" s="147"/>
      <c r="O18" s="92" t="str">
        <f>'2.2.2. 標準構成とオプション(1)'!B13</f>
        <v xml:space="preserve">2段HCF </v>
      </c>
    </row>
    <row r="19" spans="2:15" ht="13.5" thickBot="1" x14ac:dyDescent="0.25">
      <c r="B19" s="96" t="s">
        <v>1002</v>
      </c>
      <c r="C19" s="99" t="s">
        <v>992</v>
      </c>
      <c r="D19" s="99" t="s">
        <v>559</v>
      </c>
      <c r="E19" s="96" t="s">
        <v>995</v>
      </c>
      <c r="F19" s="98" t="s">
        <v>587</v>
      </c>
      <c r="H19" s="149" t="str">
        <f t="shared" si="0"/>
        <v>×</v>
      </c>
      <c r="I19" s="149" t="str">
        <f>_xlfn.SWITCH('2.2.2. 標準構成とオプション(1)'!D14,"S","○","O","○","－","×")</f>
        <v>×</v>
      </c>
      <c r="J19" s="149" t="s">
        <v>985</v>
      </c>
      <c r="K19" s="149" t="s">
        <v>985</v>
      </c>
      <c r="L19" s="149" t="s">
        <v>35</v>
      </c>
      <c r="M19" s="149" t="s">
        <v>35</v>
      </c>
      <c r="N19" s="147"/>
      <c r="O19" s="92" t="str">
        <f>'2.2.2. 標準構成とオプション(1)'!B14</f>
        <v>A3のびHCF</v>
      </c>
    </row>
    <row r="20" spans="2:15" ht="13.5" thickBot="1" x14ac:dyDescent="0.25">
      <c r="B20" s="96" t="s">
        <v>1003</v>
      </c>
      <c r="C20" s="99" t="s">
        <v>992</v>
      </c>
      <c r="D20" s="99" t="s">
        <v>559</v>
      </c>
      <c r="E20" s="96" t="s">
        <v>995</v>
      </c>
      <c r="F20" s="98" t="s">
        <v>588</v>
      </c>
      <c r="H20" s="149" t="str">
        <f t="shared" si="0"/>
        <v>○</v>
      </c>
      <c r="I20" s="149" t="str">
        <f>_xlfn.SWITCH('2.2.2. 標準構成とオプション(1)'!D15,"S","○","O","○","－","×")</f>
        <v>○</v>
      </c>
      <c r="J20" s="149" t="s">
        <v>985</v>
      </c>
      <c r="K20" s="149" t="s">
        <v>985</v>
      </c>
      <c r="L20" s="149" t="s">
        <v>35</v>
      </c>
      <c r="M20" s="149" t="s">
        <v>35</v>
      </c>
      <c r="N20" s="147"/>
      <c r="O20" s="92" t="str">
        <f>'2.2.2. 標準構成とオプション(1)'!B15</f>
        <v>A3のびHCF</v>
      </c>
    </row>
    <row r="21" spans="2:15" ht="13.5" thickBot="1" x14ac:dyDescent="0.25">
      <c r="B21" s="96" t="s">
        <v>1004</v>
      </c>
      <c r="C21" s="99" t="s">
        <v>992</v>
      </c>
      <c r="D21" s="99" t="s">
        <v>559</v>
      </c>
      <c r="E21" s="96" t="s">
        <v>995</v>
      </c>
      <c r="F21" s="98" t="s">
        <v>589</v>
      </c>
      <c r="H21" s="149" t="str">
        <f t="shared" si="0"/>
        <v>×</v>
      </c>
      <c r="I21" s="149" t="str">
        <f>_xlfn.SWITCH('2.2.2. 標準構成とオプション(1)'!D16,"S","○","O","○","－","×")</f>
        <v>×</v>
      </c>
      <c r="J21" s="149" t="s">
        <v>985</v>
      </c>
      <c r="K21" s="149" t="s">
        <v>985</v>
      </c>
      <c r="L21" s="149" t="s">
        <v>35</v>
      </c>
      <c r="M21" s="149" t="s">
        <v>35</v>
      </c>
      <c r="N21" s="147"/>
      <c r="O21" s="92" t="str">
        <f>'2.2.2. 標準構成とオプション(1)'!B16</f>
        <v>2段A3のびHCF</v>
      </c>
    </row>
    <row r="22" spans="2:15" ht="13.5" thickBot="1" x14ac:dyDescent="0.25">
      <c r="B22" s="96" t="s">
        <v>1046</v>
      </c>
      <c r="C22" s="99" t="s">
        <v>992</v>
      </c>
      <c r="D22" s="99" t="s">
        <v>559</v>
      </c>
      <c r="E22" s="96" t="s">
        <v>995</v>
      </c>
      <c r="F22" s="150" t="s">
        <v>987</v>
      </c>
      <c r="H22" s="149" t="str">
        <f t="shared" si="0"/>
        <v>○</v>
      </c>
      <c r="I22" s="149" t="str">
        <f>_xlfn.SWITCH('2.2.2. 標準構成とオプション(1)'!D17,"S","○","O","○","－","×")</f>
        <v>○</v>
      </c>
      <c r="J22" s="149" t="s">
        <v>985</v>
      </c>
      <c r="K22" s="149" t="s">
        <v>985</v>
      </c>
      <c r="L22" s="149" t="s">
        <v>35</v>
      </c>
      <c r="M22" s="149" t="s">
        <v>35</v>
      </c>
      <c r="N22" s="147"/>
      <c r="O22" s="92" t="str">
        <f>'2.2.2. 標準構成とオプション(1)'!B17</f>
        <v>2段A3のびHCF  (単結の場合)</v>
      </c>
    </row>
    <row r="23" spans="2:15" ht="13.5" thickBot="1" x14ac:dyDescent="0.25">
      <c r="B23" s="96" t="s">
        <v>1047</v>
      </c>
      <c r="C23" s="99" t="s">
        <v>992</v>
      </c>
      <c r="D23" s="99" t="s">
        <v>559</v>
      </c>
      <c r="E23" s="96" t="s">
        <v>995</v>
      </c>
      <c r="F23" s="150" t="s">
        <v>987</v>
      </c>
      <c r="H23" s="149" t="str">
        <f t="shared" si="0"/>
        <v>×</v>
      </c>
      <c r="I23" s="149" t="str">
        <f>_xlfn.SWITCH('2.2.2. 標準構成とオプション(1)'!D18,"S","○","O","○","－","×")</f>
        <v>×</v>
      </c>
      <c r="J23" s="149" t="s">
        <v>35</v>
      </c>
      <c r="K23" s="149" t="s">
        <v>35</v>
      </c>
      <c r="L23" s="149" t="s">
        <v>35</v>
      </c>
      <c r="M23" s="149" t="s">
        <v>35</v>
      </c>
      <c r="N23" s="147"/>
      <c r="O23" s="92" t="str">
        <f>'2.2.2. 標準構成とオプション(1)'!B18</f>
        <v>2段A3のびHCF  (重連の1台目)</v>
      </c>
    </row>
    <row r="24" spans="2:15" ht="13.5" thickBot="1" x14ac:dyDescent="0.25">
      <c r="B24" s="96" t="s">
        <v>1005</v>
      </c>
      <c r="C24" s="99" t="s">
        <v>992</v>
      </c>
      <c r="D24" s="99" t="s">
        <v>559</v>
      </c>
      <c r="E24" s="96" t="s">
        <v>995</v>
      </c>
      <c r="F24" s="98" t="s">
        <v>590</v>
      </c>
      <c r="H24" s="149" t="str">
        <f t="shared" si="0"/>
        <v>×</v>
      </c>
      <c r="I24" s="149" t="str">
        <f>_xlfn.SWITCH('2.2.2. 標準構成とオプション(1)'!D19,"S","○","O","○","－","×")</f>
        <v>×</v>
      </c>
      <c r="J24" s="149" t="s">
        <v>985</v>
      </c>
      <c r="K24" s="149" t="s">
        <v>985</v>
      </c>
      <c r="L24" s="149" t="s">
        <v>35</v>
      </c>
      <c r="M24" s="149" t="s">
        <v>35</v>
      </c>
      <c r="N24" s="147"/>
      <c r="O24" s="92" t="str">
        <f>'2.2.2. 標準構成とオプション(1)'!B18</f>
        <v>2段A3のびHCF  (重連の1台目)</v>
      </c>
    </row>
    <row r="25" spans="2:15" ht="13.5" thickBot="1" x14ac:dyDescent="0.25">
      <c r="B25" s="96" t="s">
        <v>1006</v>
      </c>
      <c r="C25" s="99" t="s">
        <v>994</v>
      </c>
      <c r="D25" s="99" t="s">
        <v>559</v>
      </c>
      <c r="E25" s="96" t="s">
        <v>1045</v>
      </c>
      <c r="F25" s="98" t="s">
        <v>591</v>
      </c>
      <c r="H25" s="149" t="str">
        <f t="shared" si="0"/>
        <v>○</v>
      </c>
      <c r="I25" s="149" t="str">
        <f>_xlfn.SWITCH('2.2.2. 標準構成とオプション(1)'!D10,"S","○","O","○","－","×")</f>
        <v>○</v>
      </c>
      <c r="J25" s="149" t="s">
        <v>985</v>
      </c>
      <c r="K25" s="149" t="s">
        <v>985</v>
      </c>
      <c r="L25" s="149" t="s">
        <v>35</v>
      </c>
      <c r="M25" s="149" t="s">
        <v>35</v>
      </c>
      <c r="N25" s="147"/>
      <c r="O25" s="92" t="str">
        <f>'2.2.2. 標準構成とオプション(1)'!B10</f>
        <v>両面</v>
      </c>
    </row>
    <row r="26" spans="2:15" ht="13.5" thickBot="1" x14ac:dyDescent="0.25">
      <c r="B26" s="96" t="s">
        <v>1007</v>
      </c>
      <c r="C26" s="99" t="s">
        <v>994</v>
      </c>
      <c r="D26" s="99" t="s">
        <v>559</v>
      </c>
      <c r="E26" s="96" t="s">
        <v>1045</v>
      </c>
      <c r="F26" s="98" t="s">
        <v>624</v>
      </c>
      <c r="H26" s="149" t="str">
        <f t="shared" si="0"/>
        <v>○</v>
      </c>
      <c r="I26" s="149" t="str">
        <f>_xlfn.SWITCH('2.2.2. 標準構成とオプション(1)'!D11,"S","○","O","○","－","×")</f>
        <v>○</v>
      </c>
      <c r="J26" s="149" t="s">
        <v>985</v>
      </c>
      <c r="K26" s="149" t="s">
        <v>985</v>
      </c>
      <c r="L26" s="149" t="s">
        <v>35</v>
      </c>
      <c r="M26" s="149" t="s">
        <v>35</v>
      </c>
      <c r="N26" s="147"/>
      <c r="O26" s="92" t="str">
        <f>'2.2.2. 標準構成とオプション(1)'!B11</f>
        <v>Inverter</v>
      </c>
    </row>
    <row r="27" spans="2:15" ht="13.5" thickBot="1" x14ac:dyDescent="0.25">
      <c r="B27" s="96" t="s">
        <v>1008</v>
      </c>
      <c r="C27" s="99" t="s">
        <v>992</v>
      </c>
      <c r="D27" s="99" t="s">
        <v>559</v>
      </c>
      <c r="E27" s="96" t="s">
        <v>995</v>
      </c>
      <c r="F27" s="98" t="s">
        <v>592</v>
      </c>
      <c r="H27" s="149" t="str">
        <f t="shared" si="0"/>
        <v>×</v>
      </c>
      <c r="I27" s="149" t="s">
        <v>985</v>
      </c>
      <c r="J27" s="149" t="s">
        <v>985</v>
      </c>
      <c r="K27" s="149" t="s">
        <v>985</v>
      </c>
      <c r="L27" s="149" t="s">
        <v>35</v>
      </c>
      <c r="M27" s="149" t="s">
        <v>35</v>
      </c>
      <c r="N27" s="147"/>
      <c r="O27" s="151"/>
    </row>
    <row r="28" spans="2:15" ht="13.5" thickBot="1" x14ac:dyDescent="0.25">
      <c r="B28" s="96" t="s">
        <v>1009</v>
      </c>
      <c r="C28" s="99" t="s">
        <v>992</v>
      </c>
      <c r="D28" s="99" t="s">
        <v>559</v>
      </c>
      <c r="E28" s="96" t="s">
        <v>995</v>
      </c>
      <c r="F28" s="98" t="s">
        <v>593</v>
      </c>
      <c r="H28" s="149" t="str">
        <f t="shared" si="0"/>
        <v>×</v>
      </c>
      <c r="I28" s="149" t="s">
        <v>985</v>
      </c>
      <c r="J28" s="149" t="s">
        <v>985</v>
      </c>
      <c r="K28" s="149" t="s">
        <v>985</v>
      </c>
      <c r="L28" s="149" t="s">
        <v>35</v>
      </c>
      <c r="M28" s="149" t="s">
        <v>35</v>
      </c>
      <c r="N28" s="147"/>
      <c r="O28" s="151"/>
    </row>
    <row r="29" spans="2:15" ht="13.5" thickBot="1" x14ac:dyDescent="0.25">
      <c r="B29" s="96" t="s">
        <v>1010</v>
      </c>
      <c r="C29" s="99" t="s">
        <v>992</v>
      </c>
      <c r="D29" s="99" t="s">
        <v>559</v>
      </c>
      <c r="E29" s="96" t="s">
        <v>995</v>
      </c>
      <c r="F29" s="98" t="s">
        <v>598</v>
      </c>
      <c r="H29" s="149" t="str">
        <f t="shared" si="0"/>
        <v>×</v>
      </c>
      <c r="I29" s="149" t="s">
        <v>985</v>
      </c>
      <c r="J29" s="149" t="s">
        <v>985</v>
      </c>
      <c r="K29" s="149" t="s">
        <v>985</v>
      </c>
      <c r="L29" s="149" t="s">
        <v>35</v>
      </c>
      <c r="M29" s="149" t="s">
        <v>35</v>
      </c>
      <c r="N29" s="147"/>
      <c r="O29" s="151"/>
    </row>
    <row r="30" spans="2:15" ht="13.5" thickBot="1" x14ac:dyDescent="0.25">
      <c r="B30" s="96" t="s">
        <v>1011</v>
      </c>
      <c r="C30" s="99" t="s">
        <v>992</v>
      </c>
      <c r="D30" s="99" t="s">
        <v>559</v>
      </c>
      <c r="E30" s="96" t="s">
        <v>995</v>
      </c>
      <c r="F30" s="98" t="s">
        <v>599</v>
      </c>
      <c r="H30" s="149" t="str">
        <f t="shared" si="0"/>
        <v>×</v>
      </c>
      <c r="I30" s="149" t="s">
        <v>985</v>
      </c>
      <c r="J30" s="149" t="s">
        <v>985</v>
      </c>
      <c r="K30" s="149" t="s">
        <v>985</v>
      </c>
      <c r="L30" s="149" t="s">
        <v>35</v>
      </c>
      <c r="M30" s="149" t="s">
        <v>35</v>
      </c>
      <c r="N30" s="147"/>
      <c r="O30" s="151"/>
    </row>
    <row r="31" spans="2:15" ht="13.5" thickBot="1" x14ac:dyDescent="0.25">
      <c r="B31" s="96" t="s">
        <v>1012</v>
      </c>
      <c r="C31" s="99" t="s">
        <v>992</v>
      </c>
      <c r="D31" s="99" t="s">
        <v>559</v>
      </c>
      <c r="E31" s="96" t="s">
        <v>995</v>
      </c>
      <c r="F31" s="98" t="s">
        <v>594</v>
      </c>
      <c r="H31" s="149" t="str">
        <f t="shared" si="0"/>
        <v>×</v>
      </c>
      <c r="I31" s="149" t="s">
        <v>985</v>
      </c>
      <c r="J31" s="149" t="s">
        <v>985</v>
      </c>
      <c r="K31" s="149" t="s">
        <v>985</v>
      </c>
      <c r="L31" s="149" t="s">
        <v>35</v>
      </c>
      <c r="M31" s="149" t="s">
        <v>35</v>
      </c>
      <c r="N31" s="147"/>
      <c r="O31" s="151"/>
    </row>
    <row r="32" spans="2:15" ht="13.5" thickBot="1" x14ac:dyDescent="0.25">
      <c r="B32" s="96" t="s">
        <v>1013</v>
      </c>
      <c r="C32" s="99" t="s">
        <v>992</v>
      </c>
      <c r="D32" s="99" t="s">
        <v>559</v>
      </c>
      <c r="E32" s="96" t="s">
        <v>995</v>
      </c>
      <c r="F32" s="98" t="s">
        <v>596</v>
      </c>
      <c r="H32" s="149" t="str">
        <f t="shared" si="0"/>
        <v>○</v>
      </c>
      <c r="I32" s="149" t="str">
        <f>_xlfn.SWITCH('2.2.2. 標準構成とオプション(1)'!D25,"S","○","O","○","－","×")</f>
        <v>○</v>
      </c>
      <c r="J32" s="149" t="s">
        <v>985</v>
      </c>
      <c r="K32" s="149" t="s">
        <v>985</v>
      </c>
      <c r="L32" s="149" t="s">
        <v>35</v>
      </c>
      <c r="M32" s="149" t="s">
        <v>35</v>
      </c>
      <c r="N32" s="147"/>
      <c r="O32" s="92" t="str">
        <f>'2.2.2. 標準構成とオプション(1)'!B25</f>
        <v>SCT (Simple Catch Tray)</v>
      </c>
    </row>
    <row r="33" spans="2:17" ht="13.5" thickBot="1" x14ac:dyDescent="0.25">
      <c r="B33" s="96" t="s">
        <v>1014</v>
      </c>
      <c r="C33" s="99" t="s">
        <v>992</v>
      </c>
      <c r="D33" s="99" t="s">
        <v>559</v>
      </c>
      <c r="E33" s="96" t="s">
        <v>995</v>
      </c>
      <c r="F33" s="98" t="s">
        <v>597</v>
      </c>
      <c r="H33" s="149" t="str">
        <f t="shared" si="0"/>
        <v>○</v>
      </c>
      <c r="I33" s="149" t="str">
        <f>_xlfn.SWITCH('2.2.2. 標準構成とオプション(1)'!D26,"S","○","O","○","－","×")</f>
        <v>○</v>
      </c>
      <c r="J33" s="149" t="s">
        <v>985</v>
      </c>
      <c r="K33" s="149" t="s">
        <v>985</v>
      </c>
      <c r="L33" s="149" t="s">
        <v>35</v>
      </c>
      <c r="M33" s="149" t="s">
        <v>35</v>
      </c>
      <c r="N33" s="147"/>
      <c r="O33" s="92" t="str">
        <f>'2.2.2. 標準構成とオプション(1)'!B26</f>
        <v>OCT (Offset Catch Tray)</v>
      </c>
    </row>
    <row r="34" spans="2:17" ht="13.5" thickBot="1" x14ac:dyDescent="0.25">
      <c r="B34" s="96" t="s">
        <v>1015</v>
      </c>
      <c r="C34" s="99" t="s">
        <v>1016</v>
      </c>
      <c r="D34" s="99" t="s">
        <v>649</v>
      </c>
      <c r="E34" s="157" t="s">
        <v>1048</v>
      </c>
      <c r="F34" s="98" t="s">
        <v>1017</v>
      </c>
      <c r="H34" s="149" t="str">
        <f t="shared" si="0"/>
        <v>○</v>
      </c>
      <c r="I34" s="149" t="str">
        <f>_xlfn.SWITCH('2.2.2. 標準構成とオプション(1)'!D27,"S","○","O","○","－","×")</f>
        <v>○</v>
      </c>
      <c r="J34" s="149" t="s">
        <v>985</v>
      </c>
      <c r="K34" s="149" t="s">
        <v>985</v>
      </c>
      <c r="L34" s="149" t="s">
        <v>35</v>
      </c>
      <c r="M34" s="149" t="s">
        <v>35</v>
      </c>
      <c r="N34" s="147"/>
      <c r="O34" s="92" t="str">
        <f>'2.2.2. 標準構成とオプション(1)'!B27</f>
        <v>LCT (Large Catch Tray)</v>
      </c>
    </row>
    <row r="35" spans="2:17" ht="13.5" thickBot="1" x14ac:dyDescent="0.25">
      <c r="B35" s="96" t="s">
        <v>1018</v>
      </c>
      <c r="C35" s="99" t="s">
        <v>992</v>
      </c>
      <c r="D35" s="99" t="s">
        <v>559</v>
      </c>
      <c r="E35" s="96" t="s">
        <v>995</v>
      </c>
      <c r="F35" s="98" t="s">
        <v>600</v>
      </c>
      <c r="H35" s="149" t="str">
        <f t="shared" si="0"/>
        <v>×</v>
      </c>
      <c r="I35" s="149" t="s">
        <v>985</v>
      </c>
      <c r="J35" s="149" t="s">
        <v>985</v>
      </c>
      <c r="K35" s="149" t="s">
        <v>985</v>
      </c>
      <c r="L35" s="149" t="s">
        <v>35</v>
      </c>
      <c r="M35" s="149" t="s">
        <v>35</v>
      </c>
      <c r="N35" s="147"/>
      <c r="O35" s="151"/>
    </row>
    <row r="36" spans="2:17" ht="13.5" thickBot="1" x14ac:dyDescent="0.25">
      <c r="B36" s="96" t="s">
        <v>1019</v>
      </c>
      <c r="C36" s="99" t="s">
        <v>992</v>
      </c>
      <c r="D36" s="99" t="s">
        <v>559</v>
      </c>
      <c r="E36" s="96" t="s">
        <v>995</v>
      </c>
      <c r="F36" s="98" t="s">
        <v>601</v>
      </c>
      <c r="H36" s="149" t="str">
        <f t="shared" si="0"/>
        <v>×</v>
      </c>
      <c r="I36" s="149" t="s">
        <v>985</v>
      </c>
      <c r="J36" s="149" t="s">
        <v>985</v>
      </c>
      <c r="K36" s="149" t="s">
        <v>985</v>
      </c>
      <c r="L36" s="149" t="s">
        <v>35</v>
      </c>
      <c r="M36" s="149" t="s">
        <v>35</v>
      </c>
      <c r="N36" s="147"/>
      <c r="O36" s="151"/>
    </row>
    <row r="37" spans="2:17" ht="13.5" thickBot="1" x14ac:dyDescent="0.25">
      <c r="B37" s="96" t="s">
        <v>1020</v>
      </c>
      <c r="C37" s="99" t="s">
        <v>992</v>
      </c>
      <c r="D37" s="99" t="s">
        <v>559</v>
      </c>
      <c r="E37" s="96" t="s">
        <v>995</v>
      </c>
      <c r="F37" s="98" t="s">
        <v>607</v>
      </c>
      <c r="H37" s="149" t="str">
        <f t="shared" si="0"/>
        <v>×</v>
      </c>
      <c r="I37" s="149" t="s">
        <v>985</v>
      </c>
      <c r="J37" s="149" t="s">
        <v>985</v>
      </c>
      <c r="K37" s="149" t="s">
        <v>985</v>
      </c>
      <c r="L37" s="149" t="s">
        <v>35</v>
      </c>
      <c r="M37" s="149" t="s">
        <v>35</v>
      </c>
      <c r="N37" s="147"/>
      <c r="O37" s="151"/>
    </row>
    <row r="38" spans="2:17" ht="13.5" thickBot="1" x14ac:dyDescent="0.25">
      <c r="B38" s="96" t="s">
        <v>1021</v>
      </c>
      <c r="C38" s="99" t="s">
        <v>992</v>
      </c>
      <c r="D38" s="99" t="s">
        <v>559</v>
      </c>
      <c r="E38" s="96" t="s">
        <v>995</v>
      </c>
      <c r="F38" s="98" t="s">
        <v>608</v>
      </c>
      <c r="H38" s="149" t="str">
        <f t="shared" si="0"/>
        <v>×</v>
      </c>
      <c r="I38" s="149" t="s">
        <v>985</v>
      </c>
      <c r="J38" s="149" t="s">
        <v>985</v>
      </c>
      <c r="K38" s="149" t="s">
        <v>985</v>
      </c>
      <c r="L38" s="149" t="s">
        <v>35</v>
      </c>
      <c r="M38" s="149" t="s">
        <v>35</v>
      </c>
      <c r="N38" s="147"/>
      <c r="O38" s="151"/>
    </row>
    <row r="39" spans="2:17" ht="13.5" thickBot="1" x14ac:dyDescent="0.25">
      <c r="B39" s="96" t="s">
        <v>1022</v>
      </c>
      <c r="C39" s="99" t="s">
        <v>992</v>
      </c>
      <c r="D39" s="99" t="s">
        <v>559</v>
      </c>
      <c r="E39" s="96" t="s">
        <v>995</v>
      </c>
      <c r="F39" s="98" t="s">
        <v>602</v>
      </c>
      <c r="H39" s="149" t="str">
        <f t="shared" si="0"/>
        <v>×</v>
      </c>
      <c r="I39" s="149" t="s">
        <v>985</v>
      </c>
      <c r="J39" s="149" t="s">
        <v>985</v>
      </c>
      <c r="K39" s="149" t="s">
        <v>985</v>
      </c>
      <c r="L39" s="149" t="s">
        <v>35</v>
      </c>
      <c r="M39" s="149" t="s">
        <v>35</v>
      </c>
      <c r="N39" s="147"/>
      <c r="O39" s="151"/>
    </row>
    <row r="40" spans="2:17" ht="13.5" thickBot="1" x14ac:dyDescent="0.25">
      <c r="B40" s="96" t="s">
        <v>1023</v>
      </c>
      <c r="C40" s="99" t="s">
        <v>992</v>
      </c>
      <c r="D40" s="99" t="s">
        <v>559</v>
      </c>
      <c r="E40" s="96" t="s">
        <v>995</v>
      </c>
      <c r="F40" s="98" t="s">
        <v>603</v>
      </c>
      <c r="H40" s="149" t="str">
        <f t="shared" si="0"/>
        <v>×</v>
      </c>
      <c r="I40" s="149" t="s">
        <v>985</v>
      </c>
      <c r="J40" s="149" t="s">
        <v>985</v>
      </c>
      <c r="K40" s="149" t="s">
        <v>985</v>
      </c>
      <c r="L40" s="149" t="s">
        <v>35</v>
      </c>
      <c r="M40" s="149" t="s">
        <v>35</v>
      </c>
      <c r="N40" s="147"/>
      <c r="O40" s="151"/>
    </row>
    <row r="41" spans="2:17" ht="13.5" thickBot="1" x14ac:dyDescent="0.25">
      <c r="B41" s="96" t="s">
        <v>1024</v>
      </c>
      <c r="C41" s="99" t="s">
        <v>992</v>
      </c>
      <c r="D41" s="99" t="s">
        <v>559</v>
      </c>
      <c r="E41" s="96" t="s">
        <v>995</v>
      </c>
      <c r="F41" s="98" t="s">
        <v>604</v>
      </c>
      <c r="H41" s="149" t="str">
        <f t="shared" si="0"/>
        <v>×</v>
      </c>
      <c r="I41" s="149" t="s">
        <v>985</v>
      </c>
      <c r="J41" s="149" t="s">
        <v>985</v>
      </c>
      <c r="K41" s="149" t="s">
        <v>985</v>
      </c>
      <c r="L41" s="149" t="s">
        <v>35</v>
      </c>
      <c r="M41" s="149" t="s">
        <v>35</v>
      </c>
      <c r="N41" s="147"/>
      <c r="O41" s="151"/>
    </row>
    <row r="42" spans="2:17" ht="13.5" thickBot="1" x14ac:dyDescent="0.25">
      <c r="B42" s="96" t="s">
        <v>1025</v>
      </c>
      <c r="C42" s="99" t="s">
        <v>992</v>
      </c>
      <c r="D42" s="99" t="s">
        <v>559</v>
      </c>
      <c r="E42" s="96" t="s">
        <v>995</v>
      </c>
      <c r="F42" s="98" t="s">
        <v>623</v>
      </c>
      <c r="H42" s="149" t="str">
        <f t="shared" si="0"/>
        <v>○</v>
      </c>
      <c r="I42" s="149" t="str">
        <f>_xlfn.SWITCH('2.2.2. 標準構成とオプション(1)'!D28,"S","○","O","○","－","×")</f>
        <v>○</v>
      </c>
      <c r="J42" s="149" t="str">
        <f>_xlfn.SWITCH('2.2.2. 標準構成とオプション(1)'!D29,"S","○","O","○","－","×")</f>
        <v>○</v>
      </c>
      <c r="K42" s="149" t="s">
        <v>985</v>
      </c>
      <c r="L42" s="149" t="s">
        <v>35</v>
      </c>
      <c r="M42" s="149" t="s">
        <v>35</v>
      </c>
      <c r="N42" s="147"/>
      <c r="O42" s="92" t="str">
        <f>'2.2.2. 標準構成とオプション(1)'!B28</f>
        <v>CH-Finisher (Base)</v>
      </c>
      <c r="P42" s="92" t="str">
        <f>'2.2.2. 標準構成とオプション(1)'!B29</f>
        <v>CH-Finisher (w Booklet)</v>
      </c>
    </row>
    <row r="43" spans="2:17" ht="13.5" thickBot="1" x14ac:dyDescent="0.25">
      <c r="B43" s="96" t="s">
        <v>1026</v>
      </c>
      <c r="C43" s="99" t="s">
        <v>992</v>
      </c>
      <c r="D43" s="99" t="s">
        <v>559</v>
      </c>
      <c r="E43" s="96" t="s">
        <v>995</v>
      </c>
      <c r="F43" s="98" t="s">
        <v>605</v>
      </c>
      <c r="H43" s="149" t="str">
        <f t="shared" si="0"/>
        <v>×</v>
      </c>
      <c r="I43" s="149" t="s">
        <v>985</v>
      </c>
      <c r="J43" s="149" t="s">
        <v>985</v>
      </c>
      <c r="K43" s="149" t="s">
        <v>985</v>
      </c>
      <c r="L43" s="149" t="s">
        <v>35</v>
      </c>
      <c r="M43" s="149" t="s">
        <v>35</v>
      </c>
      <c r="N43" s="147"/>
      <c r="O43" s="151"/>
    </row>
    <row r="44" spans="2:17" ht="13.5" thickBot="1" x14ac:dyDescent="0.25">
      <c r="B44" s="96" t="s">
        <v>1027</v>
      </c>
      <c r="C44" s="99" t="s">
        <v>992</v>
      </c>
      <c r="D44" s="99" t="s">
        <v>559</v>
      </c>
      <c r="E44" s="96" t="s">
        <v>995</v>
      </c>
      <c r="F44" s="98" t="s">
        <v>626</v>
      </c>
      <c r="H44" s="149" t="str">
        <f t="shared" si="0"/>
        <v>○</v>
      </c>
      <c r="I44" s="149" t="str">
        <f>_xlfn.SWITCH('2.2.2. 標準構成とオプション(1)'!D38,"S","○","O","○","－","×")</f>
        <v>○</v>
      </c>
      <c r="J44" s="149" t="str">
        <f>_xlfn.SWITCH('2.2.2. 標準構成とオプション(1)'!D39,"S","○","O","○","－","×")</f>
        <v>○</v>
      </c>
      <c r="K44" s="149" t="str">
        <f>_xlfn.SWITCH('2.2.2. 標準構成とオプション(1)'!D40,"S","○","O","○","－","×")</f>
        <v>○</v>
      </c>
      <c r="L44" s="149" t="s">
        <v>35</v>
      </c>
      <c r="M44" s="149" t="s">
        <v>35</v>
      </c>
      <c r="N44" s="147"/>
      <c r="O44" s="92" t="str">
        <f>'2.2.2. 標準構成とオプション(1)'!B38</f>
        <v>D2G-Finisher (Base)</v>
      </c>
      <c r="P44" s="92" t="str">
        <f>'2.2.2. 標準構成とオプション(1)'!B39</f>
        <v>D2G-Finisher (w Booklet)</v>
      </c>
      <c r="Q44" s="92" t="str">
        <f>'2.2.2. 標準構成とオプション(1)'!B40</f>
        <v>D2G-Finisher (w PFIM-Path)</v>
      </c>
    </row>
    <row r="45" spans="2:17" ht="13.5" thickBot="1" x14ac:dyDescent="0.25">
      <c r="B45" s="96" t="s">
        <v>1049</v>
      </c>
      <c r="C45" s="99" t="s">
        <v>992</v>
      </c>
      <c r="D45" s="99" t="s">
        <v>559</v>
      </c>
      <c r="E45" s="96" t="s">
        <v>995</v>
      </c>
      <c r="F45" s="98" t="s">
        <v>609</v>
      </c>
      <c r="H45" s="149" t="str">
        <f t="shared" si="0"/>
        <v>×</v>
      </c>
      <c r="I45" s="149" t="s">
        <v>985</v>
      </c>
      <c r="J45" s="149" t="s">
        <v>985</v>
      </c>
      <c r="K45" s="149" t="s">
        <v>985</v>
      </c>
      <c r="L45" s="149" t="s">
        <v>35</v>
      </c>
      <c r="M45" s="149" t="s">
        <v>35</v>
      </c>
      <c r="N45" s="147"/>
      <c r="O45" s="151"/>
    </row>
    <row r="46" spans="2:17" ht="13.5" thickBot="1" x14ac:dyDescent="0.25">
      <c r="B46" s="96" t="s">
        <v>1028</v>
      </c>
      <c r="C46" s="99" t="s">
        <v>992</v>
      </c>
      <c r="D46" s="99" t="s">
        <v>559</v>
      </c>
      <c r="E46" s="96" t="s">
        <v>995</v>
      </c>
      <c r="F46" s="98" t="s">
        <v>627</v>
      </c>
      <c r="H46" s="149" t="str">
        <f t="shared" si="0"/>
        <v>○</v>
      </c>
      <c r="I46" s="149" t="str">
        <f>_xlfn.SWITCH('2.2.2. 標準構成とオプション(1)'!D33,"S","○","O","○","－","×")</f>
        <v>○</v>
      </c>
      <c r="J46" s="149" t="s">
        <v>985</v>
      </c>
      <c r="K46" s="149" t="s">
        <v>985</v>
      </c>
      <c r="L46" s="149" t="s">
        <v>35</v>
      </c>
      <c r="M46" s="149" t="s">
        <v>35</v>
      </c>
      <c r="N46" s="147"/>
      <c r="O46" s="92" t="str">
        <f>'2.2.2. 標準構成とオプション(1)'!B33</f>
        <v>CDM (Cooling Decurler Module)</v>
      </c>
    </row>
    <row r="47" spans="2:17" ht="13.5" thickBot="1" x14ac:dyDescent="0.25">
      <c r="B47" s="96" t="s">
        <v>1029</v>
      </c>
      <c r="C47" s="99" t="s">
        <v>992</v>
      </c>
      <c r="D47" s="99" t="s">
        <v>559</v>
      </c>
      <c r="E47" s="96" t="s">
        <v>995</v>
      </c>
      <c r="F47" s="98"/>
      <c r="H47" s="149" t="str">
        <f t="shared" si="0"/>
        <v>×</v>
      </c>
      <c r="I47" s="149" t="str">
        <f>_xlfn.SWITCH('2.2.2. 標準構成とオプション(1)'!D34,"S","○","O","○","－","×")</f>
        <v>×</v>
      </c>
      <c r="J47" s="149" t="s">
        <v>985</v>
      </c>
      <c r="K47" s="149" t="s">
        <v>985</v>
      </c>
      <c r="L47" s="149" t="s">
        <v>35</v>
      </c>
      <c r="M47" s="149" t="s">
        <v>35</v>
      </c>
      <c r="N47" s="147"/>
      <c r="O47" s="92" t="str">
        <f>'2.2.2. 標準構成とオプション(1)'!B34</f>
        <v>RPM (RP Module)</v>
      </c>
    </row>
    <row r="48" spans="2:17" ht="13.5" thickBot="1" x14ac:dyDescent="0.25">
      <c r="B48" s="96" t="s">
        <v>1030</v>
      </c>
      <c r="C48" s="99" t="s">
        <v>992</v>
      </c>
      <c r="D48" s="99" t="s">
        <v>559</v>
      </c>
      <c r="E48" s="96" t="s">
        <v>995</v>
      </c>
      <c r="F48" s="98" t="s">
        <v>612</v>
      </c>
      <c r="H48" s="149" t="str">
        <f t="shared" si="0"/>
        <v>×</v>
      </c>
      <c r="I48" s="149" t="s">
        <v>985</v>
      </c>
      <c r="J48" s="149" t="s">
        <v>985</v>
      </c>
      <c r="K48" s="149" t="s">
        <v>985</v>
      </c>
      <c r="L48" s="149" t="s">
        <v>35</v>
      </c>
      <c r="M48" s="149" t="s">
        <v>35</v>
      </c>
      <c r="N48" s="147"/>
      <c r="O48" s="151"/>
    </row>
    <row r="49" spans="2:16" ht="13.5" thickBot="1" x14ac:dyDescent="0.25">
      <c r="B49" s="96" t="s">
        <v>1031</v>
      </c>
      <c r="C49" s="99" t="s">
        <v>992</v>
      </c>
      <c r="D49" s="99" t="s">
        <v>559</v>
      </c>
      <c r="E49" s="96" t="s">
        <v>995</v>
      </c>
      <c r="F49" s="98" t="s">
        <v>613</v>
      </c>
      <c r="H49" s="149" t="str">
        <f t="shared" si="0"/>
        <v>○</v>
      </c>
      <c r="I49" s="149" t="str">
        <f>_xlfn.SWITCH('2.2.2. 標準構成とオプション(1)'!D35,"S","○","O","○","－","×")</f>
        <v>○</v>
      </c>
      <c r="J49" s="149" t="s">
        <v>985</v>
      </c>
      <c r="K49" s="149" t="s">
        <v>985</v>
      </c>
      <c r="L49" s="149" t="s">
        <v>35</v>
      </c>
      <c r="M49" s="149" t="s">
        <v>35</v>
      </c>
      <c r="N49" s="147"/>
      <c r="O49" s="92" t="str">
        <f>'2.2.2. 標準構成とオプション(1)'!B35</f>
        <v>SCP (Sparta Coil Puncher)</v>
      </c>
    </row>
    <row r="50" spans="2:16" ht="13.5" thickBot="1" x14ac:dyDescent="0.25">
      <c r="B50" s="96" t="s">
        <v>1032</v>
      </c>
      <c r="C50" s="99" t="s">
        <v>992</v>
      </c>
      <c r="D50" s="99" t="s">
        <v>559</v>
      </c>
      <c r="E50" s="96" t="s">
        <v>995</v>
      </c>
      <c r="F50" s="98" t="s">
        <v>610</v>
      </c>
      <c r="H50" s="149" t="str">
        <f t="shared" si="0"/>
        <v>○</v>
      </c>
      <c r="I50" s="149" t="str">
        <f>_xlfn.SWITCH('2.2.2. 標準構成とオプション(1)'!D36,"S","○","O","○","－","×")</f>
        <v>○</v>
      </c>
      <c r="J50" s="149" t="s">
        <v>985</v>
      </c>
      <c r="K50" s="149" t="s">
        <v>985</v>
      </c>
      <c r="L50" s="149" t="s">
        <v>35</v>
      </c>
      <c r="M50" s="149" t="s">
        <v>35</v>
      </c>
      <c r="N50" s="147"/>
      <c r="O50" s="92" t="str">
        <f>'2.2.2. 標準構成とオプション(1)'!B36</f>
        <v>HCS</v>
      </c>
    </row>
    <row r="51" spans="2:16" ht="13.5" thickBot="1" x14ac:dyDescent="0.25">
      <c r="B51" s="96" t="s">
        <v>1033</v>
      </c>
      <c r="C51" s="99" t="s">
        <v>992</v>
      </c>
      <c r="D51" s="99" t="s">
        <v>559</v>
      </c>
      <c r="E51" s="96" t="s">
        <v>995</v>
      </c>
      <c r="F51" s="98" t="s">
        <v>611</v>
      </c>
      <c r="H51" s="149" t="str">
        <f t="shared" si="0"/>
        <v>×</v>
      </c>
      <c r="I51" s="149" t="str">
        <f>_xlfn.SWITCH('2.2.2. 標準構成とオプション(1)'!D37,"S","○","O","○","－","×")</f>
        <v>×</v>
      </c>
      <c r="J51" s="149" t="s">
        <v>985</v>
      </c>
      <c r="K51" s="149" t="s">
        <v>985</v>
      </c>
      <c r="L51" s="149" t="s">
        <v>35</v>
      </c>
      <c r="M51" s="149" t="s">
        <v>35</v>
      </c>
      <c r="N51" s="147"/>
      <c r="O51" s="92" t="str">
        <f>'2.2.2. 標準構成とオプション(1)'!B37</f>
        <v>HCS2</v>
      </c>
    </row>
    <row r="52" spans="2:16" ht="13.5" thickBot="1" x14ac:dyDescent="0.25">
      <c r="B52" s="96" t="s">
        <v>1034</v>
      </c>
      <c r="C52" s="99" t="s">
        <v>992</v>
      </c>
      <c r="D52" s="99" t="s">
        <v>559</v>
      </c>
      <c r="E52" s="96" t="s">
        <v>995</v>
      </c>
      <c r="F52" s="98" t="s">
        <v>622</v>
      </c>
      <c r="H52" s="149" t="str">
        <f t="shared" si="0"/>
        <v>×</v>
      </c>
      <c r="I52" s="149" t="s">
        <v>985</v>
      </c>
      <c r="J52" s="149" t="s">
        <v>985</v>
      </c>
      <c r="K52" s="149" t="s">
        <v>985</v>
      </c>
      <c r="L52" s="149" t="s">
        <v>35</v>
      </c>
      <c r="M52" s="149" t="s">
        <v>35</v>
      </c>
      <c r="N52" s="147"/>
      <c r="O52" s="151"/>
    </row>
    <row r="53" spans="2:16" ht="13.5" thickBot="1" x14ac:dyDescent="0.25">
      <c r="B53" s="96" t="s">
        <v>1035</v>
      </c>
      <c r="C53" s="99" t="s">
        <v>992</v>
      </c>
      <c r="D53" s="99" t="s">
        <v>559</v>
      </c>
      <c r="E53" s="96" t="s">
        <v>995</v>
      </c>
      <c r="F53" s="98" t="s">
        <v>521</v>
      </c>
      <c r="H53" s="149" t="str">
        <f t="shared" si="0"/>
        <v>○</v>
      </c>
      <c r="I53" s="149" t="str">
        <f>_xlfn.SWITCH('2.2.2. 標準構成とオプション(1)'!D47,"S","○","O","○","－","×")</f>
        <v>○</v>
      </c>
      <c r="J53" s="149" t="s">
        <v>985</v>
      </c>
      <c r="K53" s="149" t="s">
        <v>985</v>
      </c>
      <c r="L53" s="149" t="s">
        <v>35</v>
      </c>
      <c r="M53" s="149" t="s">
        <v>35</v>
      </c>
      <c r="N53" s="147"/>
      <c r="O53" s="92" t="str">
        <f>'2.2.2. 標準構成とオプション(1)'!B47</f>
        <v>PFIM</v>
      </c>
    </row>
    <row r="54" spans="2:16" ht="13.5" thickBot="1" x14ac:dyDescent="0.25">
      <c r="B54" s="251" t="s">
        <v>1249</v>
      </c>
      <c r="C54" s="99" t="s">
        <v>992</v>
      </c>
      <c r="D54" s="99" t="s">
        <v>559</v>
      </c>
      <c r="E54" s="96" t="s">
        <v>995</v>
      </c>
      <c r="F54" s="252" t="s">
        <v>1247</v>
      </c>
      <c r="H54" s="149" t="str">
        <f t="shared" si="0"/>
        <v>○</v>
      </c>
      <c r="I54" s="149" t="str">
        <f>_xlfn.SWITCH('2.2.2. 標準構成とオプション(1)'!D48,"S","○","O","○","－","×")</f>
        <v>○</v>
      </c>
      <c r="J54" s="149" t="s">
        <v>985</v>
      </c>
      <c r="K54" s="149" t="s">
        <v>985</v>
      </c>
      <c r="L54" s="149" t="s">
        <v>35</v>
      </c>
      <c r="M54" s="149" t="s">
        <v>35</v>
      </c>
      <c r="N54" s="147"/>
      <c r="O54" s="92" t="str">
        <f>'2.2.2. 標準構成とオプション(1)'!B48</f>
        <v>外部排出装置</v>
      </c>
    </row>
    <row r="55" spans="2:16" ht="13.5" thickBot="1" x14ac:dyDescent="0.25">
      <c r="B55" s="96" t="s">
        <v>1036</v>
      </c>
      <c r="C55" s="99" t="s">
        <v>992</v>
      </c>
      <c r="D55" s="99" t="s">
        <v>559</v>
      </c>
      <c r="E55" s="96" t="s">
        <v>995</v>
      </c>
      <c r="F55" s="98" t="s">
        <v>615</v>
      </c>
      <c r="H55" s="149" t="str">
        <f t="shared" si="0"/>
        <v>○</v>
      </c>
      <c r="I55" s="149" t="str">
        <f>_xlfn.SWITCH('2.2.2. 標準構成とオプション(1)'!D32,"S","○","O","○","－","×")</f>
        <v>○</v>
      </c>
      <c r="J55" s="149" t="str">
        <f>_xlfn.SWITCH('2.2.2. 標準構成とオプション(1)'!D45,"S","○","O","○","－","×")</f>
        <v>○</v>
      </c>
      <c r="K55" s="149" t="s">
        <v>985</v>
      </c>
      <c r="L55" s="149" t="s">
        <v>35</v>
      </c>
      <c r="M55" s="149" t="s">
        <v>35</v>
      </c>
      <c r="N55" s="147"/>
      <c r="O55" s="92" t="str">
        <f>'2.2.2. 標準構成とオプション(1)'!B32</f>
        <v>CH-Finisher (Puncher)</v>
      </c>
      <c r="P55" s="92" t="str">
        <f>'2.2.2. 標準構成とオプション(1)'!B45</f>
        <v>D2G-Finisher (Puncher)</v>
      </c>
    </row>
    <row r="56" spans="2:16" ht="13.5" thickBot="1" x14ac:dyDescent="0.25">
      <c r="B56" s="96" t="s">
        <v>1037</v>
      </c>
      <c r="C56" s="99" t="s">
        <v>992</v>
      </c>
      <c r="D56" s="99" t="s">
        <v>559</v>
      </c>
      <c r="E56" s="96" t="s">
        <v>995</v>
      </c>
      <c r="F56" s="98" t="s">
        <v>616</v>
      </c>
      <c r="H56" s="149" t="str">
        <f t="shared" si="0"/>
        <v>○</v>
      </c>
      <c r="I56" s="149" t="str">
        <f>_xlfn.SWITCH('2.2.2. 標準構成とオプション(1)'!D29,"S","○","O","○","－","×")</f>
        <v>○</v>
      </c>
      <c r="J56" s="149" t="str">
        <f>_xlfn.SWITCH('2.2.2. 標準構成とオプション(1)'!D39,"S","○","O","○","－","×")</f>
        <v>○</v>
      </c>
      <c r="K56" s="149" t="s">
        <v>985</v>
      </c>
      <c r="L56" s="149" t="s">
        <v>35</v>
      </c>
      <c r="M56" s="149" t="s">
        <v>35</v>
      </c>
      <c r="N56" s="147"/>
      <c r="O56" s="92" t="str">
        <f>'2.2.2. 標準構成とオプション(1)'!B29</f>
        <v>CH-Finisher (w Booklet)</v>
      </c>
      <c r="P56" s="92" t="str">
        <f>'2.2.2. 標準構成とオプション(1)'!B39</f>
        <v>D2G-Finisher (w Booklet)</v>
      </c>
    </row>
    <row r="57" spans="2:16" ht="13.5" thickBot="1" x14ac:dyDescent="0.25">
      <c r="B57" s="96" t="s">
        <v>1262</v>
      </c>
      <c r="C57" s="99" t="s">
        <v>992</v>
      </c>
      <c r="D57" s="99" t="s">
        <v>559</v>
      </c>
      <c r="E57" s="96" t="s">
        <v>995</v>
      </c>
      <c r="F57" s="98" t="s">
        <v>617</v>
      </c>
      <c r="H57" s="149" t="str">
        <f t="shared" si="0"/>
        <v>○</v>
      </c>
      <c r="I57" s="149" t="str">
        <f>_xlfn.SWITCH('2.2.2. 標準構成とオプション(1)'!D46,"S","○","O","○","－","×")</f>
        <v>○</v>
      </c>
      <c r="J57" s="149" t="s">
        <v>985</v>
      </c>
      <c r="K57" s="149" t="s">
        <v>985</v>
      </c>
      <c r="L57" s="149" t="s">
        <v>35</v>
      </c>
      <c r="M57" s="149" t="s">
        <v>35</v>
      </c>
      <c r="N57" s="147"/>
      <c r="O57" s="92" t="str">
        <f>'2.2.2. 標準構成とオプション(1)'!B46</f>
        <v>D2G-Finisher (TSQF)</v>
      </c>
    </row>
    <row r="58" spans="2:16" ht="13.5" thickBot="1" x14ac:dyDescent="0.25">
      <c r="B58" s="96" t="s">
        <v>1038</v>
      </c>
      <c r="C58" s="99" t="s">
        <v>992</v>
      </c>
      <c r="D58" s="99" t="s">
        <v>559</v>
      </c>
      <c r="E58" s="96" t="s">
        <v>995</v>
      </c>
      <c r="F58" s="98" t="s">
        <v>618</v>
      </c>
      <c r="H58" s="149" t="str">
        <f t="shared" si="0"/>
        <v>○</v>
      </c>
      <c r="I58" s="149" t="str">
        <f>_xlfn.SWITCH('2.2.2. 標準構成とオプション(1)'!D30,"S","○","O","○","－","×")</f>
        <v>○</v>
      </c>
      <c r="J58" s="149" t="str">
        <f>_xlfn.SWITCH('2.2.2. 標準構成とオプション(1)'!D44,"S","○","O","○","－","×")</f>
        <v>○</v>
      </c>
      <c r="K58" s="149" t="s">
        <v>985</v>
      </c>
      <c r="L58" s="149" t="s">
        <v>35</v>
      </c>
      <c r="M58" s="149" t="s">
        <v>35</v>
      </c>
      <c r="N58" s="147"/>
      <c r="O58" s="92" t="str">
        <f>'2.2.2. 標準構成とオプション(1)'!B30</f>
        <v>CH-Finisher (Folder Unit)</v>
      </c>
      <c r="P58" s="92" t="str">
        <f>'2.2.2. 標準構成とオプション(1)'!B44</f>
        <v>D2G-Finisher (Folder Unit)</v>
      </c>
    </row>
    <row r="59" spans="2:16" ht="13.5" thickBot="1" x14ac:dyDescent="0.25">
      <c r="B59" s="96" t="s">
        <v>1039</v>
      </c>
      <c r="C59" s="99" t="s">
        <v>992</v>
      </c>
      <c r="D59" s="99" t="s">
        <v>559</v>
      </c>
      <c r="E59" s="96" t="s">
        <v>995</v>
      </c>
      <c r="F59" s="98" t="s">
        <v>629</v>
      </c>
      <c r="H59" s="149" t="str">
        <f t="shared" si="0"/>
        <v>○</v>
      </c>
      <c r="I59" s="149" t="str">
        <f>_xlfn.SWITCH('2.2.2. 標準構成とオプション(1)'!D43,"S","○","O","○","－","×")</f>
        <v>○</v>
      </c>
      <c r="J59" s="149" t="s">
        <v>985</v>
      </c>
      <c r="K59" s="149" t="s">
        <v>985</v>
      </c>
      <c r="L59" s="149" t="s">
        <v>35</v>
      </c>
      <c r="M59" s="149" t="s">
        <v>35</v>
      </c>
      <c r="N59" s="147"/>
      <c r="O59" s="92" t="str">
        <f>'2.2.2. 標準構成とオプション(1)'!B43</f>
        <v>D2G-Finisher (TCBM Unit)</v>
      </c>
    </row>
    <row r="60" spans="2:16" ht="13.5" thickBot="1" x14ac:dyDescent="0.25">
      <c r="B60" s="251" t="s">
        <v>1263</v>
      </c>
      <c r="C60" s="99" t="s">
        <v>992</v>
      </c>
      <c r="D60" s="99" t="s">
        <v>559</v>
      </c>
      <c r="E60" s="96" t="s">
        <v>995</v>
      </c>
      <c r="F60" s="98" t="s">
        <v>628</v>
      </c>
      <c r="H60" s="149" t="str">
        <f t="shared" si="0"/>
        <v>○</v>
      </c>
      <c r="I60" s="149" t="str">
        <f>_xlfn.SWITCH('2.2.2. 標準構成とオプション(1)'!D43,"S","○","O","○","－","×")</f>
        <v>○</v>
      </c>
      <c r="J60" s="149" t="str">
        <f>_xlfn.SWITCH('2.2.2. 標準構成とオプション(1)'!D42,"S","○","O","○","－","×")</f>
        <v>○</v>
      </c>
      <c r="K60" s="149" t="s">
        <v>985</v>
      </c>
      <c r="L60" s="149" t="s">
        <v>35</v>
      </c>
      <c r="M60" s="149" t="s">
        <v>35</v>
      </c>
      <c r="N60" s="147"/>
      <c r="O60" s="92" t="str">
        <f>'2.2.2. 標準構成とオプション(1)'!B43</f>
        <v>D2G-Finisher (TCBM Unit)</v>
      </c>
      <c r="P60" s="92" t="str">
        <f>'2.2.2. 標準構成とオプション(1)'!B42</f>
        <v>D2G-Finisher (TBM Unit)</v>
      </c>
    </row>
    <row r="61" spans="2:16" ht="13.5" thickBot="1" x14ac:dyDescent="0.25">
      <c r="B61" s="154" t="s">
        <v>1052</v>
      </c>
      <c r="C61" s="155" t="s">
        <v>1050</v>
      </c>
      <c r="D61" s="155" t="s">
        <v>559</v>
      </c>
      <c r="E61" s="154" t="s">
        <v>1051</v>
      </c>
      <c r="F61" s="156" t="s">
        <v>614</v>
      </c>
      <c r="H61" s="149" t="str">
        <f t="shared" si="0"/>
        <v>○</v>
      </c>
      <c r="I61" s="149" t="str">
        <f>_xlfn.SWITCH('2.2.2. 標準構成とオプション(1)'!D31,"S","○","O","○","－","×")</f>
        <v>○</v>
      </c>
      <c r="J61" s="149" t="s">
        <v>985</v>
      </c>
      <c r="K61" s="149" t="s">
        <v>985</v>
      </c>
      <c r="L61" s="149" t="s">
        <v>35</v>
      </c>
      <c r="M61" s="149" t="s">
        <v>35</v>
      </c>
      <c r="N61" s="147"/>
      <c r="O61" s="92" t="str">
        <f>'2.2.2. 標準構成とオプション(1)'!B31</f>
        <v>CH-Finisher (MailBox)</v>
      </c>
    </row>
    <row r="63" spans="2:16" ht="13.5" hidden="1" thickBot="1" x14ac:dyDescent="0.25">
      <c r="O63" s="92" t="str">
        <f>'2.2.2. 標準構成とオプション(1)'!B46</f>
        <v>D2G-Finisher (TSQF)</v>
      </c>
    </row>
    <row r="64" spans="2:16" ht="13.5" hidden="1" thickBot="1" x14ac:dyDescent="0.25">
      <c r="F64" s="98" t="s">
        <v>583</v>
      </c>
    </row>
    <row r="65" spans="2:15" ht="13.5" hidden="1" thickBot="1" x14ac:dyDescent="0.25">
      <c r="F65" s="98" t="s">
        <v>595</v>
      </c>
      <c r="O65" s="92">
        <f>'2.2.2. 標準構成とオプション(1)'!B49</f>
        <v>0</v>
      </c>
    </row>
    <row r="66" spans="2:15" ht="13.5" hidden="1" thickBot="1" x14ac:dyDescent="0.25">
      <c r="F66" s="98" t="s">
        <v>606</v>
      </c>
      <c r="O66" s="92">
        <f>'2.2.2. 標準構成とオプション(1)'!B50</f>
        <v>0</v>
      </c>
    </row>
    <row r="67" spans="2:15" ht="13.5" hidden="1" thickBot="1" x14ac:dyDescent="0.25">
      <c r="F67" s="98" t="s">
        <v>619</v>
      </c>
      <c r="O67" s="92">
        <f>'2.2.2. 標準構成とオプション(1)'!B51</f>
        <v>0</v>
      </c>
    </row>
    <row r="68" spans="2:15" ht="13.5" hidden="1" thickBot="1" x14ac:dyDescent="0.25">
      <c r="F68" s="98" t="s">
        <v>620</v>
      </c>
      <c r="O68" s="92">
        <f>'2.2.2. 標準構成とオプション(1)'!B52</f>
        <v>0</v>
      </c>
    </row>
    <row r="69" spans="2:15" ht="13.5" hidden="1" thickBot="1" x14ac:dyDescent="0.25">
      <c r="F69" s="98" t="s">
        <v>621</v>
      </c>
      <c r="O69" s="92">
        <f>'2.2.2. 標準構成とオプション(1)'!B53</f>
        <v>0</v>
      </c>
    </row>
    <row r="70" spans="2:15" ht="13.5" hidden="1" thickBot="1" x14ac:dyDescent="0.25">
      <c r="F70" s="98" t="s">
        <v>1299</v>
      </c>
      <c r="O70" s="92">
        <f>'2.2.2. 標準構成とオプション(1)'!B54</f>
        <v>0</v>
      </c>
    </row>
    <row r="71" spans="2:15" ht="13.5" hidden="1" thickBot="1" x14ac:dyDescent="0.25">
      <c r="F71" s="98" t="s">
        <v>625</v>
      </c>
      <c r="O71" s="92">
        <f>'2.2.2. 標準構成とオプション(1)'!B55</f>
        <v>0</v>
      </c>
    </row>
    <row r="72" spans="2:15" ht="13.5" hidden="1" thickBot="1" x14ac:dyDescent="0.25">
      <c r="O72" s="92">
        <f>'2.2.2. 標準構成とオプション(1)'!B56</f>
        <v>0</v>
      </c>
    </row>
    <row r="73" spans="2:15" ht="13.5" hidden="1" thickBot="1" x14ac:dyDescent="0.25">
      <c r="F73" s="98" t="s">
        <v>630</v>
      </c>
      <c r="O73" s="92">
        <f>'2.2.2. 標準構成とオプション(1)'!B57</f>
        <v>0</v>
      </c>
    </row>
    <row r="74" spans="2:15" ht="13.5" hidden="1" thickBot="1" x14ac:dyDescent="0.25">
      <c r="F74" s="98" t="s">
        <v>631</v>
      </c>
    </row>
    <row r="75" spans="2:15" ht="13.5" hidden="1" thickBot="1" x14ac:dyDescent="0.25">
      <c r="F75" s="98" t="s">
        <v>632</v>
      </c>
    </row>
    <row r="76" spans="2:15" ht="13.5" hidden="1" thickBot="1" x14ac:dyDescent="0.25">
      <c r="F76" s="98" t="s">
        <v>633</v>
      </c>
    </row>
    <row r="77" spans="2:15" ht="13.5" thickBot="1" x14ac:dyDescent="0.25">
      <c r="B77" s="86" t="s">
        <v>783</v>
      </c>
    </row>
    <row r="78" spans="2:15" ht="13.5" thickBot="1" x14ac:dyDescent="0.25">
      <c r="B78" s="126" t="s">
        <v>774</v>
      </c>
      <c r="C78" s="127" t="s">
        <v>775</v>
      </c>
      <c r="D78" s="127" t="s">
        <v>776</v>
      </c>
      <c r="E78" s="128" t="s">
        <v>777</v>
      </c>
    </row>
    <row r="79" spans="2:15" ht="48.75" thickBot="1" x14ac:dyDescent="0.25">
      <c r="B79" s="87" t="s">
        <v>778</v>
      </c>
      <c r="C79" s="80" t="s">
        <v>779</v>
      </c>
      <c r="D79" s="80" t="s">
        <v>559</v>
      </c>
      <c r="E79" s="129" t="s">
        <v>781</v>
      </c>
    </row>
    <row r="80" spans="2:15" ht="24.75" thickBot="1" x14ac:dyDescent="0.25">
      <c r="B80" s="85" t="s">
        <v>780</v>
      </c>
      <c r="C80" s="63" t="s">
        <v>779</v>
      </c>
      <c r="D80" s="63" t="s">
        <v>559</v>
      </c>
      <c r="E80" s="84" t="s">
        <v>782</v>
      </c>
    </row>
    <row r="82" spans="2:18" ht="13.5" thickBot="1" x14ac:dyDescent="0.25">
      <c r="B82" s="92" t="s">
        <v>1287</v>
      </c>
    </row>
    <row r="83" spans="2:18" ht="13.5" thickBot="1" x14ac:dyDescent="0.25">
      <c r="B83" s="93" t="s">
        <v>634</v>
      </c>
      <c r="C83" s="94" t="s">
        <v>635</v>
      </c>
      <c r="D83" s="94" t="s">
        <v>636</v>
      </c>
      <c r="E83" s="95" t="s">
        <v>637</v>
      </c>
      <c r="F83" s="95" t="s">
        <v>1115</v>
      </c>
    </row>
    <row r="84" spans="2:18" ht="13.5" thickBot="1" x14ac:dyDescent="0.25">
      <c r="B84" s="169" t="s">
        <v>1117</v>
      </c>
      <c r="C84" s="99" t="s">
        <v>994</v>
      </c>
      <c r="D84" s="99" t="s">
        <v>559</v>
      </c>
      <c r="E84" s="96" t="s">
        <v>1045</v>
      </c>
      <c r="F84" s="98" t="s">
        <v>1116</v>
      </c>
      <c r="H84" s="149" t="str">
        <f t="shared" ref="H84:H99" si="1">IF(OR(I84="○",J84="○",K84="○",L84="○",M84="○"),"○","×")</f>
        <v>○</v>
      </c>
      <c r="I84" s="149" t="str">
        <f>H25</f>
        <v>○</v>
      </c>
      <c r="J84" s="149" t="s">
        <v>35</v>
      </c>
      <c r="K84" s="149" t="s">
        <v>35</v>
      </c>
      <c r="L84" s="149" t="s">
        <v>35</v>
      </c>
      <c r="M84" s="149" t="s">
        <v>35</v>
      </c>
      <c r="N84" s="147"/>
      <c r="O84" s="92" t="str">
        <f>B25</f>
        <v>Duplex Moduleの有無</v>
      </c>
    </row>
    <row r="85" spans="2:18" ht="13.5" thickBot="1" x14ac:dyDescent="0.25">
      <c r="B85" s="169" t="s">
        <v>1118</v>
      </c>
      <c r="C85" s="99" t="s">
        <v>994</v>
      </c>
      <c r="D85" s="99" t="s">
        <v>559</v>
      </c>
      <c r="E85" s="96" t="s">
        <v>995</v>
      </c>
      <c r="F85" s="98" t="s">
        <v>1119</v>
      </c>
      <c r="H85" s="149" t="str">
        <f t="shared" si="1"/>
        <v>○</v>
      </c>
      <c r="I85" s="149" t="str">
        <f>H26</f>
        <v>○</v>
      </c>
      <c r="J85" s="149" t="s">
        <v>35</v>
      </c>
      <c r="K85" s="149" t="s">
        <v>35</v>
      </c>
      <c r="L85" s="149" t="s">
        <v>35</v>
      </c>
      <c r="M85" s="149" t="s">
        <v>35</v>
      </c>
      <c r="N85" s="147"/>
      <c r="O85" s="92" t="str">
        <f>B26</f>
        <v>Inverterの有無</v>
      </c>
    </row>
    <row r="86" spans="2:18" ht="13.5" thickBot="1" x14ac:dyDescent="0.25">
      <c r="B86" s="169" t="s">
        <v>72</v>
      </c>
      <c r="C86" s="99" t="s">
        <v>1123</v>
      </c>
      <c r="D86" s="99" t="s">
        <v>559</v>
      </c>
      <c r="E86" s="96" t="s">
        <v>1124</v>
      </c>
      <c r="F86" s="98" t="s">
        <v>1122</v>
      </c>
      <c r="H86" s="149" t="str">
        <f t="shared" si="1"/>
        <v>○</v>
      </c>
      <c r="I86" s="149" t="str">
        <f>H42</f>
        <v>○</v>
      </c>
      <c r="J86" s="149" t="str">
        <f>H44</f>
        <v>○</v>
      </c>
      <c r="K86" s="149" t="s">
        <v>35</v>
      </c>
      <c r="L86" s="149" t="s">
        <v>35</v>
      </c>
      <c r="M86" s="149" t="s">
        <v>35</v>
      </c>
      <c r="N86" s="147"/>
      <c r="O86" s="92" t="str">
        <f>B42</f>
        <v>CH Finisherの有無</v>
      </c>
      <c r="P86" s="92" t="str">
        <f>B44</f>
        <v>D2G-Finisherの有無</v>
      </c>
    </row>
    <row r="87" spans="2:18" ht="13.5" thickBot="1" x14ac:dyDescent="0.25">
      <c r="B87" s="169" t="s">
        <v>1121</v>
      </c>
      <c r="C87" s="99" t="s">
        <v>992</v>
      </c>
      <c r="D87" s="99" t="s">
        <v>559</v>
      </c>
      <c r="E87" s="96" t="s">
        <v>995</v>
      </c>
      <c r="F87" s="98" t="s">
        <v>1120</v>
      </c>
      <c r="H87" s="149" t="str">
        <f t="shared" si="1"/>
        <v>○</v>
      </c>
      <c r="I87" s="149" t="str">
        <f>H42</f>
        <v>○</v>
      </c>
      <c r="J87" s="149" t="str">
        <f>H44</f>
        <v>○</v>
      </c>
      <c r="K87" s="149" t="str">
        <f>H33</f>
        <v>○</v>
      </c>
      <c r="L87" s="149" t="str">
        <f>H50</f>
        <v>○</v>
      </c>
      <c r="M87" s="149" t="s">
        <v>35</v>
      </c>
      <c r="N87" s="147"/>
      <c r="O87" s="92" t="str">
        <f>B42</f>
        <v>CH Finisherの有無</v>
      </c>
      <c r="P87" s="92" t="str">
        <f>B44</f>
        <v>D2G-Finisherの有無</v>
      </c>
      <c r="Q87" s="92" t="str">
        <f>B33</f>
        <v>OCT(Offset Catch Tray)の有無</v>
      </c>
      <c r="R87" s="92" t="str">
        <f>B50</f>
        <v>HCSの有無</v>
      </c>
    </row>
    <row r="88" spans="2:18" ht="13.5" thickBot="1" x14ac:dyDescent="0.25">
      <c r="B88" s="96" t="s">
        <v>1136</v>
      </c>
      <c r="C88" s="99" t="s">
        <v>992</v>
      </c>
      <c r="D88" s="99" t="s">
        <v>559</v>
      </c>
      <c r="E88" s="96" t="s">
        <v>995</v>
      </c>
      <c r="F88" s="98" t="s">
        <v>1127</v>
      </c>
      <c r="H88" s="149" t="str">
        <f t="shared" si="1"/>
        <v>○</v>
      </c>
      <c r="I88" s="149" t="str">
        <f>H48</f>
        <v>×</v>
      </c>
      <c r="J88" s="149" t="str">
        <f>H49</f>
        <v>○</v>
      </c>
      <c r="K88" s="149" t="s">
        <v>35</v>
      </c>
      <c r="L88" s="149" t="s">
        <v>35</v>
      </c>
      <c r="M88" s="149" t="s">
        <v>35</v>
      </c>
      <c r="N88" s="147"/>
      <c r="O88" s="92" t="str">
        <f>B48</f>
        <v>Coil Puncherの有無</v>
      </c>
      <c r="P88" s="92" t="str">
        <f>B49</f>
        <v>Sparta Coil Puncherの有無</v>
      </c>
    </row>
    <row r="89" spans="2:18" ht="13.5" thickBot="1" x14ac:dyDescent="0.25">
      <c r="B89" s="96" t="s">
        <v>1034</v>
      </c>
      <c r="C89" s="99" t="s">
        <v>992</v>
      </c>
      <c r="D89" s="99" t="s">
        <v>559</v>
      </c>
      <c r="E89" s="96" t="s">
        <v>995</v>
      </c>
      <c r="F89" s="98" t="s">
        <v>1132</v>
      </c>
      <c r="H89" s="149" t="str">
        <f t="shared" si="1"/>
        <v>×</v>
      </c>
      <c r="I89" s="149" t="str">
        <f>H52</f>
        <v>×</v>
      </c>
      <c r="J89" s="149" t="s">
        <v>35</v>
      </c>
      <c r="K89" s="149" t="s">
        <v>35</v>
      </c>
      <c r="L89" s="149" t="s">
        <v>35</v>
      </c>
      <c r="M89" s="149" t="s">
        <v>35</v>
      </c>
      <c r="N89" s="147"/>
      <c r="O89" s="92" t="str">
        <f>B52</f>
        <v>くるみ製本機の有無</v>
      </c>
    </row>
    <row r="90" spans="2:18" ht="13.5" thickBot="1" x14ac:dyDescent="0.25">
      <c r="B90" s="169" t="s">
        <v>1250</v>
      </c>
      <c r="C90" s="99" t="s">
        <v>992</v>
      </c>
      <c r="D90" s="99" t="s">
        <v>559</v>
      </c>
      <c r="E90" s="96" t="s">
        <v>995</v>
      </c>
      <c r="F90" s="252" t="s">
        <v>1250</v>
      </c>
      <c r="H90" s="149" t="str">
        <f t="shared" si="1"/>
        <v>○</v>
      </c>
      <c r="I90" s="149" t="str">
        <f>H54</f>
        <v>○</v>
      </c>
      <c r="J90" s="149" t="s">
        <v>35</v>
      </c>
      <c r="K90" s="149" t="s">
        <v>35</v>
      </c>
      <c r="L90" s="149" t="s">
        <v>35</v>
      </c>
      <c r="M90" s="149" t="s">
        <v>35</v>
      </c>
      <c r="N90" s="147"/>
      <c r="O90" s="92" t="str">
        <f>B54</f>
        <v>外部装置の有無</v>
      </c>
    </row>
    <row r="91" spans="2:18" ht="13.5" thickBot="1" x14ac:dyDescent="0.25">
      <c r="B91" s="96" t="s">
        <v>1126</v>
      </c>
      <c r="C91" s="99" t="s">
        <v>992</v>
      </c>
      <c r="D91" s="99" t="s">
        <v>559</v>
      </c>
      <c r="E91" s="96" t="s">
        <v>995</v>
      </c>
      <c r="F91" s="98" t="s">
        <v>1125</v>
      </c>
      <c r="H91" s="149" t="str">
        <f t="shared" si="1"/>
        <v>○</v>
      </c>
      <c r="I91" s="149" t="str">
        <f>H55</f>
        <v>○</v>
      </c>
      <c r="J91" s="149" t="s">
        <v>35</v>
      </c>
      <c r="K91" s="149" t="s">
        <v>35</v>
      </c>
      <c r="L91" s="149" t="s">
        <v>35</v>
      </c>
      <c r="M91" s="149" t="s">
        <v>35</v>
      </c>
      <c r="N91" s="147"/>
      <c r="O91" s="92" t="str">
        <f>B55</f>
        <v>Puncherの有無</v>
      </c>
    </row>
    <row r="92" spans="2:18" ht="13.5" thickBot="1" x14ac:dyDescent="0.25">
      <c r="B92" s="96" t="s">
        <v>1138</v>
      </c>
      <c r="C92" s="99" t="s">
        <v>992</v>
      </c>
      <c r="D92" s="99" t="s">
        <v>559</v>
      </c>
      <c r="E92" s="96" t="s">
        <v>995</v>
      </c>
      <c r="F92" s="98" t="s">
        <v>1130</v>
      </c>
      <c r="H92" s="149" t="str">
        <f t="shared" si="1"/>
        <v>○</v>
      </c>
      <c r="I92" s="149" t="str">
        <f>H56</f>
        <v>○</v>
      </c>
      <c r="J92" s="149" t="s">
        <v>35</v>
      </c>
      <c r="K92" s="149" t="s">
        <v>35</v>
      </c>
      <c r="L92" s="149" t="s">
        <v>35</v>
      </c>
      <c r="M92" s="149" t="s">
        <v>35</v>
      </c>
      <c r="N92" s="147"/>
      <c r="O92" s="92" t="str">
        <f>B56</f>
        <v>Bookletの有無</v>
      </c>
    </row>
    <row r="93" spans="2:18" ht="13.5" thickBot="1" x14ac:dyDescent="0.25">
      <c r="B93" s="96" t="s">
        <v>1143</v>
      </c>
      <c r="C93" s="99" t="s">
        <v>992</v>
      </c>
      <c r="D93" s="99" t="s">
        <v>559</v>
      </c>
      <c r="E93" s="96" t="s">
        <v>995</v>
      </c>
      <c r="F93" s="98" t="s">
        <v>1131</v>
      </c>
      <c r="H93" s="149" t="str">
        <f t="shared" si="1"/>
        <v>○</v>
      </c>
      <c r="I93" s="149" t="str">
        <f>H57</f>
        <v>○</v>
      </c>
      <c r="J93" s="149" t="s">
        <v>35</v>
      </c>
      <c r="K93" s="149" t="s">
        <v>35</v>
      </c>
      <c r="L93" s="149" t="s">
        <v>35</v>
      </c>
      <c r="M93" s="149" t="s">
        <v>35</v>
      </c>
      <c r="N93" s="147"/>
      <c r="O93" s="92" t="str">
        <f>B57</f>
        <v>Booklet 小口断裁の有無</v>
      </c>
    </row>
    <row r="94" spans="2:18" ht="13.5" thickBot="1" x14ac:dyDescent="0.25">
      <c r="B94" s="96" t="s">
        <v>1261</v>
      </c>
      <c r="C94" s="99" t="s">
        <v>992</v>
      </c>
      <c r="D94" s="99" t="s">
        <v>559</v>
      </c>
      <c r="E94" s="96" t="s">
        <v>995</v>
      </c>
      <c r="F94" s="98" t="s">
        <v>1298</v>
      </c>
      <c r="H94" s="149" t="str">
        <f t="shared" si="1"/>
        <v>○</v>
      </c>
      <c r="I94" s="149" t="str">
        <f>H57</f>
        <v>○</v>
      </c>
      <c r="J94" s="149" t="s">
        <v>35</v>
      </c>
      <c r="K94" s="149" t="s">
        <v>35</v>
      </c>
      <c r="L94" s="149" t="s">
        <v>35</v>
      </c>
      <c r="M94" s="149" t="s">
        <v>35</v>
      </c>
      <c r="N94" s="147"/>
      <c r="O94" s="92" t="str">
        <f>B57</f>
        <v>Booklet 小口断裁の有無</v>
      </c>
    </row>
    <row r="95" spans="2:18" ht="13.5" thickBot="1" x14ac:dyDescent="0.25">
      <c r="B95" s="96" t="s">
        <v>1137</v>
      </c>
      <c r="C95" s="99" t="s">
        <v>992</v>
      </c>
      <c r="D95" s="99" t="s">
        <v>559</v>
      </c>
      <c r="E95" s="96" t="s">
        <v>995</v>
      </c>
      <c r="F95" s="98" t="s">
        <v>1128</v>
      </c>
      <c r="H95" s="149" t="str">
        <f t="shared" si="1"/>
        <v>○</v>
      </c>
      <c r="I95" s="149" t="str">
        <f>H58</f>
        <v>○</v>
      </c>
      <c r="J95" s="149" t="s">
        <v>35</v>
      </c>
      <c r="K95" s="149" t="s">
        <v>35</v>
      </c>
      <c r="L95" s="149" t="s">
        <v>35</v>
      </c>
      <c r="M95" s="149" t="s">
        <v>35</v>
      </c>
      <c r="N95" s="147"/>
      <c r="O95" s="92" t="str">
        <f>B58</f>
        <v>Folderの有無</v>
      </c>
    </row>
    <row r="96" spans="2:18" ht="13.5" thickBot="1" x14ac:dyDescent="0.25">
      <c r="B96" s="96" t="s">
        <v>1139</v>
      </c>
      <c r="C96" s="99" t="s">
        <v>992</v>
      </c>
      <c r="D96" s="99" t="s">
        <v>559</v>
      </c>
      <c r="E96" s="96" t="s">
        <v>995</v>
      </c>
      <c r="F96" s="98" t="s">
        <v>1129</v>
      </c>
      <c r="H96" s="149" t="str">
        <f t="shared" si="1"/>
        <v>○</v>
      </c>
      <c r="I96" s="149" t="str">
        <f>H58</f>
        <v>○</v>
      </c>
      <c r="J96" s="149" t="s">
        <v>35</v>
      </c>
      <c r="K96" s="149" t="s">
        <v>35</v>
      </c>
      <c r="L96" s="149" t="s">
        <v>35</v>
      </c>
      <c r="M96" s="149" t="s">
        <v>35</v>
      </c>
      <c r="N96" s="147"/>
      <c r="O96" s="92" t="str">
        <f>B58</f>
        <v>Folderの有無</v>
      </c>
    </row>
    <row r="97" spans="2:16" ht="13.5" thickBot="1" x14ac:dyDescent="0.25">
      <c r="B97" s="169" t="s">
        <v>1140</v>
      </c>
      <c r="C97" s="99" t="s">
        <v>992</v>
      </c>
      <c r="D97" s="99" t="s">
        <v>559</v>
      </c>
      <c r="E97" s="96" t="s">
        <v>995</v>
      </c>
      <c r="F97" s="98" t="s">
        <v>1134</v>
      </c>
      <c r="H97" s="149" t="str">
        <f t="shared" si="1"/>
        <v>○</v>
      </c>
      <c r="I97" s="149" t="str">
        <f>H59</f>
        <v>○</v>
      </c>
      <c r="J97" s="149" t="s">
        <v>35</v>
      </c>
      <c r="K97" s="149" t="s">
        <v>35</v>
      </c>
      <c r="L97" s="149" t="s">
        <v>35</v>
      </c>
      <c r="M97" s="149" t="s">
        <v>35</v>
      </c>
      <c r="N97" s="147"/>
      <c r="O97" s="92" t="str">
        <f>B59</f>
        <v>Creaserの有無</v>
      </c>
    </row>
    <row r="98" spans="2:16" ht="13.5" thickBot="1" x14ac:dyDescent="0.25">
      <c r="B98" s="169" t="s">
        <v>1141</v>
      </c>
      <c r="C98" s="99" t="s">
        <v>992</v>
      </c>
      <c r="D98" s="99" t="s">
        <v>559</v>
      </c>
      <c r="E98" s="96"/>
      <c r="F98" s="98" t="s">
        <v>1135</v>
      </c>
      <c r="H98" s="149" t="str">
        <f>IF(AND(I98="○",J98="○"),"○","×")</f>
        <v>○</v>
      </c>
      <c r="I98" s="149" t="str">
        <f>H59</f>
        <v>○</v>
      </c>
      <c r="J98" s="149" t="str">
        <f>H56</f>
        <v>○</v>
      </c>
      <c r="K98" s="149" t="s">
        <v>35</v>
      </c>
      <c r="L98" s="149" t="s">
        <v>35</v>
      </c>
      <c r="M98" s="149" t="s">
        <v>35</v>
      </c>
      <c r="N98" s="147"/>
      <c r="O98" s="92" t="str">
        <f>B59</f>
        <v>Creaserの有無</v>
      </c>
      <c r="P98" s="92" t="str">
        <f>B56</f>
        <v>Bookletの有無</v>
      </c>
    </row>
    <row r="99" spans="2:16" ht="13.5" thickBot="1" x14ac:dyDescent="0.25">
      <c r="B99" s="169" t="s">
        <v>1142</v>
      </c>
      <c r="C99" s="99" t="s">
        <v>992</v>
      </c>
      <c r="D99" s="99" t="s">
        <v>559</v>
      </c>
      <c r="E99" s="96" t="s">
        <v>995</v>
      </c>
      <c r="F99" s="98" t="s">
        <v>1133</v>
      </c>
      <c r="H99" s="149" t="str">
        <f t="shared" si="1"/>
        <v>○</v>
      </c>
      <c r="I99" s="149" t="str">
        <f>H59</f>
        <v>○</v>
      </c>
      <c r="J99" s="149" t="s">
        <v>35</v>
      </c>
      <c r="K99" s="149" t="s">
        <v>35</v>
      </c>
      <c r="L99" s="149" t="s">
        <v>35</v>
      </c>
      <c r="M99" s="149" t="s">
        <v>35</v>
      </c>
      <c r="N99" s="147"/>
      <c r="O99" s="92" t="str">
        <f>B60</f>
        <v>天地断裁の有無</v>
      </c>
    </row>
  </sheetData>
  <mergeCells count="3">
    <mergeCell ref="B3:B11"/>
    <mergeCell ref="C3:C11"/>
    <mergeCell ref="D3:D11"/>
  </mergeCells>
  <phoneticPr fontId="8"/>
  <conditionalFormatting sqref="B12:F22 B24:F61">
    <cfRule type="expression" dxfId="8" priority="7">
      <formula>$H12="×"</formula>
    </cfRule>
  </conditionalFormatting>
  <conditionalFormatting sqref="E3:F11">
    <cfRule type="expression" dxfId="7" priority="6">
      <formula>$H3="×"</formula>
    </cfRule>
  </conditionalFormatting>
  <conditionalFormatting sqref="B23:F23">
    <cfRule type="expression" dxfId="6" priority="5">
      <formula>$H23="×"</formula>
    </cfRule>
  </conditionalFormatting>
  <conditionalFormatting sqref="B84:F99">
    <cfRule type="expression" dxfId="5" priority="4">
      <formula>$H84="×"</formula>
    </cfRule>
  </conditionalFormatting>
  <conditionalFormatting sqref="H3:M97 H98:H99 J98:M99">
    <cfRule type="expression" dxfId="4" priority="3">
      <formula>H3="×"</formula>
    </cfRule>
  </conditionalFormatting>
  <conditionalFormatting sqref="I98">
    <cfRule type="expression" dxfId="3" priority="2">
      <formula>I98="×"</formula>
    </cfRule>
  </conditionalFormatting>
  <conditionalFormatting sqref="I99">
    <cfRule type="expression" dxfId="2" priority="1">
      <formula>I99="×"</formula>
    </cfRule>
  </conditionalFormatting>
  <pageMargins left="0.7" right="0.7" top="0.75" bottom="0.75" header="0.3" footer="0.3"/>
  <pageSetup paperSize="9" orientation="portrait" r:id="rId1"/>
  <ignoredErrors>
    <ignoredError sqref="H98" 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B1:L44"/>
  <sheetViews>
    <sheetView zoomScale="130" zoomScaleNormal="130" workbookViewId="0">
      <selection activeCell="M32" sqref="M32"/>
    </sheetView>
  </sheetViews>
  <sheetFormatPr defaultRowHeight="12" x14ac:dyDescent="0.15"/>
  <cols>
    <col min="1" max="1" width="3.7109375" customWidth="1"/>
    <col min="2" max="2" width="21.85546875" customWidth="1"/>
    <col min="6" max="6" width="9.140625" customWidth="1"/>
  </cols>
  <sheetData>
    <row r="1" spans="2:12" ht="12.75" thickBot="1" x14ac:dyDescent="0.2"/>
    <row r="2" spans="2:12" ht="12.75" thickBot="1" x14ac:dyDescent="0.2">
      <c r="B2" s="108" t="s">
        <v>655</v>
      </c>
      <c r="C2" s="109" t="s">
        <v>656</v>
      </c>
      <c r="D2" s="109" t="s">
        <v>657</v>
      </c>
      <c r="E2" s="109" t="s">
        <v>492</v>
      </c>
    </row>
    <row r="3" spans="2:12" ht="12.75" thickBot="1" x14ac:dyDescent="0.2">
      <c r="B3" s="88" t="s">
        <v>658</v>
      </c>
      <c r="C3" s="63" t="s">
        <v>659</v>
      </c>
      <c r="D3" s="63" t="s">
        <v>660</v>
      </c>
      <c r="E3" s="63" t="s">
        <v>660</v>
      </c>
    </row>
    <row r="4" spans="2:12" ht="12.75" thickBot="1" x14ac:dyDescent="0.2">
      <c r="B4" s="88" t="s">
        <v>661</v>
      </c>
      <c r="C4" s="63" t="s">
        <v>659</v>
      </c>
      <c r="D4" s="63" t="s">
        <v>660</v>
      </c>
      <c r="E4" s="63" t="s">
        <v>660</v>
      </c>
    </row>
    <row r="5" spans="2:12" ht="12.75" thickBot="1" x14ac:dyDescent="0.2">
      <c r="B5" s="88" t="s">
        <v>662</v>
      </c>
      <c r="C5" s="63" t="s">
        <v>659</v>
      </c>
      <c r="D5" s="63" t="s">
        <v>660</v>
      </c>
      <c r="E5" s="63" t="s">
        <v>660</v>
      </c>
    </row>
    <row r="6" spans="2:12" ht="12.75" thickBot="1" x14ac:dyDescent="0.2">
      <c r="B6" s="88" t="s">
        <v>663</v>
      </c>
      <c r="C6" s="63" t="s">
        <v>165</v>
      </c>
      <c r="D6" s="63" t="s">
        <v>660</v>
      </c>
      <c r="E6" s="63" t="s">
        <v>660</v>
      </c>
    </row>
    <row r="7" spans="2:12" x14ac:dyDescent="0.15">
      <c r="B7" s="112"/>
      <c r="C7" s="113"/>
      <c r="D7" s="113"/>
      <c r="E7" s="113"/>
    </row>
    <row r="8" spans="2:12" ht="12.75" thickBot="1" x14ac:dyDescent="0.2">
      <c r="B8" s="86"/>
    </row>
    <row r="9" spans="2:12" ht="12.75" customHeight="1" thickBot="1" x14ac:dyDescent="0.2">
      <c r="B9" s="86"/>
      <c r="C9" s="275" t="s">
        <v>664</v>
      </c>
      <c r="D9" s="275" t="s">
        <v>665</v>
      </c>
      <c r="E9" s="275" t="s">
        <v>691</v>
      </c>
      <c r="F9" s="275" t="s">
        <v>690</v>
      </c>
      <c r="G9" s="275" t="s">
        <v>692</v>
      </c>
      <c r="H9" s="275" t="s">
        <v>679</v>
      </c>
      <c r="I9" s="269" t="s">
        <v>685</v>
      </c>
      <c r="J9" s="269" t="s">
        <v>686</v>
      </c>
      <c r="K9" s="279" t="s">
        <v>1247</v>
      </c>
      <c r="L9" s="275" t="s">
        <v>680</v>
      </c>
    </row>
    <row r="10" spans="2:12" ht="12.75" customHeight="1" thickBot="1" x14ac:dyDescent="0.2">
      <c r="B10" s="86"/>
      <c r="C10" s="275"/>
      <c r="D10" s="275"/>
      <c r="E10" s="275"/>
      <c r="F10" s="275"/>
      <c r="G10" s="275"/>
      <c r="H10" s="275"/>
      <c r="I10" s="277"/>
      <c r="J10" s="277"/>
      <c r="K10" s="275"/>
      <c r="L10" s="275"/>
    </row>
    <row r="11" spans="2:12" ht="12.75" customHeight="1" thickBot="1" x14ac:dyDescent="0.2">
      <c r="B11" s="111" t="s">
        <v>655</v>
      </c>
      <c r="C11" s="276"/>
      <c r="D11" s="276"/>
      <c r="E11" s="275"/>
      <c r="F11" s="275"/>
      <c r="G11" s="275"/>
      <c r="H11" s="275"/>
      <c r="I11" s="278"/>
      <c r="J11" s="278"/>
      <c r="K11" s="275"/>
      <c r="L11" s="275"/>
    </row>
    <row r="12" spans="2:12" ht="12.75" thickBot="1" x14ac:dyDescent="0.2">
      <c r="B12" s="88" t="s">
        <v>666</v>
      </c>
      <c r="C12" s="63" t="s">
        <v>660</v>
      </c>
      <c r="D12" s="63" t="s">
        <v>660</v>
      </c>
      <c r="E12" s="63" t="s">
        <v>659</v>
      </c>
      <c r="F12" s="63" t="s">
        <v>659</v>
      </c>
      <c r="G12" s="63" t="s">
        <v>659</v>
      </c>
      <c r="H12" s="63" t="s">
        <v>659</v>
      </c>
      <c r="I12" s="63" t="s">
        <v>659</v>
      </c>
      <c r="J12" s="63" t="s">
        <v>659</v>
      </c>
      <c r="K12" s="63" t="s">
        <v>659</v>
      </c>
      <c r="L12" s="63" t="s">
        <v>659</v>
      </c>
    </row>
    <row r="13" spans="2:12" ht="12.75" thickBot="1" x14ac:dyDescent="0.2">
      <c r="B13" s="88" t="s">
        <v>667</v>
      </c>
      <c r="C13" s="63" t="s">
        <v>165</v>
      </c>
      <c r="D13" s="63" t="s">
        <v>165</v>
      </c>
      <c r="E13" s="63" t="s">
        <v>659</v>
      </c>
      <c r="F13" s="63" t="s">
        <v>659</v>
      </c>
      <c r="G13" s="63" t="s">
        <v>659</v>
      </c>
      <c r="H13" s="63" t="s">
        <v>659</v>
      </c>
      <c r="I13" s="63" t="s">
        <v>659</v>
      </c>
      <c r="J13" s="63" t="s">
        <v>659</v>
      </c>
      <c r="K13" s="63" t="s">
        <v>659</v>
      </c>
      <c r="L13" s="63" t="s">
        <v>659</v>
      </c>
    </row>
    <row r="14" spans="2:12" ht="12.75" thickBot="1" x14ac:dyDescent="0.2">
      <c r="B14" s="85" t="s">
        <v>668</v>
      </c>
      <c r="C14" s="63" t="s">
        <v>165</v>
      </c>
      <c r="D14" s="63" t="s">
        <v>165</v>
      </c>
      <c r="E14" s="63" t="s">
        <v>165</v>
      </c>
      <c r="F14" s="63" t="s">
        <v>659</v>
      </c>
      <c r="G14" s="63" t="s">
        <v>659</v>
      </c>
      <c r="H14" s="63" t="s">
        <v>659</v>
      </c>
      <c r="I14" s="63" t="s">
        <v>165</v>
      </c>
      <c r="J14" s="63" t="s">
        <v>165</v>
      </c>
      <c r="K14" s="63" t="s">
        <v>165</v>
      </c>
      <c r="L14" s="63" t="s">
        <v>165</v>
      </c>
    </row>
    <row r="15" spans="2:12" ht="12.75" thickBot="1" x14ac:dyDescent="0.2">
      <c r="B15" s="85" t="s">
        <v>669</v>
      </c>
      <c r="C15" s="63" t="s">
        <v>165</v>
      </c>
      <c r="D15" s="63" t="s">
        <v>165</v>
      </c>
      <c r="E15" s="63" t="s">
        <v>165</v>
      </c>
      <c r="F15" s="63" t="s">
        <v>165</v>
      </c>
      <c r="G15" s="63" t="s">
        <v>165</v>
      </c>
      <c r="H15" s="63" t="s">
        <v>659</v>
      </c>
      <c r="I15" s="63" t="s">
        <v>165</v>
      </c>
      <c r="J15" s="63" t="s">
        <v>165</v>
      </c>
      <c r="K15" s="63" t="s">
        <v>165</v>
      </c>
      <c r="L15" s="63" t="s">
        <v>165</v>
      </c>
    </row>
    <row r="16" spans="2:12" ht="12.75" thickBot="1" x14ac:dyDescent="0.2">
      <c r="B16" s="85" t="s">
        <v>670</v>
      </c>
      <c r="C16" s="63" t="s">
        <v>165</v>
      </c>
      <c r="D16" s="63" t="s">
        <v>165</v>
      </c>
      <c r="E16" s="63" t="s">
        <v>165</v>
      </c>
      <c r="F16" s="63" t="s">
        <v>165</v>
      </c>
      <c r="G16" s="63" t="s">
        <v>165</v>
      </c>
      <c r="H16" s="63" t="s">
        <v>165</v>
      </c>
      <c r="I16" s="63" t="s">
        <v>165</v>
      </c>
      <c r="J16" s="63" t="s">
        <v>165</v>
      </c>
      <c r="K16" s="63" t="s">
        <v>165</v>
      </c>
      <c r="L16" s="63" t="s">
        <v>165</v>
      </c>
    </row>
    <row r="17" spans="2:12" ht="12.75" thickBot="1" x14ac:dyDescent="0.2">
      <c r="B17" s="85" t="s">
        <v>671</v>
      </c>
      <c r="C17" s="63" t="s">
        <v>165</v>
      </c>
      <c r="D17" s="63" t="s">
        <v>165</v>
      </c>
      <c r="E17" s="63" t="s">
        <v>165</v>
      </c>
      <c r="F17" s="63" t="s">
        <v>165</v>
      </c>
      <c r="G17" s="63" t="s">
        <v>165</v>
      </c>
      <c r="H17" s="63" t="s">
        <v>165</v>
      </c>
      <c r="I17" s="63" t="s">
        <v>165</v>
      </c>
      <c r="J17" s="63" t="s">
        <v>165</v>
      </c>
      <c r="K17" s="63" t="s">
        <v>165</v>
      </c>
      <c r="L17" s="63" t="s">
        <v>165</v>
      </c>
    </row>
    <row r="18" spans="2:12" ht="12.75" thickBot="1" x14ac:dyDescent="0.2">
      <c r="B18" s="85" t="s">
        <v>672</v>
      </c>
      <c r="C18" s="63" t="s">
        <v>165</v>
      </c>
      <c r="D18" s="63" t="s">
        <v>165</v>
      </c>
      <c r="E18" s="63" t="s">
        <v>165</v>
      </c>
      <c r="F18" s="63" t="s">
        <v>165</v>
      </c>
      <c r="G18" s="63" t="s">
        <v>165</v>
      </c>
      <c r="H18" s="63" t="s">
        <v>165</v>
      </c>
      <c r="I18" s="63" t="s">
        <v>165</v>
      </c>
      <c r="J18" s="63" t="s">
        <v>659</v>
      </c>
      <c r="K18" s="63" t="s">
        <v>165</v>
      </c>
      <c r="L18" s="63" t="s">
        <v>165</v>
      </c>
    </row>
    <row r="19" spans="2:12" ht="12.75" thickBot="1" x14ac:dyDescent="0.2">
      <c r="B19" s="85" t="s">
        <v>673</v>
      </c>
      <c r="C19" s="63" t="s">
        <v>165</v>
      </c>
      <c r="D19" s="63" t="s">
        <v>165</v>
      </c>
      <c r="E19" s="63" t="s">
        <v>165</v>
      </c>
      <c r="F19" s="63" t="s">
        <v>165</v>
      </c>
      <c r="G19" s="63" t="s">
        <v>165</v>
      </c>
      <c r="H19" s="63" t="s">
        <v>165</v>
      </c>
      <c r="I19" s="63" t="s">
        <v>165</v>
      </c>
      <c r="J19" s="63" t="s">
        <v>659</v>
      </c>
      <c r="K19" s="63" t="s">
        <v>165</v>
      </c>
      <c r="L19" s="63" t="s">
        <v>165</v>
      </c>
    </row>
    <row r="20" spans="2:12" ht="12.75" thickBot="1" x14ac:dyDescent="0.2">
      <c r="B20" s="88" t="s">
        <v>674</v>
      </c>
      <c r="C20" s="63" t="s">
        <v>165</v>
      </c>
      <c r="D20" s="63" t="s">
        <v>165</v>
      </c>
      <c r="E20" s="63" t="s">
        <v>165</v>
      </c>
      <c r="F20" s="63" t="s">
        <v>165</v>
      </c>
      <c r="G20" s="63" t="s">
        <v>165</v>
      </c>
      <c r="H20" s="63" t="s">
        <v>165</v>
      </c>
      <c r="I20" s="63" t="s">
        <v>659</v>
      </c>
      <c r="J20" s="63" t="s">
        <v>165</v>
      </c>
      <c r="K20" s="63" t="s">
        <v>165</v>
      </c>
      <c r="L20" s="63" t="s">
        <v>165</v>
      </c>
    </row>
    <row r="21" spans="2:12" ht="12.75" thickBot="1" x14ac:dyDescent="0.2">
      <c r="B21" s="88" t="s">
        <v>675</v>
      </c>
      <c r="C21" s="63" t="s">
        <v>165</v>
      </c>
      <c r="D21" s="63" t="s">
        <v>165</v>
      </c>
      <c r="E21" s="63" t="s">
        <v>165</v>
      </c>
      <c r="F21" s="63" t="s">
        <v>165</v>
      </c>
      <c r="G21" s="63" t="s">
        <v>165</v>
      </c>
      <c r="H21" s="63" t="s">
        <v>165</v>
      </c>
      <c r="I21" s="63" t="s">
        <v>659</v>
      </c>
      <c r="J21" s="63" t="s">
        <v>165</v>
      </c>
      <c r="K21" s="63" t="s">
        <v>165</v>
      </c>
      <c r="L21" s="63" t="s">
        <v>165</v>
      </c>
    </row>
    <row r="22" spans="2:12" ht="12.75" thickBot="1" x14ac:dyDescent="0.2">
      <c r="B22" s="258" t="s">
        <v>1259</v>
      </c>
      <c r="C22" s="63" t="s">
        <v>165</v>
      </c>
      <c r="D22" s="63" t="s">
        <v>165</v>
      </c>
      <c r="E22" s="63" t="s">
        <v>165</v>
      </c>
      <c r="F22" s="63" t="s">
        <v>165</v>
      </c>
      <c r="G22" s="63" t="s">
        <v>165</v>
      </c>
      <c r="H22" s="63" t="s">
        <v>165</v>
      </c>
      <c r="I22" s="63" t="s">
        <v>659</v>
      </c>
      <c r="J22" s="63" t="s">
        <v>165</v>
      </c>
      <c r="K22" s="63" t="s">
        <v>165</v>
      </c>
      <c r="L22" s="63" t="s">
        <v>165</v>
      </c>
    </row>
    <row r="23" spans="2:12" ht="12.75" thickBot="1" x14ac:dyDescent="0.2">
      <c r="B23" s="85" t="s">
        <v>676</v>
      </c>
      <c r="C23" s="63" t="s">
        <v>165</v>
      </c>
      <c r="D23" s="63" t="s">
        <v>165</v>
      </c>
      <c r="E23" s="63" t="s">
        <v>165</v>
      </c>
      <c r="F23" s="63" t="s">
        <v>165</v>
      </c>
      <c r="G23" s="63" t="s">
        <v>165</v>
      </c>
      <c r="H23" s="63" t="s">
        <v>165</v>
      </c>
      <c r="I23" s="63" t="s">
        <v>165</v>
      </c>
      <c r="J23" s="63" t="s">
        <v>165</v>
      </c>
      <c r="K23" s="63" t="s">
        <v>165</v>
      </c>
      <c r="L23" s="63" t="s">
        <v>165</v>
      </c>
    </row>
    <row r="24" spans="2:12" ht="12.75" thickBot="1" x14ac:dyDescent="0.2">
      <c r="B24" s="85" t="s">
        <v>677</v>
      </c>
      <c r="C24" s="63" t="s">
        <v>165</v>
      </c>
      <c r="D24" s="63" t="s">
        <v>165</v>
      </c>
      <c r="E24" s="63" t="s">
        <v>165</v>
      </c>
      <c r="F24" s="63" t="s">
        <v>165</v>
      </c>
      <c r="G24" s="63" t="s">
        <v>165</v>
      </c>
      <c r="H24" s="63" t="s">
        <v>165</v>
      </c>
      <c r="I24" s="63" t="s">
        <v>659</v>
      </c>
      <c r="J24" s="63" t="s">
        <v>165</v>
      </c>
      <c r="K24" s="63" t="s">
        <v>165</v>
      </c>
      <c r="L24" s="63" t="s">
        <v>165</v>
      </c>
    </row>
    <row r="25" spans="2:12" ht="12.75" thickBot="1" x14ac:dyDescent="0.2">
      <c r="B25" s="258" t="s">
        <v>1260</v>
      </c>
      <c r="C25" s="63" t="s">
        <v>165</v>
      </c>
      <c r="D25" s="63" t="s">
        <v>165</v>
      </c>
      <c r="E25" s="63" t="s">
        <v>165</v>
      </c>
      <c r="F25" s="63" t="s">
        <v>165</v>
      </c>
      <c r="G25" s="63" t="s">
        <v>165</v>
      </c>
      <c r="H25" s="63" t="s">
        <v>165</v>
      </c>
      <c r="I25" s="63" t="s">
        <v>165</v>
      </c>
      <c r="J25" s="63" t="s">
        <v>165</v>
      </c>
      <c r="K25" s="63" t="s">
        <v>165</v>
      </c>
      <c r="L25" s="63" t="s">
        <v>165</v>
      </c>
    </row>
    <row r="26" spans="2:12" ht="12.75" thickBot="1" x14ac:dyDescent="0.2">
      <c r="B26" s="86"/>
    </row>
    <row r="27" spans="2:12" ht="12.75" thickBot="1" x14ac:dyDescent="0.2">
      <c r="B27" s="86"/>
      <c r="C27" s="280" t="s">
        <v>687</v>
      </c>
      <c r="D27" s="281"/>
      <c r="E27" s="281"/>
      <c r="F27" s="282"/>
    </row>
    <row r="28" spans="2:12" ht="12.75" customHeight="1" thickBot="1" x14ac:dyDescent="0.2">
      <c r="B28" s="86"/>
      <c r="C28" s="269" t="s">
        <v>688</v>
      </c>
      <c r="D28" s="275" t="s">
        <v>689</v>
      </c>
      <c r="E28" s="275" t="s">
        <v>693</v>
      </c>
      <c r="F28" s="275" t="s">
        <v>690</v>
      </c>
      <c r="G28" s="275" t="s">
        <v>681</v>
      </c>
      <c r="H28" s="275" t="s">
        <v>682</v>
      </c>
      <c r="I28" s="275" t="s">
        <v>683</v>
      </c>
      <c r="J28" s="275" t="s">
        <v>684</v>
      </c>
      <c r="K28" s="275" t="s">
        <v>678</v>
      </c>
    </row>
    <row r="29" spans="2:12" ht="12.75" customHeight="1" thickBot="1" x14ac:dyDescent="0.2">
      <c r="B29" s="86"/>
      <c r="C29" s="277"/>
      <c r="D29" s="275"/>
      <c r="E29" s="275"/>
      <c r="F29" s="275"/>
      <c r="G29" s="275"/>
      <c r="H29" s="275"/>
      <c r="I29" s="275"/>
      <c r="J29" s="275"/>
      <c r="K29" s="275"/>
    </row>
    <row r="30" spans="2:12" ht="12.75" customHeight="1" thickBot="1" x14ac:dyDescent="0.2">
      <c r="B30" s="111" t="s">
        <v>655</v>
      </c>
      <c r="C30" s="278"/>
      <c r="D30" s="275"/>
      <c r="E30" s="275"/>
      <c r="F30" s="275"/>
      <c r="G30" s="276"/>
      <c r="H30" s="276"/>
      <c r="I30" s="276"/>
      <c r="J30" s="276"/>
      <c r="K30" s="276"/>
    </row>
    <row r="31" spans="2:12" ht="12.75" thickBot="1" x14ac:dyDescent="0.2">
      <c r="B31" s="88" t="s">
        <v>666</v>
      </c>
      <c r="C31" s="63" t="s">
        <v>165</v>
      </c>
      <c r="D31" s="63" t="s">
        <v>165</v>
      </c>
      <c r="E31" s="63" t="s">
        <v>165</v>
      </c>
      <c r="F31" s="63" t="s">
        <v>165</v>
      </c>
      <c r="G31" s="63" t="s">
        <v>165</v>
      </c>
      <c r="H31" s="63" t="s">
        <v>165</v>
      </c>
      <c r="I31" s="63" t="s">
        <v>165</v>
      </c>
      <c r="J31" s="63" t="s">
        <v>165</v>
      </c>
      <c r="K31" s="63" t="s">
        <v>165</v>
      </c>
    </row>
    <row r="32" spans="2:12" ht="12.75" thickBot="1" x14ac:dyDescent="0.2">
      <c r="B32" s="88" t="s">
        <v>667</v>
      </c>
      <c r="C32" s="63" t="s">
        <v>165</v>
      </c>
      <c r="D32" s="63" t="s">
        <v>165</v>
      </c>
      <c r="E32" s="63" t="s">
        <v>165</v>
      </c>
      <c r="F32" s="63" t="s">
        <v>165</v>
      </c>
      <c r="G32" s="63" t="s">
        <v>165</v>
      </c>
      <c r="H32" s="63" t="s">
        <v>165</v>
      </c>
      <c r="I32" s="63" t="s">
        <v>165</v>
      </c>
      <c r="J32" s="63" t="s">
        <v>165</v>
      </c>
      <c r="K32" s="63" t="s">
        <v>165</v>
      </c>
    </row>
    <row r="33" spans="2:11" ht="12.75" thickBot="1" x14ac:dyDescent="0.2">
      <c r="B33" s="85" t="s">
        <v>668</v>
      </c>
      <c r="C33" s="63" t="s">
        <v>659</v>
      </c>
      <c r="D33" s="63" t="s">
        <v>659</v>
      </c>
      <c r="E33" s="63" t="s">
        <v>659</v>
      </c>
      <c r="F33" s="63" t="s">
        <v>659</v>
      </c>
      <c r="G33" s="63" t="s">
        <v>165</v>
      </c>
      <c r="H33" s="63" t="s">
        <v>165</v>
      </c>
      <c r="I33" s="63" t="s">
        <v>165</v>
      </c>
      <c r="J33" s="63" t="s">
        <v>165</v>
      </c>
      <c r="K33" s="63" t="s">
        <v>165</v>
      </c>
    </row>
    <row r="34" spans="2:11" ht="12.75" thickBot="1" x14ac:dyDescent="0.2">
      <c r="B34" s="85" t="s">
        <v>669</v>
      </c>
      <c r="C34" s="63" t="s">
        <v>165</v>
      </c>
      <c r="D34" s="63" t="s">
        <v>165</v>
      </c>
      <c r="E34" s="63" t="s">
        <v>165</v>
      </c>
      <c r="F34" s="63" t="s">
        <v>165</v>
      </c>
      <c r="G34" s="63" t="s">
        <v>659</v>
      </c>
      <c r="H34" s="63" t="s">
        <v>165</v>
      </c>
      <c r="I34" s="63" t="s">
        <v>165</v>
      </c>
      <c r="J34" s="63" t="s">
        <v>165</v>
      </c>
      <c r="K34" s="63" t="s">
        <v>165</v>
      </c>
    </row>
    <row r="35" spans="2:11" ht="12.75" thickBot="1" x14ac:dyDescent="0.2">
      <c r="B35" s="85" t="s">
        <v>670</v>
      </c>
      <c r="C35" s="63" t="s">
        <v>165</v>
      </c>
      <c r="D35" s="63" t="s">
        <v>165</v>
      </c>
      <c r="E35" s="63" t="s">
        <v>165</v>
      </c>
      <c r="F35" s="63" t="s">
        <v>165</v>
      </c>
      <c r="G35" s="63" t="s">
        <v>165</v>
      </c>
      <c r="H35" s="63" t="s">
        <v>659</v>
      </c>
      <c r="I35" s="63" t="s">
        <v>165</v>
      </c>
      <c r="J35" s="63" t="s">
        <v>165</v>
      </c>
      <c r="K35" s="63" t="s">
        <v>165</v>
      </c>
    </row>
    <row r="36" spans="2:11" ht="12.75" thickBot="1" x14ac:dyDescent="0.2">
      <c r="B36" s="85" t="s">
        <v>671</v>
      </c>
      <c r="C36" s="63" t="s">
        <v>165</v>
      </c>
      <c r="D36" s="63" t="s">
        <v>165</v>
      </c>
      <c r="E36" s="63" t="s">
        <v>165</v>
      </c>
      <c r="F36" s="63" t="s">
        <v>165</v>
      </c>
      <c r="G36" s="63" t="s">
        <v>165</v>
      </c>
      <c r="H36" s="63" t="s">
        <v>165</v>
      </c>
      <c r="I36" s="63" t="s">
        <v>659</v>
      </c>
      <c r="J36" s="63" t="s">
        <v>165</v>
      </c>
      <c r="K36" s="63" t="s">
        <v>165</v>
      </c>
    </row>
    <row r="37" spans="2:11" ht="12.75" thickBot="1" x14ac:dyDescent="0.2">
      <c r="B37" s="85" t="s">
        <v>672</v>
      </c>
      <c r="C37" s="63" t="s">
        <v>165</v>
      </c>
      <c r="D37" s="63" t="s">
        <v>165</v>
      </c>
      <c r="E37" s="63" t="s">
        <v>165</v>
      </c>
      <c r="F37" s="63" t="s">
        <v>165</v>
      </c>
      <c r="G37" s="63" t="s">
        <v>165</v>
      </c>
      <c r="H37" s="63" t="s">
        <v>165</v>
      </c>
      <c r="I37" s="63" t="s">
        <v>165</v>
      </c>
      <c r="J37" s="63" t="s">
        <v>165</v>
      </c>
      <c r="K37" s="63" t="s">
        <v>165</v>
      </c>
    </row>
    <row r="38" spans="2:11" ht="12.75" thickBot="1" x14ac:dyDescent="0.2">
      <c r="B38" s="85" t="s">
        <v>673</v>
      </c>
      <c r="C38" s="63" t="s">
        <v>165</v>
      </c>
      <c r="D38" s="63" t="s">
        <v>165</v>
      </c>
      <c r="E38" s="63" t="s">
        <v>165</v>
      </c>
      <c r="F38" s="63" t="s">
        <v>165</v>
      </c>
      <c r="G38" s="63" t="s">
        <v>165</v>
      </c>
      <c r="H38" s="63" t="s">
        <v>165</v>
      </c>
      <c r="I38" s="63" t="s">
        <v>165</v>
      </c>
      <c r="J38" s="63" t="s">
        <v>165</v>
      </c>
      <c r="K38" s="63" t="s">
        <v>165</v>
      </c>
    </row>
    <row r="39" spans="2:11" ht="12.75" thickBot="1" x14ac:dyDescent="0.2">
      <c r="B39" s="88" t="s">
        <v>674</v>
      </c>
      <c r="C39" s="63" t="s">
        <v>165</v>
      </c>
      <c r="D39" s="63" t="s">
        <v>165</v>
      </c>
      <c r="E39" s="63" t="s">
        <v>165</v>
      </c>
      <c r="F39" s="63" t="s">
        <v>165</v>
      </c>
      <c r="G39" s="63" t="s">
        <v>165</v>
      </c>
      <c r="H39" s="63" t="s">
        <v>165</v>
      </c>
      <c r="I39" s="63" t="s">
        <v>165</v>
      </c>
      <c r="J39" s="63" t="s">
        <v>165</v>
      </c>
      <c r="K39" s="63" t="s">
        <v>165</v>
      </c>
    </row>
    <row r="40" spans="2:11" ht="12.75" thickBot="1" x14ac:dyDescent="0.2">
      <c r="B40" s="88" t="s">
        <v>675</v>
      </c>
      <c r="C40" s="63" t="s">
        <v>165</v>
      </c>
      <c r="D40" s="63" t="s">
        <v>165</v>
      </c>
      <c r="E40" s="63" t="s">
        <v>165</v>
      </c>
      <c r="F40" s="63" t="s">
        <v>165</v>
      </c>
      <c r="G40" s="63" t="s">
        <v>165</v>
      </c>
      <c r="H40" s="63" t="s">
        <v>165</v>
      </c>
      <c r="I40" s="63" t="s">
        <v>165</v>
      </c>
      <c r="J40" s="63" t="s">
        <v>165</v>
      </c>
      <c r="K40" s="63" t="s">
        <v>165</v>
      </c>
    </row>
    <row r="41" spans="2:11" ht="12.75" thickBot="1" x14ac:dyDescent="0.2">
      <c r="B41" s="258" t="s">
        <v>1259</v>
      </c>
      <c r="C41" s="63" t="s">
        <v>165</v>
      </c>
      <c r="D41" s="63" t="s">
        <v>165</v>
      </c>
      <c r="E41" s="63" t="s">
        <v>165</v>
      </c>
      <c r="F41" s="63" t="s">
        <v>165</v>
      </c>
      <c r="G41" s="63" t="s">
        <v>165</v>
      </c>
      <c r="H41" s="63" t="s">
        <v>165</v>
      </c>
      <c r="I41" s="63" t="s">
        <v>165</v>
      </c>
      <c r="J41" s="63" t="s">
        <v>165</v>
      </c>
      <c r="K41" s="63" t="s">
        <v>165</v>
      </c>
    </row>
    <row r="42" spans="2:11" ht="12.75" thickBot="1" x14ac:dyDescent="0.2">
      <c r="B42" s="85" t="s">
        <v>676</v>
      </c>
      <c r="C42" s="63" t="s">
        <v>165</v>
      </c>
      <c r="D42" s="63" t="s">
        <v>165</v>
      </c>
      <c r="E42" s="63" t="s">
        <v>165</v>
      </c>
      <c r="F42" s="63" t="s">
        <v>165</v>
      </c>
      <c r="G42" s="63" t="s">
        <v>165</v>
      </c>
      <c r="H42" s="63" t="s">
        <v>165</v>
      </c>
      <c r="I42" s="63" t="s">
        <v>165</v>
      </c>
      <c r="J42" s="63" t="s">
        <v>659</v>
      </c>
      <c r="K42" s="63" t="s">
        <v>165</v>
      </c>
    </row>
    <row r="43" spans="2:11" ht="12.75" thickBot="1" x14ac:dyDescent="0.2">
      <c r="B43" s="85" t="s">
        <v>677</v>
      </c>
      <c r="C43" s="63" t="s">
        <v>165</v>
      </c>
      <c r="D43" s="63" t="s">
        <v>165</v>
      </c>
      <c r="E43" s="63" t="s">
        <v>165</v>
      </c>
      <c r="F43" s="63" t="s">
        <v>165</v>
      </c>
      <c r="G43" s="63" t="s">
        <v>165</v>
      </c>
      <c r="H43" s="63" t="s">
        <v>165</v>
      </c>
      <c r="I43" s="63" t="s">
        <v>165</v>
      </c>
      <c r="J43" s="63" t="s">
        <v>659</v>
      </c>
      <c r="K43" s="63" t="s">
        <v>165</v>
      </c>
    </row>
    <row r="44" spans="2:11" ht="12.75" thickBot="1" x14ac:dyDescent="0.2">
      <c r="B44" s="258" t="s">
        <v>1260</v>
      </c>
      <c r="C44" s="63" t="s">
        <v>165</v>
      </c>
      <c r="D44" s="63" t="s">
        <v>165</v>
      </c>
      <c r="E44" s="63" t="s">
        <v>165</v>
      </c>
      <c r="F44" s="63" t="s">
        <v>165</v>
      </c>
      <c r="G44" s="63" t="s">
        <v>165</v>
      </c>
      <c r="H44" s="63" t="s">
        <v>165</v>
      </c>
      <c r="I44" s="63" t="s">
        <v>165</v>
      </c>
      <c r="J44" s="63" t="s">
        <v>165</v>
      </c>
      <c r="K44" s="63" t="s">
        <v>659</v>
      </c>
    </row>
  </sheetData>
  <mergeCells count="20">
    <mergeCell ref="K9:K11"/>
    <mergeCell ref="L9:L11"/>
    <mergeCell ref="C27:F27"/>
    <mergeCell ref="D9:D11"/>
    <mergeCell ref="C9:C11"/>
    <mergeCell ref="I9:I11"/>
    <mergeCell ref="J9:J11"/>
    <mergeCell ref="E9:E11"/>
    <mergeCell ref="F9:F11"/>
    <mergeCell ref="G9:G11"/>
    <mergeCell ref="H9:H11"/>
    <mergeCell ref="H28:H30"/>
    <mergeCell ref="I28:I30"/>
    <mergeCell ref="J28:J30"/>
    <mergeCell ref="K28:K30"/>
    <mergeCell ref="C28:C30"/>
    <mergeCell ref="D28:D30"/>
    <mergeCell ref="E28:E30"/>
    <mergeCell ref="F28:F30"/>
    <mergeCell ref="G28:G30"/>
  </mergeCells>
  <phoneticPr fontId="8"/>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B201B-7653-45DE-A9FA-05854DCD6C7A}">
  <sheetPr codeName="Sheet9"/>
  <dimension ref="B1:K60"/>
  <sheetViews>
    <sheetView zoomScale="130" zoomScaleNormal="130" workbookViewId="0">
      <selection activeCell="C5" sqref="C5"/>
    </sheetView>
  </sheetViews>
  <sheetFormatPr defaultRowHeight="12" x14ac:dyDescent="0.15"/>
  <cols>
    <col min="1" max="1" width="4.7109375" customWidth="1"/>
    <col min="2" max="2" width="46" customWidth="1"/>
    <col min="3" max="3" width="9.140625" style="119" customWidth="1"/>
  </cols>
  <sheetData>
    <row r="1" spans="2:11" ht="12.75" thickBot="1" x14ac:dyDescent="0.2"/>
    <row r="2" spans="2:11" ht="12.75" thickBot="1" x14ac:dyDescent="0.2">
      <c r="D2" s="263" t="s">
        <v>556</v>
      </c>
      <c r="E2" s="264"/>
      <c r="F2" s="265"/>
      <c r="G2" s="265"/>
      <c r="H2" s="265"/>
      <c r="I2" s="265"/>
      <c r="J2" s="281"/>
      <c r="K2" s="282"/>
    </row>
    <row r="3" spans="2:11" ht="12.75" thickBot="1" x14ac:dyDescent="0.2">
      <c r="B3" s="108" t="s">
        <v>1053</v>
      </c>
      <c r="C3" s="109" t="s">
        <v>1258</v>
      </c>
      <c r="D3" s="109" t="s">
        <v>1273</v>
      </c>
      <c r="E3" s="260" t="s">
        <v>1271</v>
      </c>
      <c r="F3" s="109" t="s">
        <v>1054</v>
      </c>
      <c r="G3" s="260" t="s">
        <v>1270</v>
      </c>
      <c r="H3" s="260" t="s">
        <v>1272</v>
      </c>
      <c r="I3" s="109" t="s">
        <v>1093</v>
      </c>
      <c r="J3" s="109" t="s">
        <v>1113</v>
      </c>
      <c r="K3" s="109" t="s">
        <v>1114</v>
      </c>
    </row>
    <row r="4" spans="2:11" ht="12.75" thickBot="1" x14ac:dyDescent="0.2">
      <c r="B4" s="88" t="s">
        <v>658</v>
      </c>
      <c r="C4" s="63" t="s">
        <v>1</v>
      </c>
      <c r="D4" s="63" t="s">
        <v>34</v>
      </c>
      <c r="E4" s="63" t="s">
        <v>1</v>
      </c>
      <c r="F4" s="63" t="s">
        <v>1</v>
      </c>
      <c r="G4" s="63" t="s">
        <v>1</v>
      </c>
      <c r="H4" s="63" t="s">
        <v>1</v>
      </c>
      <c r="I4" s="63" t="s">
        <v>1</v>
      </c>
      <c r="J4" s="63" t="s">
        <v>1</v>
      </c>
      <c r="K4" s="63" t="s">
        <v>1</v>
      </c>
    </row>
    <row r="5" spans="2:11" ht="12.75" thickBot="1" x14ac:dyDescent="0.2">
      <c r="B5" s="88" t="s">
        <v>1055</v>
      </c>
      <c r="C5" s="63" t="s">
        <v>1</v>
      </c>
      <c r="D5" s="63" t="s">
        <v>1</v>
      </c>
      <c r="E5" s="63" t="s">
        <v>1</v>
      </c>
      <c r="F5" s="63" t="s">
        <v>1</v>
      </c>
      <c r="G5" s="63" t="s">
        <v>1</v>
      </c>
      <c r="H5" s="63" t="s">
        <v>1</v>
      </c>
      <c r="I5" s="63" t="s">
        <v>1</v>
      </c>
      <c r="J5" s="63" t="s">
        <v>1</v>
      </c>
      <c r="K5" s="63" t="s">
        <v>1</v>
      </c>
    </row>
    <row r="6" spans="2:11" ht="12.75" thickBot="1" x14ac:dyDescent="0.2">
      <c r="B6" s="85" t="s">
        <v>1056</v>
      </c>
      <c r="C6" s="63" t="s">
        <v>1</v>
      </c>
      <c r="D6" s="63" t="s">
        <v>1</v>
      </c>
      <c r="E6" s="63" t="s">
        <v>1</v>
      </c>
      <c r="F6" s="63" t="s">
        <v>1</v>
      </c>
      <c r="G6" s="63" t="s">
        <v>1</v>
      </c>
      <c r="H6" s="63" t="s">
        <v>1</v>
      </c>
      <c r="I6" s="63" t="s">
        <v>1</v>
      </c>
      <c r="J6" s="63" t="s">
        <v>1</v>
      </c>
      <c r="K6" s="63" t="s">
        <v>1</v>
      </c>
    </row>
    <row r="7" spans="2:11" ht="12.75" thickBot="1" x14ac:dyDescent="0.2">
      <c r="B7" s="88" t="s">
        <v>1057</v>
      </c>
      <c r="C7" s="63" t="s">
        <v>1</v>
      </c>
      <c r="D7" s="63" t="s">
        <v>1</v>
      </c>
      <c r="E7" s="63" t="s">
        <v>1</v>
      </c>
      <c r="F7" s="63" t="s">
        <v>1</v>
      </c>
      <c r="G7" s="63" t="s">
        <v>1</v>
      </c>
      <c r="H7" s="63" t="s">
        <v>1</v>
      </c>
      <c r="I7" s="63" t="s">
        <v>1</v>
      </c>
      <c r="J7" s="63" t="s">
        <v>1</v>
      </c>
      <c r="K7" s="63" t="s">
        <v>1</v>
      </c>
    </row>
    <row r="8" spans="2:11" ht="12.75" thickBot="1" x14ac:dyDescent="0.2">
      <c r="B8" s="88" t="s">
        <v>1058</v>
      </c>
      <c r="C8" s="63" t="s">
        <v>1</v>
      </c>
      <c r="D8" s="63" t="s">
        <v>0</v>
      </c>
      <c r="E8" s="63" t="s">
        <v>1110</v>
      </c>
      <c r="F8" s="63" t="s">
        <v>0</v>
      </c>
      <c r="G8" s="63" t="s">
        <v>1</v>
      </c>
      <c r="H8" s="63" t="s">
        <v>1</v>
      </c>
      <c r="I8" s="63" t="s">
        <v>1</v>
      </c>
      <c r="J8" s="63" t="s">
        <v>0</v>
      </c>
      <c r="K8" s="63" t="s">
        <v>0</v>
      </c>
    </row>
    <row r="9" spans="2:11" ht="12.75" thickBot="1" x14ac:dyDescent="0.2">
      <c r="B9" s="88" t="s">
        <v>1059</v>
      </c>
      <c r="C9" s="63" t="s">
        <v>1</v>
      </c>
      <c r="D9" s="63" t="s">
        <v>1108</v>
      </c>
      <c r="E9" s="63" t="s">
        <v>1</v>
      </c>
      <c r="F9" s="63" t="s">
        <v>1</v>
      </c>
      <c r="G9" s="63" t="s">
        <v>1</v>
      </c>
      <c r="H9" s="63" t="s">
        <v>1</v>
      </c>
      <c r="I9" s="63" t="s">
        <v>1</v>
      </c>
      <c r="J9" s="63" t="s">
        <v>1</v>
      </c>
      <c r="K9" s="63" t="s">
        <v>1</v>
      </c>
    </row>
    <row r="10" spans="2:11" ht="12.75" thickBot="1" x14ac:dyDescent="0.2">
      <c r="B10" s="88" t="s">
        <v>1060</v>
      </c>
      <c r="C10" s="63" t="s">
        <v>0</v>
      </c>
      <c r="D10" s="63" t="s">
        <v>35</v>
      </c>
      <c r="E10" s="63" t="s">
        <v>0</v>
      </c>
      <c r="F10" s="63" t="s">
        <v>0</v>
      </c>
      <c r="G10" s="63" t="s">
        <v>1</v>
      </c>
      <c r="H10" s="63" t="s">
        <v>1</v>
      </c>
      <c r="I10" s="63" t="s">
        <v>1</v>
      </c>
      <c r="J10" s="63" t="s">
        <v>0</v>
      </c>
      <c r="K10" s="63" t="s">
        <v>0</v>
      </c>
    </row>
    <row r="11" spans="2:11" ht="12.75" thickBot="1" x14ac:dyDescent="0.2">
      <c r="B11" s="88" t="s">
        <v>1061</v>
      </c>
      <c r="C11" s="63" t="s">
        <v>0</v>
      </c>
      <c r="D11" s="63" t="s">
        <v>1</v>
      </c>
      <c r="E11" s="63" t="s">
        <v>1</v>
      </c>
      <c r="F11" s="63" t="s">
        <v>1</v>
      </c>
      <c r="G11" s="63" t="s">
        <v>0</v>
      </c>
      <c r="H11" s="63" t="s">
        <v>0</v>
      </c>
      <c r="I11" s="63" t="s">
        <v>0</v>
      </c>
      <c r="J11" s="63" t="s">
        <v>1</v>
      </c>
      <c r="K11" s="63" t="s">
        <v>1</v>
      </c>
    </row>
    <row r="12" spans="2:11" ht="12.75" thickBot="1" x14ac:dyDescent="0.2">
      <c r="B12" s="88" t="s">
        <v>1062</v>
      </c>
      <c r="C12" s="63" t="s">
        <v>0</v>
      </c>
      <c r="D12" s="63" t="s">
        <v>1</v>
      </c>
      <c r="E12" s="63" t="s">
        <v>1</v>
      </c>
      <c r="F12" s="63" t="s">
        <v>1</v>
      </c>
      <c r="G12" s="63" t="s">
        <v>0</v>
      </c>
      <c r="H12" s="63" t="s">
        <v>0</v>
      </c>
      <c r="I12" s="63" t="s">
        <v>0</v>
      </c>
      <c r="J12" s="63" t="s">
        <v>1</v>
      </c>
      <c r="K12" s="63" t="s">
        <v>1</v>
      </c>
    </row>
    <row r="13" spans="2:11" ht="12.75" thickBot="1" x14ac:dyDescent="0.2">
      <c r="B13" s="88" t="s">
        <v>1063</v>
      </c>
      <c r="C13" s="63" t="s">
        <v>1</v>
      </c>
      <c r="D13" s="63" t="s">
        <v>1</v>
      </c>
      <c r="E13" s="63" t="s">
        <v>1</v>
      </c>
      <c r="F13" s="63" t="s">
        <v>1</v>
      </c>
      <c r="G13" s="63" t="s">
        <v>1</v>
      </c>
      <c r="H13" s="63" t="s">
        <v>1</v>
      </c>
      <c r="I13" s="63" t="s">
        <v>1</v>
      </c>
      <c r="J13" s="63" t="s">
        <v>1</v>
      </c>
      <c r="K13" s="63" t="s">
        <v>1</v>
      </c>
    </row>
    <row r="14" spans="2:11" ht="12.75" thickBot="1" x14ac:dyDescent="0.2">
      <c r="B14" s="88" t="s">
        <v>1064</v>
      </c>
      <c r="C14" s="63" t="s">
        <v>1</v>
      </c>
      <c r="D14" s="63" t="s">
        <v>1</v>
      </c>
      <c r="E14" s="63" t="s">
        <v>1</v>
      </c>
      <c r="F14" s="63" t="s">
        <v>1</v>
      </c>
      <c r="G14" s="63" t="s">
        <v>1</v>
      </c>
      <c r="H14" s="63" t="s">
        <v>1</v>
      </c>
      <c r="I14" s="63" t="s">
        <v>1</v>
      </c>
      <c r="J14" s="63" t="s">
        <v>1</v>
      </c>
      <c r="K14" s="63" t="s">
        <v>1</v>
      </c>
    </row>
    <row r="15" spans="2:11" ht="12.75" thickBot="1" x14ac:dyDescent="0.2">
      <c r="B15" s="88" t="s">
        <v>1065</v>
      </c>
      <c r="C15" s="63" t="s">
        <v>1</v>
      </c>
      <c r="D15" s="63" t="s">
        <v>1</v>
      </c>
      <c r="E15" s="63" t="s">
        <v>1</v>
      </c>
      <c r="F15" s="63" t="s">
        <v>1</v>
      </c>
      <c r="G15" s="63" t="s">
        <v>1</v>
      </c>
      <c r="H15" s="63" t="s">
        <v>1</v>
      </c>
      <c r="I15" s="63" t="s">
        <v>1</v>
      </c>
      <c r="J15" s="63" t="s">
        <v>1</v>
      </c>
      <c r="K15" s="63" t="s">
        <v>1</v>
      </c>
    </row>
    <row r="16" spans="2:11" ht="12.75" thickBot="1" x14ac:dyDescent="0.2">
      <c r="B16" s="88" t="s">
        <v>1066</v>
      </c>
      <c r="C16" s="63" t="s">
        <v>0</v>
      </c>
      <c r="D16" s="63" t="s">
        <v>1</v>
      </c>
      <c r="E16" s="63" t="s">
        <v>1</v>
      </c>
      <c r="F16" s="63" t="s">
        <v>1</v>
      </c>
      <c r="G16" s="63" t="s">
        <v>0</v>
      </c>
      <c r="H16" s="63" t="s">
        <v>0</v>
      </c>
      <c r="I16" s="63" t="s">
        <v>0</v>
      </c>
      <c r="J16" s="63" t="s">
        <v>1</v>
      </c>
      <c r="K16" s="63" t="s">
        <v>1</v>
      </c>
    </row>
    <row r="17" spans="2:11" ht="12.75" thickBot="1" x14ac:dyDescent="0.2">
      <c r="B17" s="88" t="s">
        <v>1067</v>
      </c>
      <c r="C17" s="63" t="s">
        <v>1</v>
      </c>
      <c r="D17" s="63" t="s">
        <v>1109</v>
      </c>
      <c r="E17" s="63" t="s">
        <v>1</v>
      </c>
      <c r="F17" s="63" t="s">
        <v>1</v>
      </c>
      <c r="G17" s="63" t="s">
        <v>1109</v>
      </c>
      <c r="H17" s="63" t="s">
        <v>1</v>
      </c>
      <c r="I17" s="63" t="s">
        <v>1</v>
      </c>
      <c r="J17" s="63" t="s">
        <v>1</v>
      </c>
      <c r="K17" s="63" t="s">
        <v>1</v>
      </c>
    </row>
    <row r="18" spans="2:11" ht="12.75" thickBot="1" x14ac:dyDescent="0.2">
      <c r="B18" s="88" t="s">
        <v>1068</v>
      </c>
      <c r="C18" s="63" t="s">
        <v>1</v>
      </c>
      <c r="D18" s="63" t="s">
        <v>1</v>
      </c>
      <c r="E18" s="63" t="s">
        <v>1</v>
      </c>
      <c r="F18" s="63" t="s">
        <v>1</v>
      </c>
      <c r="G18" s="63" t="s">
        <v>1</v>
      </c>
      <c r="H18" s="63" t="s">
        <v>1</v>
      </c>
      <c r="I18" s="63" t="s">
        <v>1</v>
      </c>
      <c r="J18" s="63" t="s">
        <v>1</v>
      </c>
      <c r="K18" s="63" t="s">
        <v>1</v>
      </c>
    </row>
    <row r="19" spans="2:11" ht="12.75" thickBot="1" x14ac:dyDescent="0.2">
      <c r="B19" s="88" t="s">
        <v>1069</v>
      </c>
      <c r="C19" s="63" t="s">
        <v>1</v>
      </c>
      <c r="D19" s="63" t="s">
        <v>1</v>
      </c>
      <c r="E19" s="63" t="s">
        <v>1</v>
      </c>
      <c r="F19" s="63" t="s">
        <v>1</v>
      </c>
      <c r="G19" s="63" t="s">
        <v>1</v>
      </c>
      <c r="H19" s="63" t="s">
        <v>1</v>
      </c>
      <c r="I19" s="63" t="s">
        <v>1</v>
      </c>
      <c r="J19" s="63" t="s">
        <v>1</v>
      </c>
      <c r="K19" s="63" t="s">
        <v>1</v>
      </c>
    </row>
    <row r="20" spans="2:11" ht="12.75" thickBot="1" x14ac:dyDescent="0.2">
      <c r="B20" s="85" t="s">
        <v>638</v>
      </c>
      <c r="C20" s="63" t="s">
        <v>1</v>
      </c>
      <c r="D20" s="63" t="s">
        <v>1</v>
      </c>
      <c r="E20" s="63" t="s">
        <v>1</v>
      </c>
      <c r="F20" s="63" t="s">
        <v>1</v>
      </c>
      <c r="G20" s="63" t="s">
        <v>1</v>
      </c>
      <c r="H20" s="63" t="s">
        <v>1</v>
      </c>
      <c r="I20" s="63" t="s">
        <v>1</v>
      </c>
      <c r="J20" s="63" t="s">
        <v>0</v>
      </c>
      <c r="K20" s="63" t="s">
        <v>0</v>
      </c>
    </row>
    <row r="21" spans="2:11" ht="12.75" thickBot="1" x14ac:dyDescent="0.2">
      <c r="B21" s="88" t="s">
        <v>1070</v>
      </c>
      <c r="C21" s="63" t="s">
        <v>1</v>
      </c>
      <c r="D21" s="63" t="s">
        <v>1</v>
      </c>
      <c r="E21" s="63" t="s">
        <v>1</v>
      </c>
      <c r="F21" s="63" t="s">
        <v>1</v>
      </c>
      <c r="G21" s="63" t="s">
        <v>1</v>
      </c>
      <c r="H21" s="63" t="s">
        <v>1</v>
      </c>
      <c r="I21" s="63" t="s">
        <v>1</v>
      </c>
      <c r="J21" s="63" t="s">
        <v>1</v>
      </c>
      <c r="K21" s="63" t="s">
        <v>1</v>
      </c>
    </row>
    <row r="22" spans="2:11" ht="12.75" thickBot="1" x14ac:dyDescent="0.2">
      <c r="B22" s="88" t="s">
        <v>1071</v>
      </c>
      <c r="C22" s="63" t="s">
        <v>1</v>
      </c>
      <c r="D22" s="63" t="s">
        <v>1</v>
      </c>
      <c r="E22" s="63" t="s">
        <v>1</v>
      </c>
      <c r="F22" s="63" t="s">
        <v>1</v>
      </c>
      <c r="G22" s="63" t="s">
        <v>1</v>
      </c>
      <c r="H22" s="63" t="s">
        <v>1</v>
      </c>
      <c r="I22" s="63" t="s">
        <v>1</v>
      </c>
      <c r="J22" s="63" t="s">
        <v>1</v>
      </c>
      <c r="K22" s="63" t="s">
        <v>1</v>
      </c>
    </row>
    <row r="23" spans="2:11" ht="12.75" thickBot="1" x14ac:dyDescent="0.2">
      <c r="B23" s="88" t="s">
        <v>663</v>
      </c>
      <c r="C23" s="63" t="s">
        <v>1</v>
      </c>
      <c r="D23" s="63" t="s">
        <v>1</v>
      </c>
      <c r="E23" s="63" t="s">
        <v>1</v>
      </c>
      <c r="F23" s="63" t="s">
        <v>1</v>
      </c>
      <c r="G23" s="63" t="s">
        <v>1</v>
      </c>
      <c r="H23" s="63" t="s">
        <v>1</v>
      </c>
      <c r="I23" s="63" t="s">
        <v>1</v>
      </c>
      <c r="J23" s="63" t="s">
        <v>1</v>
      </c>
      <c r="K23" s="63" t="s">
        <v>1</v>
      </c>
    </row>
    <row r="24" spans="2:11" ht="12.75" thickBot="1" x14ac:dyDescent="0.2">
      <c r="B24" s="88" t="s">
        <v>1072</v>
      </c>
      <c r="C24" s="63" t="s">
        <v>1</v>
      </c>
      <c r="D24" s="63" t="s">
        <v>1</v>
      </c>
      <c r="E24" s="63" t="s">
        <v>1</v>
      </c>
      <c r="F24" s="63" t="s">
        <v>1</v>
      </c>
      <c r="G24" s="63" t="s">
        <v>1</v>
      </c>
      <c r="H24" s="63" t="s">
        <v>1</v>
      </c>
      <c r="I24" s="63" t="s">
        <v>1</v>
      </c>
      <c r="J24" s="63" t="s">
        <v>1</v>
      </c>
      <c r="K24" s="63" t="s">
        <v>1</v>
      </c>
    </row>
    <row r="25" spans="2:11" ht="12.75" thickBot="1" x14ac:dyDescent="0.2">
      <c r="B25" s="88" t="s">
        <v>1073</v>
      </c>
      <c r="C25" s="63" t="s">
        <v>1</v>
      </c>
      <c r="D25" s="63" t="s">
        <v>1</v>
      </c>
      <c r="E25" s="63" t="s">
        <v>1</v>
      </c>
      <c r="F25" s="63" t="s">
        <v>1</v>
      </c>
      <c r="G25" s="63" t="s">
        <v>1</v>
      </c>
      <c r="H25" s="63" t="s">
        <v>1</v>
      </c>
      <c r="I25" s="63" t="s">
        <v>1</v>
      </c>
      <c r="J25" s="63" t="s">
        <v>1</v>
      </c>
      <c r="K25" s="63" t="s">
        <v>1</v>
      </c>
    </row>
    <row r="26" spans="2:11" ht="12.75" thickBot="1" x14ac:dyDescent="0.2">
      <c r="B26" s="88" t="s">
        <v>1074</v>
      </c>
      <c r="C26" s="63" t="s">
        <v>1</v>
      </c>
      <c r="D26" s="63" t="s">
        <v>1</v>
      </c>
      <c r="E26" s="63" t="s">
        <v>1</v>
      </c>
      <c r="F26" s="63" t="s">
        <v>1</v>
      </c>
      <c r="G26" s="63" t="s">
        <v>1</v>
      </c>
      <c r="H26" s="63" t="s">
        <v>1</v>
      </c>
      <c r="I26" s="63" t="s">
        <v>1</v>
      </c>
      <c r="J26" s="63" t="s">
        <v>1</v>
      </c>
      <c r="K26" s="63" t="s">
        <v>1</v>
      </c>
    </row>
    <row r="27" spans="2:11" ht="12.75" thickBot="1" x14ac:dyDescent="0.2">
      <c r="B27" s="88" t="s">
        <v>1075</v>
      </c>
      <c r="C27" s="63" t="s">
        <v>0</v>
      </c>
      <c r="D27" s="63" t="s">
        <v>0</v>
      </c>
      <c r="E27" s="63" t="s">
        <v>1110</v>
      </c>
      <c r="F27" s="63" t="s">
        <v>1</v>
      </c>
      <c r="G27" s="63" t="s">
        <v>0</v>
      </c>
      <c r="H27" s="63" t="s">
        <v>0</v>
      </c>
      <c r="I27" s="63" t="s">
        <v>0</v>
      </c>
      <c r="J27" s="63" t="s">
        <v>0</v>
      </c>
      <c r="K27" s="63" t="s">
        <v>0</v>
      </c>
    </row>
    <row r="28" spans="2:11" ht="12.75" thickBot="1" x14ac:dyDescent="0.2">
      <c r="B28" s="88" t="s">
        <v>1251</v>
      </c>
      <c r="C28" s="63" t="s">
        <v>1</v>
      </c>
      <c r="D28" s="63" t="s">
        <v>0</v>
      </c>
      <c r="E28" s="63" t="s">
        <v>1109</v>
      </c>
      <c r="F28" s="63" t="s">
        <v>0</v>
      </c>
      <c r="G28" s="63" t="s">
        <v>1</v>
      </c>
      <c r="H28" s="63" t="s">
        <v>1</v>
      </c>
      <c r="I28" s="63" t="s">
        <v>1</v>
      </c>
      <c r="J28" s="63" t="s">
        <v>0</v>
      </c>
      <c r="K28" s="63" t="s">
        <v>0</v>
      </c>
    </row>
    <row r="29" spans="2:11" ht="12.75" thickBot="1" x14ac:dyDescent="0.2">
      <c r="B29" s="85" t="s">
        <v>668</v>
      </c>
      <c r="C29" s="63" t="s">
        <v>1</v>
      </c>
      <c r="D29" s="63" t="s">
        <v>1</v>
      </c>
      <c r="E29" s="63" t="s">
        <v>1</v>
      </c>
      <c r="F29" s="63" t="s">
        <v>1</v>
      </c>
      <c r="G29" s="63" t="s">
        <v>1</v>
      </c>
      <c r="H29" s="63" t="s">
        <v>1</v>
      </c>
      <c r="I29" s="63" t="s">
        <v>1</v>
      </c>
      <c r="J29" s="63" t="s">
        <v>1</v>
      </c>
      <c r="K29" s="63" t="s">
        <v>1</v>
      </c>
    </row>
    <row r="30" spans="2:11" ht="12.75" thickBot="1" x14ac:dyDescent="0.2">
      <c r="B30" s="85" t="s">
        <v>669</v>
      </c>
      <c r="C30" s="63" t="s">
        <v>1</v>
      </c>
      <c r="D30" s="63" t="s">
        <v>1</v>
      </c>
      <c r="E30" s="63" t="s">
        <v>1</v>
      </c>
      <c r="F30" s="63" t="s">
        <v>1</v>
      </c>
      <c r="G30" s="63" t="s">
        <v>1</v>
      </c>
      <c r="H30" s="63" t="s">
        <v>1</v>
      </c>
      <c r="I30" s="63" t="s">
        <v>1</v>
      </c>
      <c r="J30" s="63" t="s">
        <v>1</v>
      </c>
      <c r="K30" s="63" t="s">
        <v>1</v>
      </c>
    </row>
    <row r="31" spans="2:11" ht="12.75" thickBot="1" x14ac:dyDescent="0.2">
      <c r="B31" s="85" t="s">
        <v>670</v>
      </c>
      <c r="C31" s="63" t="s">
        <v>1</v>
      </c>
      <c r="D31" s="63" t="s">
        <v>1</v>
      </c>
      <c r="E31" s="63" t="s">
        <v>1</v>
      </c>
      <c r="F31" s="63" t="s">
        <v>1</v>
      </c>
      <c r="G31" s="63" t="s">
        <v>1</v>
      </c>
      <c r="H31" s="63" t="s">
        <v>1</v>
      </c>
      <c r="I31" s="63" t="s">
        <v>1</v>
      </c>
      <c r="J31" s="63" t="s">
        <v>1</v>
      </c>
      <c r="K31" s="63" t="s">
        <v>1</v>
      </c>
    </row>
    <row r="32" spans="2:11" ht="12.75" thickBot="1" x14ac:dyDescent="0.2">
      <c r="B32" s="85" t="s">
        <v>671</v>
      </c>
      <c r="C32" s="63" t="s">
        <v>1</v>
      </c>
      <c r="D32" s="63" t="s">
        <v>1</v>
      </c>
      <c r="E32" s="63" t="s">
        <v>1</v>
      </c>
      <c r="F32" s="63" t="s">
        <v>1</v>
      </c>
      <c r="G32" s="63" t="s">
        <v>1</v>
      </c>
      <c r="H32" s="63" t="s">
        <v>1</v>
      </c>
      <c r="I32" s="63" t="s">
        <v>1</v>
      </c>
      <c r="J32" s="63" t="s">
        <v>0</v>
      </c>
      <c r="K32" s="63" t="s">
        <v>0</v>
      </c>
    </row>
    <row r="33" spans="2:11" ht="13.5" thickBot="1" x14ac:dyDescent="0.2">
      <c r="B33" s="85" t="s">
        <v>1094</v>
      </c>
      <c r="C33" s="63" t="s">
        <v>1</v>
      </c>
      <c r="D33" s="63" t="s">
        <v>1</v>
      </c>
      <c r="E33" s="63" t="s">
        <v>1</v>
      </c>
      <c r="F33" s="63" t="s">
        <v>1</v>
      </c>
      <c r="G33" s="63" t="s">
        <v>1</v>
      </c>
      <c r="H33" s="63" t="s">
        <v>1</v>
      </c>
      <c r="I33" s="63" t="s">
        <v>1</v>
      </c>
      <c r="J33" s="168" t="s">
        <v>1</v>
      </c>
      <c r="K33" s="168" t="s">
        <v>1</v>
      </c>
    </row>
    <row r="34" spans="2:11" ht="13.5" thickBot="1" x14ac:dyDescent="0.2">
      <c r="B34" s="165" t="s">
        <v>1076</v>
      </c>
      <c r="C34" s="166" t="s">
        <v>1</v>
      </c>
      <c r="D34" s="166" t="s">
        <v>1</v>
      </c>
      <c r="E34" s="166" t="s">
        <v>1</v>
      </c>
      <c r="F34" s="166" t="s">
        <v>1</v>
      </c>
      <c r="G34" s="166" t="s">
        <v>1</v>
      </c>
      <c r="H34" s="166" t="s">
        <v>1</v>
      </c>
      <c r="I34" s="166" t="s">
        <v>1</v>
      </c>
      <c r="J34" s="168" t="s">
        <v>1</v>
      </c>
      <c r="K34" s="168" t="s">
        <v>1</v>
      </c>
    </row>
    <row r="35" spans="2:11" ht="12.75" thickBot="1" x14ac:dyDescent="0.2">
      <c r="B35" s="162" t="s">
        <v>1095</v>
      </c>
      <c r="C35" s="163" t="s">
        <v>1110</v>
      </c>
      <c r="D35" s="163" t="s">
        <v>0</v>
      </c>
      <c r="E35" s="163" t="s">
        <v>0</v>
      </c>
      <c r="F35" s="163" t="s">
        <v>0</v>
      </c>
      <c r="G35" s="163" t="s">
        <v>0</v>
      </c>
      <c r="H35" s="163" t="s">
        <v>0</v>
      </c>
      <c r="I35" s="163" t="s">
        <v>1</v>
      </c>
      <c r="J35" s="163" t="s">
        <v>0</v>
      </c>
      <c r="K35" s="163" t="s">
        <v>0</v>
      </c>
    </row>
    <row r="36" spans="2:11" ht="12.75" thickBot="1" x14ac:dyDescent="0.2">
      <c r="B36" s="164" t="s">
        <v>1111</v>
      </c>
      <c r="C36" s="163" t="s">
        <v>0</v>
      </c>
      <c r="D36" s="163" t="s">
        <v>0</v>
      </c>
      <c r="E36" s="163" t="s">
        <v>0</v>
      </c>
      <c r="F36" s="163" t="s">
        <v>0</v>
      </c>
      <c r="G36" s="163" t="s">
        <v>0</v>
      </c>
      <c r="H36" s="163" t="s">
        <v>0</v>
      </c>
      <c r="I36" s="163" t="s">
        <v>1</v>
      </c>
      <c r="J36" s="163" t="s">
        <v>0</v>
      </c>
      <c r="K36" s="163" t="s">
        <v>0</v>
      </c>
    </row>
    <row r="37" spans="2:11" ht="12.75" thickBot="1" x14ac:dyDescent="0.2">
      <c r="B37" s="164" t="s">
        <v>1112</v>
      </c>
      <c r="C37" s="163" t="s">
        <v>0</v>
      </c>
      <c r="D37" s="163" t="s">
        <v>1110</v>
      </c>
      <c r="E37" s="163" t="s">
        <v>0</v>
      </c>
      <c r="F37" s="163" t="s">
        <v>0</v>
      </c>
      <c r="G37" s="163" t="s">
        <v>1110</v>
      </c>
      <c r="H37" s="163" t="s">
        <v>0</v>
      </c>
      <c r="I37" s="163" t="s">
        <v>1109</v>
      </c>
      <c r="J37" s="163" t="s">
        <v>0</v>
      </c>
      <c r="K37" s="163" t="s">
        <v>0</v>
      </c>
    </row>
    <row r="38" spans="2:11" ht="12.75" thickBot="1" x14ac:dyDescent="0.2">
      <c r="B38" s="88" t="s">
        <v>1077</v>
      </c>
      <c r="C38" s="63" t="s">
        <v>1109</v>
      </c>
      <c r="D38" s="63" t="s">
        <v>1</v>
      </c>
      <c r="E38" s="63" t="s">
        <v>1</v>
      </c>
      <c r="F38" s="63" t="s">
        <v>1</v>
      </c>
      <c r="G38" s="63" t="s">
        <v>1109</v>
      </c>
      <c r="H38" s="63" t="s">
        <v>1</v>
      </c>
      <c r="I38" s="63" t="s">
        <v>1</v>
      </c>
      <c r="J38" s="63" t="s">
        <v>1</v>
      </c>
      <c r="K38" s="63" t="s">
        <v>1</v>
      </c>
    </row>
    <row r="39" spans="2:11" ht="12.75" thickBot="1" x14ac:dyDescent="0.2">
      <c r="B39" s="88" t="s">
        <v>1078</v>
      </c>
      <c r="C39" s="63" t="s">
        <v>1</v>
      </c>
      <c r="D39" s="63" t="s">
        <v>1</v>
      </c>
      <c r="E39" s="63" t="s">
        <v>1</v>
      </c>
      <c r="F39" s="63" t="s">
        <v>1</v>
      </c>
      <c r="G39" s="63" t="s">
        <v>1</v>
      </c>
      <c r="H39" s="63" t="s">
        <v>1</v>
      </c>
      <c r="I39" s="63" t="s">
        <v>1</v>
      </c>
      <c r="J39" s="63" t="s">
        <v>1</v>
      </c>
      <c r="K39" s="63" t="s">
        <v>1</v>
      </c>
    </row>
    <row r="40" spans="2:11" ht="12.75" thickBot="1" x14ac:dyDescent="0.2">
      <c r="B40" s="85" t="s">
        <v>1264</v>
      </c>
      <c r="C40" s="63" t="s">
        <v>1</v>
      </c>
      <c r="D40" s="63" t="s">
        <v>1</v>
      </c>
      <c r="E40" s="63" t="s">
        <v>1</v>
      </c>
      <c r="F40" s="63" t="s">
        <v>1</v>
      </c>
      <c r="G40" s="63" t="s">
        <v>1</v>
      </c>
      <c r="H40" s="63" t="s">
        <v>1</v>
      </c>
      <c r="I40" s="63" t="s">
        <v>1</v>
      </c>
      <c r="J40" s="167" t="s">
        <v>0</v>
      </c>
      <c r="K40" s="167" t="s">
        <v>0</v>
      </c>
    </row>
    <row r="41" spans="2:11" ht="12.75" thickBot="1" x14ac:dyDescent="0.2">
      <c r="B41" s="85" t="s">
        <v>1265</v>
      </c>
      <c r="C41" s="63" t="s">
        <v>1</v>
      </c>
      <c r="D41" s="63" t="s">
        <v>1</v>
      </c>
      <c r="E41" s="63" t="s">
        <v>1</v>
      </c>
      <c r="F41" s="63" t="s">
        <v>1</v>
      </c>
      <c r="G41" s="63" t="s">
        <v>1</v>
      </c>
      <c r="H41" s="63" t="s">
        <v>1</v>
      </c>
      <c r="I41" s="63" t="s">
        <v>1</v>
      </c>
      <c r="J41" s="167" t="s">
        <v>0</v>
      </c>
      <c r="K41" s="167" t="s">
        <v>0</v>
      </c>
    </row>
    <row r="42" spans="2:11" ht="12.75" thickBot="1" x14ac:dyDescent="0.2">
      <c r="B42" s="85" t="s">
        <v>676</v>
      </c>
      <c r="C42" s="63" t="s">
        <v>1</v>
      </c>
      <c r="D42" s="63" t="s">
        <v>0</v>
      </c>
      <c r="E42" s="63" t="s">
        <v>1</v>
      </c>
      <c r="F42" s="63" t="s">
        <v>0</v>
      </c>
      <c r="G42" s="63" t="s">
        <v>0</v>
      </c>
      <c r="H42" s="63" t="s">
        <v>1</v>
      </c>
      <c r="I42" s="63" t="s">
        <v>1</v>
      </c>
      <c r="J42" s="63" t="s">
        <v>0</v>
      </c>
      <c r="K42" s="63" t="s">
        <v>0</v>
      </c>
    </row>
    <row r="43" spans="2:11" ht="12.75" thickBot="1" x14ac:dyDescent="0.2">
      <c r="B43" s="162" t="s">
        <v>1096</v>
      </c>
      <c r="C43" s="163" t="s">
        <v>0</v>
      </c>
      <c r="D43" s="163" t="s">
        <v>0</v>
      </c>
      <c r="E43" s="163" t="s">
        <v>0</v>
      </c>
      <c r="F43" s="163" t="s">
        <v>0</v>
      </c>
      <c r="G43" s="163" t="s">
        <v>0</v>
      </c>
      <c r="H43" s="163" t="s">
        <v>0</v>
      </c>
      <c r="I43" s="163" t="s">
        <v>1</v>
      </c>
      <c r="J43" s="163" t="s">
        <v>0</v>
      </c>
      <c r="K43" s="163" t="s">
        <v>0</v>
      </c>
    </row>
    <row r="44" spans="2:11" ht="12.75" thickBot="1" x14ac:dyDescent="0.2">
      <c r="B44" s="85" t="s">
        <v>1097</v>
      </c>
      <c r="C44" s="63" t="s">
        <v>0</v>
      </c>
      <c r="D44" s="63" t="s">
        <v>0</v>
      </c>
      <c r="E44" s="63" t="s">
        <v>0</v>
      </c>
      <c r="F44" s="63" t="s">
        <v>0</v>
      </c>
      <c r="G44" s="63" t="s">
        <v>0</v>
      </c>
      <c r="H44" s="63" t="s">
        <v>0</v>
      </c>
      <c r="I44" s="63" t="s">
        <v>1</v>
      </c>
      <c r="J44" s="63" t="s">
        <v>0</v>
      </c>
      <c r="K44" s="63" t="s">
        <v>0</v>
      </c>
    </row>
    <row r="45" spans="2:11" ht="12.75" thickBot="1" x14ac:dyDescent="0.2">
      <c r="B45" s="85" t="s">
        <v>1079</v>
      </c>
      <c r="C45" s="63" t="s">
        <v>1</v>
      </c>
      <c r="D45" s="63" t="s">
        <v>0</v>
      </c>
      <c r="E45" s="63" t="s">
        <v>1</v>
      </c>
      <c r="F45" s="63" t="s">
        <v>0</v>
      </c>
      <c r="G45" s="63" t="s">
        <v>0</v>
      </c>
      <c r="H45" s="63" t="s">
        <v>1</v>
      </c>
      <c r="I45" s="63" t="s">
        <v>1</v>
      </c>
      <c r="J45" s="63" t="s">
        <v>0</v>
      </c>
      <c r="K45" s="63" t="s">
        <v>0</v>
      </c>
    </row>
    <row r="46" spans="2:11" ht="12.75" thickBot="1" x14ac:dyDescent="0.2">
      <c r="B46" s="258" t="s">
        <v>1260</v>
      </c>
      <c r="C46" s="63" t="s">
        <v>1</v>
      </c>
      <c r="D46" s="63" t="s">
        <v>0</v>
      </c>
      <c r="E46" s="63" t="s">
        <v>1</v>
      </c>
      <c r="F46" s="63" t="s">
        <v>0</v>
      </c>
      <c r="G46" s="63" t="s">
        <v>1</v>
      </c>
      <c r="H46" s="63" t="s">
        <v>1</v>
      </c>
      <c r="I46" s="63" t="s">
        <v>1</v>
      </c>
      <c r="J46" s="63" t="s">
        <v>0</v>
      </c>
      <c r="K46" s="63" t="s">
        <v>0</v>
      </c>
    </row>
    <row r="47" spans="2:11" ht="12.75" thickBot="1" x14ac:dyDescent="0.2">
      <c r="B47" s="88" t="s">
        <v>667</v>
      </c>
      <c r="C47" s="63" t="s">
        <v>1</v>
      </c>
      <c r="D47" s="63" t="s">
        <v>1</v>
      </c>
      <c r="E47" s="63" t="s">
        <v>1</v>
      </c>
      <c r="F47" s="63" t="s">
        <v>1</v>
      </c>
      <c r="G47" s="63" t="s">
        <v>1</v>
      </c>
      <c r="H47" s="63" t="s">
        <v>1</v>
      </c>
      <c r="I47" s="63" t="s">
        <v>1</v>
      </c>
      <c r="J47" s="63" t="s">
        <v>1</v>
      </c>
      <c r="K47" s="63" t="s">
        <v>1</v>
      </c>
    </row>
    <row r="48" spans="2:11" ht="12.75" thickBot="1" x14ac:dyDescent="0.2">
      <c r="B48" s="162" t="s">
        <v>1091</v>
      </c>
      <c r="C48" s="163" t="s">
        <v>0</v>
      </c>
      <c r="D48" s="163" t="s">
        <v>0</v>
      </c>
      <c r="E48" s="163" t="s">
        <v>0</v>
      </c>
      <c r="F48" s="163" t="s">
        <v>0</v>
      </c>
      <c r="G48" s="163" t="s">
        <v>0</v>
      </c>
      <c r="H48" s="163" t="s">
        <v>0</v>
      </c>
      <c r="I48" s="163" t="s">
        <v>0</v>
      </c>
      <c r="J48" s="163" t="s">
        <v>0</v>
      </c>
      <c r="K48" s="163" t="s">
        <v>0</v>
      </c>
    </row>
    <row r="49" spans="2:11" ht="12.75" thickBot="1" x14ac:dyDescent="0.2">
      <c r="B49" s="85" t="s">
        <v>1080</v>
      </c>
      <c r="C49" s="63" t="s">
        <v>1</v>
      </c>
      <c r="D49" s="63" t="s">
        <v>1</v>
      </c>
      <c r="E49" s="63" t="s">
        <v>1</v>
      </c>
      <c r="F49" s="63" t="s">
        <v>1</v>
      </c>
      <c r="G49" s="63" t="s">
        <v>1</v>
      </c>
      <c r="H49" s="63" t="s">
        <v>1</v>
      </c>
      <c r="I49" s="63" t="s">
        <v>1</v>
      </c>
      <c r="J49" s="63" t="s">
        <v>1</v>
      </c>
      <c r="K49" s="63" t="s">
        <v>1</v>
      </c>
    </row>
    <row r="50" spans="2:11" ht="12.75" thickBot="1" x14ac:dyDescent="0.2">
      <c r="B50" s="85" t="s">
        <v>1081</v>
      </c>
      <c r="C50" s="63" t="s">
        <v>1</v>
      </c>
      <c r="D50" s="63" t="s">
        <v>1</v>
      </c>
      <c r="E50" s="63" t="s">
        <v>1</v>
      </c>
      <c r="F50" s="63" t="s">
        <v>1</v>
      </c>
      <c r="G50" s="63" t="s">
        <v>1</v>
      </c>
      <c r="H50" s="63" t="s">
        <v>1</v>
      </c>
      <c r="I50" s="63" t="s">
        <v>1</v>
      </c>
      <c r="J50" s="63" t="s">
        <v>0</v>
      </c>
      <c r="K50" s="63" t="s">
        <v>0</v>
      </c>
    </row>
    <row r="51" spans="2:11" ht="12.75" thickBot="1" x14ac:dyDescent="0.2">
      <c r="B51" s="85" t="s">
        <v>1092</v>
      </c>
      <c r="C51" s="63" t="s">
        <v>1</v>
      </c>
      <c r="D51" s="160" t="s">
        <v>0</v>
      </c>
      <c r="E51" s="160" t="s">
        <v>0</v>
      </c>
      <c r="F51" s="160" t="s">
        <v>0</v>
      </c>
      <c r="G51" s="63" t="s">
        <v>1</v>
      </c>
      <c r="H51" s="63" t="s">
        <v>1</v>
      </c>
      <c r="I51" s="63" t="s">
        <v>1</v>
      </c>
      <c r="J51" s="63" t="s">
        <v>0</v>
      </c>
      <c r="K51" s="63" t="s">
        <v>0</v>
      </c>
    </row>
    <row r="52" spans="2:11" ht="12.75" thickBot="1" x14ac:dyDescent="0.2">
      <c r="B52" s="88" t="s">
        <v>1082</v>
      </c>
      <c r="C52" s="63" t="s">
        <v>1</v>
      </c>
      <c r="D52" s="160" t="s">
        <v>0</v>
      </c>
      <c r="E52" s="160" t="s">
        <v>0</v>
      </c>
      <c r="F52" s="160" t="s">
        <v>0</v>
      </c>
      <c r="G52" s="63" t="s">
        <v>1</v>
      </c>
      <c r="H52" s="63" t="s">
        <v>1</v>
      </c>
      <c r="I52" s="63" t="s">
        <v>1</v>
      </c>
      <c r="J52" s="63" t="s">
        <v>0</v>
      </c>
      <c r="K52" s="63" t="s">
        <v>0</v>
      </c>
    </row>
    <row r="53" spans="2:11" ht="12.75" thickBot="1" x14ac:dyDescent="0.2">
      <c r="B53" s="88" t="s">
        <v>1083</v>
      </c>
      <c r="C53" s="63" t="s">
        <v>1</v>
      </c>
      <c r="D53" s="160" t="s">
        <v>0</v>
      </c>
      <c r="E53" s="160" t="s">
        <v>0</v>
      </c>
      <c r="F53" s="160" t="s">
        <v>0</v>
      </c>
      <c r="G53" s="63" t="s">
        <v>1</v>
      </c>
      <c r="H53" s="63" t="s">
        <v>1</v>
      </c>
      <c r="I53" s="63" t="s">
        <v>1</v>
      </c>
      <c r="J53" s="63" t="s">
        <v>0</v>
      </c>
      <c r="K53" s="63" t="s">
        <v>0</v>
      </c>
    </row>
    <row r="54" spans="2:11" ht="12.75" thickBot="1" x14ac:dyDescent="0.2">
      <c r="B54" s="88" t="s">
        <v>1084</v>
      </c>
      <c r="C54" s="63" t="s">
        <v>1</v>
      </c>
      <c r="D54" s="63" t="s">
        <v>1</v>
      </c>
      <c r="E54" s="63" t="s">
        <v>1</v>
      </c>
      <c r="F54" s="63" t="s">
        <v>1</v>
      </c>
      <c r="G54" s="63" t="s">
        <v>1</v>
      </c>
      <c r="H54" s="63" t="s">
        <v>1</v>
      </c>
      <c r="I54" s="63" t="s">
        <v>1</v>
      </c>
      <c r="J54" s="63" t="s">
        <v>1</v>
      </c>
      <c r="K54" s="63" t="s">
        <v>1</v>
      </c>
    </row>
    <row r="55" spans="2:11" ht="12.75" thickBot="1" x14ac:dyDescent="0.2">
      <c r="B55" s="88" t="s">
        <v>1085</v>
      </c>
      <c r="C55" s="63" t="s">
        <v>1</v>
      </c>
      <c r="D55" s="63" t="s">
        <v>1</v>
      </c>
      <c r="E55" s="63" t="s">
        <v>1</v>
      </c>
      <c r="F55" s="63" t="s">
        <v>1</v>
      </c>
      <c r="G55" s="63" t="s">
        <v>1</v>
      </c>
      <c r="H55" s="63" t="s">
        <v>1</v>
      </c>
      <c r="I55" s="63" t="s">
        <v>1</v>
      </c>
      <c r="J55" s="63" t="s">
        <v>1</v>
      </c>
      <c r="K55" s="63" t="s">
        <v>1</v>
      </c>
    </row>
    <row r="56" spans="2:11" ht="12.75" thickBot="1" x14ac:dyDescent="0.2">
      <c r="B56" s="88" t="s">
        <v>1086</v>
      </c>
      <c r="C56" s="63" t="s">
        <v>1</v>
      </c>
      <c r="D56" s="63" t="s">
        <v>1</v>
      </c>
      <c r="E56" s="63" t="s">
        <v>1</v>
      </c>
      <c r="F56" s="63" t="s">
        <v>1</v>
      </c>
      <c r="G56" s="63" t="s">
        <v>1</v>
      </c>
      <c r="H56" s="63" t="s">
        <v>1</v>
      </c>
      <c r="I56" s="63" t="s">
        <v>1</v>
      </c>
      <c r="J56" s="63" t="s">
        <v>1</v>
      </c>
      <c r="K56" s="63" t="s">
        <v>1</v>
      </c>
    </row>
    <row r="57" spans="2:11" ht="12.75" thickBot="1" x14ac:dyDescent="0.2">
      <c r="B57" s="88" t="s">
        <v>1087</v>
      </c>
      <c r="C57" s="63" t="s">
        <v>1</v>
      </c>
      <c r="D57" s="63" t="s">
        <v>1</v>
      </c>
      <c r="E57" s="63" t="s">
        <v>1</v>
      </c>
      <c r="F57" s="63" t="s">
        <v>1</v>
      </c>
      <c r="G57" s="63" t="s">
        <v>1</v>
      </c>
      <c r="H57" s="63" t="s">
        <v>1</v>
      </c>
      <c r="I57" s="63" t="s">
        <v>1</v>
      </c>
      <c r="J57" s="63" t="s">
        <v>1</v>
      </c>
      <c r="K57" s="63" t="s">
        <v>1</v>
      </c>
    </row>
    <row r="58" spans="2:11" ht="12.75" thickBot="1" x14ac:dyDescent="0.2">
      <c r="B58" s="88" t="s">
        <v>1088</v>
      </c>
      <c r="C58" s="63" t="s">
        <v>1</v>
      </c>
      <c r="D58" s="63" t="s">
        <v>1</v>
      </c>
      <c r="E58" s="63" t="s">
        <v>1</v>
      </c>
      <c r="F58" s="63" t="s">
        <v>1</v>
      </c>
      <c r="G58" s="63" t="s">
        <v>1</v>
      </c>
      <c r="H58" s="63" t="s">
        <v>1</v>
      </c>
      <c r="I58" s="63" t="s">
        <v>1</v>
      </c>
      <c r="J58" s="63" t="s">
        <v>1</v>
      </c>
      <c r="K58" s="63" t="s">
        <v>1</v>
      </c>
    </row>
    <row r="59" spans="2:11" ht="12.75" thickBot="1" x14ac:dyDescent="0.2">
      <c r="B59" s="88" t="s">
        <v>1089</v>
      </c>
      <c r="C59" s="63" t="s">
        <v>1</v>
      </c>
      <c r="D59" s="63" t="s">
        <v>1</v>
      </c>
      <c r="E59" s="63" t="s">
        <v>1</v>
      </c>
      <c r="F59" s="63" t="s">
        <v>1</v>
      </c>
      <c r="G59" s="63" t="s">
        <v>1</v>
      </c>
      <c r="H59" s="63" t="s">
        <v>1</v>
      </c>
      <c r="I59" s="63" t="s">
        <v>1</v>
      </c>
      <c r="J59" s="63" t="s">
        <v>1</v>
      </c>
      <c r="K59" s="63" t="s">
        <v>1</v>
      </c>
    </row>
    <row r="60" spans="2:11" ht="12.75" thickBot="1" x14ac:dyDescent="0.2">
      <c r="B60" s="88" t="s">
        <v>1090</v>
      </c>
      <c r="C60" s="63" t="s">
        <v>1</v>
      </c>
      <c r="D60" s="63" t="s">
        <v>34</v>
      </c>
      <c r="E60" s="63" t="s">
        <v>1</v>
      </c>
      <c r="F60" s="63" t="s">
        <v>1</v>
      </c>
      <c r="G60" s="63" t="s">
        <v>1</v>
      </c>
      <c r="H60" s="63" t="s">
        <v>1</v>
      </c>
      <c r="I60" s="63" t="s">
        <v>1</v>
      </c>
      <c r="J60" s="63" t="s">
        <v>1</v>
      </c>
      <c r="K60" s="63" t="s">
        <v>1</v>
      </c>
    </row>
  </sheetData>
  <mergeCells count="1">
    <mergeCell ref="D2:K2"/>
  </mergeCells>
  <phoneticPr fontId="8"/>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outlinePr summaryBelow="0" summaryRight="0"/>
  </sheetPr>
  <dimension ref="B2:V101"/>
  <sheetViews>
    <sheetView topLeftCell="K41" zoomScale="130" zoomScaleNormal="130" workbookViewId="0">
      <selection activeCell="R53" sqref="R53"/>
    </sheetView>
  </sheetViews>
  <sheetFormatPr defaultRowHeight="12" outlineLevelCol="1" x14ac:dyDescent="0.2"/>
  <cols>
    <col min="1" max="2" width="3.42578125" style="177" customWidth="1"/>
    <col min="3" max="3" width="23.5703125" style="178" customWidth="1"/>
    <col min="4" max="5" width="10.7109375" style="178" customWidth="1"/>
    <col min="6" max="17" width="10.7109375" style="177" customWidth="1"/>
    <col min="18" max="18" width="48.85546875" style="177" customWidth="1"/>
    <col min="19" max="19" width="9.140625" style="177" collapsed="1"/>
    <col min="20" max="20" width="0" style="179" hidden="1" customWidth="1" outlineLevel="1"/>
    <col min="21" max="16384" width="9.140625" style="177"/>
  </cols>
  <sheetData>
    <row r="2" spans="2:22" x14ac:dyDescent="0.2">
      <c r="B2" s="176" t="s">
        <v>1153</v>
      </c>
      <c r="C2" s="177"/>
    </row>
    <row r="3" spans="2:22" ht="12.75" thickBot="1" x14ac:dyDescent="0.25">
      <c r="C3" s="86"/>
    </row>
    <row r="4" spans="2:22" x14ac:dyDescent="0.2">
      <c r="C4" s="267" t="s">
        <v>1159</v>
      </c>
      <c r="D4" s="269" t="s">
        <v>1154</v>
      </c>
      <c r="E4" s="269" t="s">
        <v>665</v>
      </c>
      <c r="F4" s="269" t="s">
        <v>1155</v>
      </c>
      <c r="G4" s="269" t="s">
        <v>1156</v>
      </c>
      <c r="H4" s="287" t="s">
        <v>1247</v>
      </c>
      <c r="I4" s="269" t="s">
        <v>1157</v>
      </c>
      <c r="J4" s="289" t="s">
        <v>1204</v>
      </c>
      <c r="T4" s="177"/>
      <c r="V4" s="179"/>
    </row>
    <row r="5" spans="2:22" ht="12.75" thickBot="1" x14ac:dyDescent="0.25">
      <c r="C5" s="268"/>
      <c r="D5" s="288"/>
      <c r="E5" s="270"/>
      <c r="F5" s="288"/>
      <c r="G5" s="288"/>
      <c r="H5" s="270"/>
      <c r="I5" s="288"/>
      <c r="J5" s="290"/>
      <c r="T5" s="177"/>
      <c r="V5" s="179"/>
    </row>
    <row r="6" spans="2:22" ht="12.75" customHeight="1" thickBot="1" x14ac:dyDescent="0.25">
      <c r="C6" s="91" t="s">
        <v>1206</v>
      </c>
      <c r="D6" s="65" t="s">
        <v>1</v>
      </c>
      <c r="E6" s="80" t="s">
        <v>1</v>
      </c>
      <c r="F6" s="65" t="s">
        <v>0</v>
      </c>
      <c r="G6" s="65" t="s">
        <v>0</v>
      </c>
      <c r="H6" s="65" t="s">
        <v>0</v>
      </c>
      <c r="I6" s="65" t="s">
        <v>0</v>
      </c>
      <c r="J6" s="247" t="s">
        <v>0</v>
      </c>
      <c r="T6" s="177"/>
      <c r="V6" s="179"/>
    </row>
    <row r="7" spans="2:22" ht="12.75" thickBot="1" x14ac:dyDescent="0.25">
      <c r="C7" s="88" t="s">
        <v>1152</v>
      </c>
      <c r="D7" s="122" t="s">
        <v>0</v>
      </c>
      <c r="E7" s="63" t="s">
        <v>0</v>
      </c>
      <c r="F7" s="122" t="s">
        <v>0</v>
      </c>
      <c r="G7" s="122" t="s">
        <v>0</v>
      </c>
      <c r="H7" s="122" t="s">
        <v>0</v>
      </c>
      <c r="I7" s="122" t="s">
        <v>0</v>
      </c>
      <c r="J7" s="248" t="s">
        <v>1205</v>
      </c>
      <c r="T7" s="177"/>
      <c r="V7" s="179"/>
    </row>
    <row r="8" spans="2:22" ht="12.75" thickBot="1" x14ac:dyDescent="0.25">
      <c r="C8" s="88" t="s">
        <v>1215</v>
      </c>
      <c r="D8" s="122" t="s">
        <v>0</v>
      </c>
      <c r="E8" s="63" t="s">
        <v>0</v>
      </c>
      <c r="F8" s="122" t="s">
        <v>1205</v>
      </c>
      <c r="G8" s="122" t="s">
        <v>0</v>
      </c>
      <c r="H8" s="122" t="s">
        <v>0</v>
      </c>
      <c r="I8" s="122" t="s">
        <v>0</v>
      </c>
      <c r="J8" s="248" t="s">
        <v>0</v>
      </c>
      <c r="T8" s="177"/>
      <c r="V8" s="179"/>
    </row>
    <row r="9" spans="2:22" ht="12.75" thickBot="1" x14ac:dyDescent="0.25">
      <c r="C9" s="88" t="s">
        <v>1217</v>
      </c>
      <c r="D9" s="122" t="s">
        <v>0</v>
      </c>
      <c r="E9" s="63" t="s">
        <v>0</v>
      </c>
      <c r="F9" s="122" t="s">
        <v>1158</v>
      </c>
      <c r="G9" s="122" t="s">
        <v>1158</v>
      </c>
      <c r="H9" s="122" t="s">
        <v>0</v>
      </c>
      <c r="I9" s="122" t="s">
        <v>0</v>
      </c>
      <c r="J9" s="248" t="s">
        <v>0</v>
      </c>
      <c r="T9" s="177"/>
      <c r="V9" s="179"/>
    </row>
    <row r="10" spans="2:22" ht="12.75" thickBot="1" x14ac:dyDescent="0.25">
      <c r="C10" s="88" t="s">
        <v>1216</v>
      </c>
      <c r="D10" s="122" t="s">
        <v>0</v>
      </c>
      <c r="E10" s="63" t="s">
        <v>0</v>
      </c>
      <c r="F10" s="122" t="s">
        <v>0</v>
      </c>
      <c r="G10" s="122" t="s">
        <v>0</v>
      </c>
      <c r="H10" s="122" t="s">
        <v>0</v>
      </c>
      <c r="I10" s="122" t="s">
        <v>1158</v>
      </c>
      <c r="J10" s="248" t="s">
        <v>0</v>
      </c>
      <c r="T10" s="177"/>
      <c r="V10" s="179"/>
    </row>
    <row r="11" spans="2:22" ht="12.75" thickBot="1" x14ac:dyDescent="0.25">
      <c r="C11" s="88" t="s">
        <v>1218</v>
      </c>
      <c r="D11" s="122" t="s">
        <v>0</v>
      </c>
      <c r="E11" s="63" t="s">
        <v>0</v>
      </c>
      <c r="F11" s="122" t="s">
        <v>0</v>
      </c>
      <c r="G11" s="122" t="s">
        <v>0</v>
      </c>
      <c r="H11" s="122" t="s">
        <v>0</v>
      </c>
      <c r="I11" s="122" t="s">
        <v>0</v>
      </c>
      <c r="J11" s="248" t="s">
        <v>1158</v>
      </c>
      <c r="T11" s="177"/>
      <c r="V11" s="179"/>
    </row>
    <row r="12" spans="2:22" ht="12.75" thickBot="1" x14ac:dyDescent="0.25">
      <c r="C12" s="88" t="s">
        <v>1207</v>
      </c>
      <c r="D12" s="122" t="s">
        <v>0</v>
      </c>
      <c r="E12" s="63" t="s">
        <v>0</v>
      </c>
      <c r="F12" s="122" t="s">
        <v>0</v>
      </c>
      <c r="G12" s="122" t="s">
        <v>0</v>
      </c>
      <c r="H12" s="122" t="s">
        <v>0</v>
      </c>
      <c r="I12" s="122" t="s">
        <v>1210</v>
      </c>
      <c r="J12" s="248" t="s">
        <v>1210</v>
      </c>
      <c r="T12" s="177"/>
      <c r="V12" s="179"/>
    </row>
    <row r="13" spans="2:22" ht="12.75" thickBot="1" x14ac:dyDescent="0.25">
      <c r="C13" s="88" t="s">
        <v>1202</v>
      </c>
      <c r="D13" s="122" t="s">
        <v>165</v>
      </c>
      <c r="E13" s="63" t="s">
        <v>165</v>
      </c>
      <c r="F13" s="122" t="s">
        <v>165</v>
      </c>
      <c r="G13" s="122" t="s">
        <v>165</v>
      </c>
      <c r="H13" s="122" t="s">
        <v>0</v>
      </c>
      <c r="I13" s="122" t="s">
        <v>1</v>
      </c>
      <c r="J13" s="248" t="s">
        <v>0</v>
      </c>
      <c r="T13" s="177"/>
      <c r="V13" s="179"/>
    </row>
    <row r="14" spans="2:22" ht="12.75" thickBot="1" x14ac:dyDescent="0.25">
      <c r="C14" s="88" t="s">
        <v>1208</v>
      </c>
      <c r="D14" s="122" t="s">
        <v>0</v>
      </c>
      <c r="E14" s="63" t="s">
        <v>0</v>
      </c>
      <c r="F14" s="122" t="s">
        <v>0</v>
      </c>
      <c r="G14" s="122" t="s">
        <v>0</v>
      </c>
      <c r="H14" s="122" t="s">
        <v>0</v>
      </c>
      <c r="I14" s="122" t="s">
        <v>0</v>
      </c>
      <c r="J14" s="248" t="s">
        <v>1</v>
      </c>
      <c r="T14" s="177"/>
      <c r="V14" s="179"/>
    </row>
    <row r="15" spans="2:22" ht="12.75" thickBot="1" x14ac:dyDescent="0.25">
      <c r="C15" s="88" t="s">
        <v>1209</v>
      </c>
      <c r="D15" s="122" t="s">
        <v>0</v>
      </c>
      <c r="E15" s="63" t="s">
        <v>0</v>
      </c>
      <c r="F15" s="122" t="s">
        <v>1</v>
      </c>
      <c r="G15" s="122" t="s">
        <v>1</v>
      </c>
      <c r="H15" s="122" t="s">
        <v>0</v>
      </c>
      <c r="I15" s="122" t="s">
        <v>0</v>
      </c>
      <c r="J15" s="248" t="s">
        <v>0</v>
      </c>
      <c r="T15" s="177"/>
      <c r="V15" s="179"/>
    </row>
    <row r="16" spans="2:22" ht="12.75" customHeight="1" thickBot="1" x14ac:dyDescent="0.25">
      <c r="C16" s="88" t="s">
        <v>1275</v>
      </c>
      <c r="D16" s="122" t="s">
        <v>0</v>
      </c>
      <c r="E16" s="63" t="s">
        <v>0</v>
      </c>
      <c r="F16" s="122" t="s">
        <v>1158</v>
      </c>
      <c r="G16" s="122" t="s">
        <v>0</v>
      </c>
      <c r="H16" s="122" t="s">
        <v>0</v>
      </c>
      <c r="I16" s="122" t="s">
        <v>0</v>
      </c>
      <c r="J16" s="248" t="s">
        <v>0</v>
      </c>
      <c r="T16" s="177"/>
      <c r="V16" s="179"/>
    </row>
    <row r="17" spans="2:22" ht="12.75" thickBot="1" x14ac:dyDescent="0.25">
      <c r="C17" s="88" t="s">
        <v>1212</v>
      </c>
      <c r="D17" s="122" t="s">
        <v>0</v>
      </c>
      <c r="E17" s="63" t="s">
        <v>0</v>
      </c>
      <c r="F17" s="122" t="s">
        <v>1158</v>
      </c>
      <c r="G17" s="122" t="s">
        <v>1</v>
      </c>
      <c r="H17" s="122" t="s">
        <v>0</v>
      </c>
      <c r="I17" s="122" t="s">
        <v>0</v>
      </c>
      <c r="J17" s="248" t="s">
        <v>0</v>
      </c>
      <c r="T17" s="177"/>
      <c r="V17" s="179"/>
    </row>
    <row r="18" spans="2:22" ht="12.75" thickBot="1" x14ac:dyDescent="0.25">
      <c r="C18" s="88" t="s">
        <v>1213</v>
      </c>
      <c r="D18" s="122" t="s">
        <v>0</v>
      </c>
      <c r="E18" s="63" t="s">
        <v>0</v>
      </c>
      <c r="F18" s="122" t="s">
        <v>1</v>
      </c>
      <c r="G18" s="122" t="s">
        <v>1</v>
      </c>
      <c r="H18" s="122" t="s">
        <v>0</v>
      </c>
      <c r="I18" s="122" t="s">
        <v>0</v>
      </c>
      <c r="J18" s="248" t="s">
        <v>0</v>
      </c>
      <c r="T18" s="177"/>
      <c r="V18" s="179"/>
    </row>
    <row r="19" spans="2:22" ht="12.75" thickBot="1" x14ac:dyDescent="0.25">
      <c r="C19" s="237" t="s">
        <v>1203</v>
      </c>
      <c r="D19" s="239" t="s">
        <v>0</v>
      </c>
      <c r="E19" s="238" t="s">
        <v>0</v>
      </c>
      <c r="F19" s="239" t="s">
        <v>0</v>
      </c>
      <c r="G19" s="239" t="s">
        <v>0</v>
      </c>
      <c r="H19" s="239" t="s">
        <v>0</v>
      </c>
      <c r="I19" s="239" t="s">
        <v>0</v>
      </c>
      <c r="J19" s="248" t="s">
        <v>0</v>
      </c>
      <c r="T19" s="177"/>
      <c r="V19" s="179"/>
    </row>
    <row r="20" spans="2:22" ht="12.75" thickBot="1" x14ac:dyDescent="0.25">
      <c r="C20" s="253" t="s">
        <v>1252</v>
      </c>
      <c r="D20" s="122" t="s">
        <v>0</v>
      </c>
      <c r="E20" s="63" t="s">
        <v>0</v>
      </c>
      <c r="F20" s="122" t="s">
        <v>0</v>
      </c>
      <c r="G20" s="122" t="s">
        <v>0</v>
      </c>
      <c r="H20" s="122" t="s">
        <v>1</v>
      </c>
      <c r="I20" s="122" t="s">
        <v>0</v>
      </c>
      <c r="J20" s="248" t="s">
        <v>0</v>
      </c>
      <c r="T20" s="177"/>
      <c r="V20" s="179"/>
    </row>
    <row r="21" spans="2:22" ht="12.75" x14ac:dyDescent="0.2">
      <c r="C21" s="177"/>
      <c r="D21" s="92"/>
      <c r="E21" s="92"/>
      <c r="F21" s="92"/>
      <c r="G21" s="92"/>
      <c r="H21" s="92"/>
      <c r="J21" s="173" t="s">
        <v>1161</v>
      </c>
    </row>
    <row r="23" spans="2:22" x14ac:dyDescent="0.2">
      <c r="C23" s="175" t="s">
        <v>1162</v>
      </c>
    </row>
    <row r="24" spans="2:22" x14ac:dyDescent="0.2">
      <c r="C24" s="175" t="s">
        <v>1211</v>
      </c>
    </row>
    <row r="25" spans="2:22" x14ac:dyDescent="0.2">
      <c r="C25" s="175" t="s">
        <v>1214</v>
      </c>
    </row>
    <row r="26" spans="2:22" x14ac:dyDescent="0.2">
      <c r="C26" s="175" t="s">
        <v>1276</v>
      </c>
    </row>
    <row r="28" spans="2:22" x14ac:dyDescent="0.2">
      <c r="B28" s="174" t="s">
        <v>1242</v>
      </c>
      <c r="C28" s="177"/>
    </row>
    <row r="29" spans="2:22" x14ac:dyDescent="0.2">
      <c r="C29" s="86"/>
    </row>
    <row r="30" spans="2:22" ht="12.75" thickBot="1" x14ac:dyDescent="0.25"/>
    <row r="31" spans="2:22" s="180" customFormat="1" ht="22.5" x14ac:dyDescent="0.15">
      <c r="C31" s="181" t="s">
        <v>1163</v>
      </c>
      <c r="D31" s="182" t="s">
        <v>1164</v>
      </c>
      <c r="E31" s="183" t="s">
        <v>1165</v>
      </c>
      <c r="F31" s="285" t="s">
        <v>1274</v>
      </c>
      <c r="G31" s="286"/>
      <c r="H31" s="286"/>
      <c r="I31" s="286"/>
      <c r="J31" s="184"/>
      <c r="K31" s="240" t="s">
        <v>455</v>
      </c>
      <c r="L31" s="184"/>
      <c r="M31" s="283" t="s">
        <v>1219</v>
      </c>
      <c r="N31" s="284"/>
      <c r="O31" s="284"/>
      <c r="P31" s="284"/>
      <c r="Q31" s="254" t="s">
        <v>1250</v>
      </c>
      <c r="R31" s="185" t="s">
        <v>1166</v>
      </c>
      <c r="T31" s="186"/>
      <c r="U31" s="187"/>
    </row>
    <row r="32" spans="2:22" s="188" customFormat="1" ht="28.5" customHeight="1" thickBot="1" x14ac:dyDescent="0.25">
      <c r="C32" s="189" t="s">
        <v>1167</v>
      </c>
      <c r="D32" s="190"/>
      <c r="E32" s="191"/>
      <c r="F32" s="192" t="s">
        <v>1168</v>
      </c>
      <c r="G32" s="192" t="s">
        <v>1169</v>
      </c>
      <c r="H32" s="192" t="s">
        <v>1170</v>
      </c>
      <c r="I32" s="192" t="s">
        <v>1171</v>
      </c>
      <c r="J32" s="192" t="s">
        <v>1172</v>
      </c>
      <c r="K32" s="193" t="s">
        <v>1168</v>
      </c>
      <c r="L32" s="193" t="s">
        <v>1169</v>
      </c>
      <c r="M32" s="193" t="s">
        <v>1168</v>
      </c>
      <c r="N32" s="193" t="s">
        <v>1169</v>
      </c>
      <c r="O32" s="193" t="s">
        <v>1170</v>
      </c>
      <c r="P32" s="193" t="s">
        <v>1171</v>
      </c>
      <c r="Q32" s="194"/>
      <c r="R32" s="195"/>
      <c r="T32" s="196"/>
    </row>
    <row r="33" spans="3:20" s="188" customFormat="1" x14ac:dyDescent="0.2">
      <c r="C33" s="197" t="s">
        <v>1173</v>
      </c>
      <c r="D33" s="198" t="s">
        <v>1160</v>
      </c>
      <c r="E33" s="199" t="s">
        <v>1160</v>
      </c>
      <c r="F33" s="200" t="s">
        <v>1160</v>
      </c>
      <c r="G33" s="200" t="s">
        <v>1160</v>
      </c>
      <c r="H33" s="200" t="s">
        <v>1160</v>
      </c>
      <c r="I33" s="201" t="s">
        <v>1160</v>
      </c>
      <c r="J33" s="200" t="s">
        <v>1160</v>
      </c>
      <c r="K33" s="200" t="s">
        <v>1160</v>
      </c>
      <c r="L33" s="200" t="s">
        <v>1160</v>
      </c>
      <c r="M33" s="200" t="s">
        <v>1160</v>
      </c>
      <c r="N33" s="200" t="s">
        <v>1160</v>
      </c>
      <c r="O33" s="200" t="s">
        <v>1160</v>
      </c>
      <c r="P33" s="201" t="s">
        <v>1160</v>
      </c>
      <c r="Q33" s="202" t="s">
        <v>1160</v>
      </c>
      <c r="R33" s="203"/>
      <c r="T33" s="196" t="str">
        <f>'2.2.3. トレイおよびオプション装着検知'!H12</f>
        <v>○</v>
      </c>
    </row>
    <row r="34" spans="3:20" s="188" customFormat="1" x14ac:dyDescent="0.2">
      <c r="C34" s="197" t="s">
        <v>1174</v>
      </c>
      <c r="D34" s="204" t="s">
        <v>0</v>
      </c>
      <c r="E34" s="200" t="s">
        <v>443</v>
      </c>
      <c r="F34" s="200" t="s">
        <v>0</v>
      </c>
      <c r="G34" s="200" t="s">
        <v>0</v>
      </c>
      <c r="H34" s="200" t="s">
        <v>0</v>
      </c>
      <c r="I34" s="201" t="s">
        <v>0</v>
      </c>
      <c r="J34" s="200" t="s">
        <v>0</v>
      </c>
      <c r="K34" s="200" t="s">
        <v>1160</v>
      </c>
      <c r="L34" s="200" t="s">
        <v>1160</v>
      </c>
      <c r="M34" s="200" t="s">
        <v>1160</v>
      </c>
      <c r="N34" s="200" t="s">
        <v>1160</v>
      </c>
      <c r="O34" s="200" t="s">
        <v>1160</v>
      </c>
      <c r="P34" s="201" t="s">
        <v>1160</v>
      </c>
      <c r="Q34" s="205" t="s">
        <v>1160</v>
      </c>
      <c r="R34" s="206"/>
      <c r="T34" s="196" t="str">
        <f>'2.2.3. トレイおよびオプション装着検知'!H26</f>
        <v>○</v>
      </c>
    </row>
    <row r="35" spans="3:20" s="188" customFormat="1" x14ac:dyDescent="0.2">
      <c r="C35" s="207" t="s">
        <v>1175</v>
      </c>
      <c r="D35" s="208" t="s">
        <v>1160</v>
      </c>
      <c r="E35" s="209" t="s">
        <v>1160</v>
      </c>
      <c r="F35" s="210" t="s">
        <v>1160</v>
      </c>
      <c r="G35" s="210" t="s">
        <v>1160</v>
      </c>
      <c r="H35" s="210" t="s">
        <v>1160</v>
      </c>
      <c r="I35" s="211" t="s">
        <v>1160</v>
      </c>
      <c r="J35" s="210" t="s">
        <v>1160</v>
      </c>
      <c r="K35" s="210" t="s">
        <v>1160</v>
      </c>
      <c r="L35" s="210" t="s">
        <v>1160</v>
      </c>
      <c r="M35" s="210" t="s">
        <v>1160</v>
      </c>
      <c r="N35" s="210" t="s">
        <v>1160</v>
      </c>
      <c r="O35" s="210" t="s">
        <v>1160</v>
      </c>
      <c r="P35" s="211" t="s">
        <v>1160</v>
      </c>
      <c r="Q35" s="212" t="s">
        <v>1176</v>
      </c>
      <c r="R35" s="213"/>
      <c r="T35" s="214" t="s">
        <v>1177</v>
      </c>
    </row>
    <row r="36" spans="3:20" s="188" customFormat="1" x14ac:dyDescent="0.2">
      <c r="C36" s="207" t="s">
        <v>1178</v>
      </c>
      <c r="D36" s="208" t="s">
        <v>1160</v>
      </c>
      <c r="E36" s="209" t="s">
        <v>1160</v>
      </c>
      <c r="F36" s="210" t="s">
        <v>1160</v>
      </c>
      <c r="G36" s="210" t="s">
        <v>1160</v>
      </c>
      <c r="H36" s="210" t="s">
        <v>1160</v>
      </c>
      <c r="I36" s="211" t="s">
        <v>1160</v>
      </c>
      <c r="J36" s="210" t="s">
        <v>1160</v>
      </c>
      <c r="K36" s="210" t="s">
        <v>1160</v>
      </c>
      <c r="L36" s="210" t="s">
        <v>1160</v>
      </c>
      <c r="M36" s="210" t="s">
        <v>1160</v>
      </c>
      <c r="N36" s="210" t="s">
        <v>1160</v>
      </c>
      <c r="O36" s="210" t="s">
        <v>1160</v>
      </c>
      <c r="P36" s="211" t="s">
        <v>1160</v>
      </c>
      <c r="Q36" s="212" t="s">
        <v>1176</v>
      </c>
      <c r="R36" s="213"/>
      <c r="T36" s="214" t="s">
        <v>1177</v>
      </c>
    </row>
    <row r="37" spans="3:20" s="188" customFormat="1" x14ac:dyDescent="0.2">
      <c r="C37" s="215" t="s">
        <v>1179</v>
      </c>
      <c r="D37" s="208" t="s">
        <v>35</v>
      </c>
      <c r="E37" s="209" t="s">
        <v>1160</v>
      </c>
      <c r="F37" s="210" t="s">
        <v>1160</v>
      </c>
      <c r="G37" s="210" t="s">
        <v>1160</v>
      </c>
      <c r="H37" s="211" t="s">
        <v>1160</v>
      </c>
      <c r="I37" s="211" t="s">
        <v>1160</v>
      </c>
      <c r="J37" s="210" t="s">
        <v>1160</v>
      </c>
      <c r="K37" s="210" t="s">
        <v>1160</v>
      </c>
      <c r="L37" s="210" t="s">
        <v>1160</v>
      </c>
      <c r="M37" s="210" t="s">
        <v>1160</v>
      </c>
      <c r="N37" s="210" t="s">
        <v>1160</v>
      </c>
      <c r="O37" s="211" t="s">
        <v>1160</v>
      </c>
      <c r="P37" s="211" t="s">
        <v>1160</v>
      </c>
      <c r="Q37" s="212" t="s">
        <v>1176</v>
      </c>
      <c r="R37" s="216" t="s">
        <v>1180</v>
      </c>
      <c r="T37" s="214" t="s">
        <v>1177</v>
      </c>
    </row>
    <row r="38" spans="3:20" s="188" customFormat="1" x14ac:dyDescent="0.2">
      <c r="C38" s="215" t="s">
        <v>1181</v>
      </c>
      <c r="D38" s="217" t="s">
        <v>35</v>
      </c>
      <c r="E38" s="210" t="s">
        <v>35</v>
      </c>
      <c r="F38" s="210" t="s">
        <v>35</v>
      </c>
      <c r="G38" s="210" t="s">
        <v>1182</v>
      </c>
      <c r="H38" s="210" t="s">
        <v>332</v>
      </c>
      <c r="I38" s="211" t="s">
        <v>1160</v>
      </c>
      <c r="J38" s="210" t="s">
        <v>0</v>
      </c>
      <c r="K38" s="210" t="s">
        <v>35</v>
      </c>
      <c r="L38" s="210" t="s">
        <v>1177</v>
      </c>
      <c r="M38" s="210" t="s">
        <v>35</v>
      </c>
      <c r="N38" s="210" t="s">
        <v>1182</v>
      </c>
      <c r="O38" s="210" t="s">
        <v>35</v>
      </c>
      <c r="P38" s="211" t="s">
        <v>1160</v>
      </c>
      <c r="Q38" s="212" t="s">
        <v>1183</v>
      </c>
      <c r="R38" s="216" t="s">
        <v>1184</v>
      </c>
      <c r="T38" s="214" t="s">
        <v>1160</v>
      </c>
    </row>
    <row r="39" spans="3:20" s="188" customFormat="1" x14ac:dyDescent="0.2">
      <c r="C39" s="215" t="s">
        <v>1185</v>
      </c>
      <c r="D39" s="208" t="s">
        <v>35</v>
      </c>
      <c r="E39" s="209" t="s">
        <v>1186</v>
      </c>
      <c r="F39" s="218" t="s">
        <v>1186</v>
      </c>
      <c r="G39" s="210" t="s">
        <v>1186</v>
      </c>
      <c r="H39" s="210" t="s">
        <v>35</v>
      </c>
      <c r="I39" s="211" t="s">
        <v>35</v>
      </c>
      <c r="J39" s="210" t="s">
        <v>0</v>
      </c>
      <c r="K39" s="218" t="s">
        <v>35</v>
      </c>
      <c r="L39" s="210" t="s">
        <v>1160</v>
      </c>
      <c r="M39" s="218" t="s">
        <v>35</v>
      </c>
      <c r="N39" s="210" t="s">
        <v>1186</v>
      </c>
      <c r="O39" s="210" t="s">
        <v>35</v>
      </c>
      <c r="P39" s="211" t="s">
        <v>35</v>
      </c>
      <c r="Q39" s="212" t="s">
        <v>35</v>
      </c>
      <c r="R39" s="213" t="s">
        <v>1187</v>
      </c>
      <c r="T39" s="214" t="s">
        <v>1177</v>
      </c>
    </row>
    <row r="40" spans="3:20" s="188" customFormat="1" x14ac:dyDescent="0.2">
      <c r="C40" s="219" t="s">
        <v>1188</v>
      </c>
      <c r="D40" s="220" t="s">
        <v>35</v>
      </c>
      <c r="E40" s="221" t="s">
        <v>35</v>
      </c>
      <c r="F40" s="218" t="s">
        <v>35</v>
      </c>
      <c r="G40" s="218" t="s">
        <v>1186</v>
      </c>
      <c r="H40" s="210" t="s">
        <v>35</v>
      </c>
      <c r="I40" s="222" t="s">
        <v>35</v>
      </c>
      <c r="J40" s="218" t="s">
        <v>0</v>
      </c>
      <c r="K40" s="218" t="s">
        <v>35</v>
      </c>
      <c r="L40" s="210" t="s">
        <v>35</v>
      </c>
      <c r="M40" s="218" t="s">
        <v>35</v>
      </c>
      <c r="N40" s="218" t="s">
        <v>1186</v>
      </c>
      <c r="O40" s="210" t="s">
        <v>35</v>
      </c>
      <c r="P40" s="222" t="s">
        <v>35</v>
      </c>
      <c r="Q40" s="212" t="s">
        <v>35</v>
      </c>
      <c r="R40" s="213" t="s">
        <v>1187</v>
      </c>
      <c r="T40" s="214" t="s">
        <v>1177</v>
      </c>
    </row>
    <row r="41" spans="3:20" s="188" customFormat="1" x14ac:dyDescent="0.2">
      <c r="C41" s="207" t="s">
        <v>1189</v>
      </c>
      <c r="D41" s="217" t="s">
        <v>35</v>
      </c>
      <c r="E41" s="210" t="s">
        <v>35</v>
      </c>
      <c r="F41" s="218" t="s">
        <v>1160</v>
      </c>
      <c r="G41" s="218" t="s">
        <v>1160</v>
      </c>
      <c r="H41" s="210" t="s">
        <v>35</v>
      </c>
      <c r="I41" s="222" t="s">
        <v>35</v>
      </c>
      <c r="J41" s="218" t="s">
        <v>1160</v>
      </c>
      <c r="K41" s="210" t="s">
        <v>35</v>
      </c>
      <c r="L41" s="210" t="s">
        <v>35</v>
      </c>
      <c r="M41" s="218" t="s">
        <v>1160</v>
      </c>
      <c r="N41" s="218" t="s">
        <v>1160</v>
      </c>
      <c r="O41" s="210" t="s">
        <v>35</v>
      </c>
      <c r="P41" s="222" t="s">
        <v>35</v>
      </c>
      <c r="Q41" s="212" t="s">
        <v>35</v>
      </c>
      <c r="R41" s="216"/>
      <c r="T41" s="196" t="str">
        <f>'2.2.3. トレイおよびオプション装着検知'!H55</f>
        <v>○</v>
      </c>
    </row>
    <row r="42" spans="3:20" s="188" customFormat="1" x14ac:dyDescent="0.2">
      <c r="C42" s="207" t="s">
        <v>1190</v>
      </c>
      <c r="D42" s="217" t="s">
        <v>35</v>
      </c>
      <c r="E42" s="210" t="s">
        <v>35</v>
      </c>
      <c r="F42" s="218" t="s">
        <v>0</v>
      </c>
      <c r="G42" s="218" t="s">
        <v>0</v>
      </c>
      <c r="H42" s="210" t="s">
        <v>35</v>
      </c>
      <c r="I42" s="222" t="s">
        <v>35</v>
      </c>
      <c r="J42" s="218" t="s">
        <v>0</v>
      </c>
      <c r="K42" s="218" t="s">
        <v>1160</v>
      </c>
      <c r="L42" s="218" t="s">
        <v>1160</v>
      </c>
      <c r="M42" s="218" t="s">
        <v>1160</v>
      </c>
      <c r="N42" s="218" t="s">
        <v>1160</v>
      </c>
      <c r="O42" s="210" t="s">
        <v>35</v>
      </c>
      <c r="P42" s="222" t="s">
        <v>35</v>
      </c>
      <c r="Q42" s="212" t="s">
        <v>1177</v>
      </c>
      <c r="R42" s="223"/>
      <c r="T42" s="196" t="str">
        <f>'2.2.3. トレイおよびオプション装着検知'!H49</f>
        <v>○</v>
      </c>
    </row>
    <row r="43" spans="3:20" s="188" customFormat="1" x14ac:dyDescent="0.2">
      <c r="C43" s="207" t="s">
        <v>1191</v>
      </c>
      <c r="D43" s="217" t="s">
        <v>35</v>
      </c>
      <c r="E43" s="210" t="s">
        <v>35</v>
      </c>
      <c r="F43" s="210" t="s">
        <v>35</v>
      </c>
      <c r="G43" s="210" t="s">
        <v>35</v>
      </c>
      <c r="H43" s="210" t="s">
        <v>1160</v>
      </c>
      <c r="I43" s="222" t="s">
        <v>35</v>
      </c>
      <c r="J43" s="210" t="s">
        <v>35</v>
      </c>
      <c r="K43" s="210" t="s">
        <v>35</v>
      </c>
      <c r="L43" s="210" t="s">
        <v>35</v>
      </c>
      <c r="M43" s="210" t="s">
        <v>35</v>
      </c>
      <c r="N43" s="210" t="s">
        <v>35</v>
      </c>
      <c r="O43" s="210" t="s">
        <v>1160</v>
      </c>
      <c r="P43" s="222" t="s">
        <v>35</v>
      </c>
      <c r="Q43" s="212" t="s">
        <v>35</v>
      </c>
      <c r="R43" s="216"/>
      <c r="T43" s="196" t="str">
        <f>'2.2.3. トレイおよびオプション装着検知'!H56</f>
        <v>○</v>
      </c>
    </row>
    <row r="44" spans="3:20" s="188" customFormat="1" x14ac:dyDescent="0.2">
      <c r="C44" s="207" t="s">
        <v>1192</v>
      </c>
      <c r="D44" s="217" t="s">
        <v>35</v>
      </c>
      <c r="E44" s="210" t="s">
        <v>35</v>
      </c>
      <c r="F44" s="210" t="s">
        <v>35</v>
      </c>
      <c r="G44" s="210" t="s">
        <v>35</v>
      </c>
      <c r="H44" s="210" t="s">
        <v>1177</v>
      </c>
      <c r="I44" s="222" t="s">
        <v>35</v>
      </c>
      <c r="J44" s="210" t="s">
        <v>35</v>
      </c>
      <c r="K44" s="210" t="s">
        <v>35</v>
      </c>
      <c r="L44" s="210" t="s">
        <v>35</v>
      </c>
      <c r="M44" s="210" t="s">
        <v>35</v>
      </c>
      <c r="N44" s="210" t="s">
        <v>35</v>
      </c>
      <c r="O44" s="210" t="s">
        <v>1177</v>
      </c>
      <c r="P44" s="222" t="s">
        <v>35</v>
      </c>
      <c r="Q44" s="212" t="s">
        <v>35</v>
      </c>
      <c r="R44" s="216"/>
      <c r="T44" s="196" t="str">
        <f>'2.2.3. トレイおよびオプション装着検知'!H56</f>
        <v>○</v>
      </c>
    </row>
    <row r="45" spans="3:20" s="188" customFormat="1" x14ac:dyDescent="0.2">
      <c r="C45" s="207" t="s">
        <v>1193</v>
      </c>
      <c r="D45" s="217" t="s">
        <v>0</v>
      </c>
      <c r="E45" s="210" t="s">
        <v>0</v>
      </c>
      <c r="F45" s="210" t="s">
        <v>0</v>
      </c>
      <c r="G45" s="210" t="s">
        <v>0</v>
      </c>
      <c r="H45" s="210" t="s">
        <v>35</v>
      </c>
      <c r="I45" s="222" t="s">
        <v>0</v>
      </c>
      <c r="J45" s="210" t="s">
        <v>0</v>
      </c>
      <c r="K45" s="210" t="s">
        <v>0</v>
      </c>
      <c r="L45" s="210" t="s">
        <v>0</v>
      </c>
      <c r="M45" s="210" t="s">
        <v>0</v>
      </c>
      <c r="N45" s="210" t="s">
        <v>0</v>
      </c>
      <c r="O45" s="210" t="s">
        <v>1160</v>
      </c>
      <c r="P45" s="222" t="s">
        <v>0</v>
      </c>
      <c r="Q45" s="212" t="s">
        <v>0</v>
      </c>
      <c r="R45" s="216"/>
      <c r="T45" s="196" t="str">
        <f>'2.2.3. トレイおよびオプション装着検知'!H59</f>
        <v>○</v>
      </c>
    </row>
    <row r="46" spans="3:20" s="188" customFormat="1" x14ac:dyDescent="0.2">
      <c r="C46" s="259" t="s">
        <v>1266</v>
      </c>
      <c r="D46" s="217" t="s">
        <v>0</v>
      </c>
      <c r="E46" s="210" t="s">
        <v>0</v>
      </c>
      <c r="F46" s="210" t="s">
        <v>0</v>
      </c>
      <c r="G46" s="210" t="s">
        <v>0</v>
      </c>
      <c r="H46" s="210" t="s">
        <v>35</v>
      </c>
      <c r="I46" s="222" t="s">
        <v>0</v>
      </c>
      <c r="J46" s="210" t="s">
        <v>0</v>
      </c>
      <c r="K46" s="210" t="s">
        <v>0</v>
      </c>
      <c r="L46" s="210" t="s">
        <v>0</v>
      </c>
      <c r="M46" s="210" t="s">
        <v>0</v>
      </c>
      <c r="N46" s="210" t="s">
        <v>0</v>
      </c>
      <c r="O46" s="210" t="s">
        <v>1160</v>
      </c>
      <c r="P46" s="222" t="s">
        <v>0</v>
      </c>
      <c r="Q46" s="212" t="s">
        <v>35</v>
      </c>
      <c r="R46" s="216"/>
      <c r="T46" s="196" t="str">
        <f>'2.2.3. トレイおよびオプション装着検知'!H57</f>
        <v>○</v>
      </c>
    </row>
    <row r="47" spans="3:20" s="188" customFormat="1" x14ac:dyDescent="0.2">
      <c r="C47" s="259" t="s">
        <v>1267</v>
      </c>
      <c r="D47" s="217" t="s">
        <v>0</v>
      </c>
      <c r="E47" s="210" t="s">
        <v>0</v>
      </c>
      <c r="F47" s="210" t="s">
        <v>0</v>
      </c>
      <c r="G47" s="210" t="s">
        <v>0</v>
      </c>
      <c r="H47" s="210" t="s">
        <v>35</v>
      </c>
      <c r="I47" s="222" t="s">
        <v>0</v>
      </c>
      <c r="J47" s="210" t="s">
        <v>0</v>
      </c>
      <c r="K47" s="210" t="s">
        <v>0</v>
      </c>
      <c r="L47" s="210" t="s">
        <v>0</v>
      </c>
      <c r="M47" s="210" t="s">
        <v>0</v>
      </c>
      <c r="N47" s="210" t="s">
        <v>0</v>
      </c>
      <c r="O47" s="210" t="s">
        <v>1160</v>
      </c>
      <c r="P47" s="222" t="s">
        <v>0</v>
      </c>
      <c r="Q47" s="212" t="s">
        <v>35</v>
      </c>
      <c r="R47" s="216" t="s">
        <v>1194</v>
      </c>
      <c r="T47" s="196" t="str">
        <f>'2.2.3. トレイおよびオプション装着検知'!H57</f>
        <v>○</v>
      </c>
    </row>
    <row r="48" spans="3:20" s="188" customFormat="1" x14ac:dyDescent="0.2">
      <c r="C48" s="259" t="s">
        <v>1142</v>
      </c>
      <c r="D48" s="217" t="s">
        <v>0</v>
      </c>
      <c r="E48" s="210" t="s">
        <v>0</v>
      </c>
      <c r="F48" s="210" t="s">
        <v>35</v>
      </c>
      <c r="G48" s="210" t="s">
        <v>0</v>
      </c>
      <c r="H48" s="210" t="s">
        <v>35</v>
      </c>
      <c r="I48" s="222" t="s">
        <v>0</v>
      </c>
      <c r="J48" s="210" t="s">
        <v>0</v>
      </c>
      <c r="K48" s="210" t="s">
        <v>35</v>
      </c>
      <c r="L48" s="210" t="s">
        <v>0</v>
      </c>
      <c r="M48" s="210" t="s">
        <v>1160</v>
      </c>
      <c r="N48" s="210" t="s">
        <v>0</v>
      </c>
      <c r="O48" s="210" t="s">
        <v>1177</v>
      </c>
      <c r="P48" s="222" t="s">
        <v>0</v>
      </c>
      <c r="Q48" s="212" t="s">
        <v>1160</v>
      </c>
      <c r="R48" s="216" t="s">
        <v>1195</v>
      </c>
      <c r="T48" s="196" t="str">
        <f>'2.2.3. トレイおよびオプション装着検知'!H60</f>
        <v>○</v>
      </c>
    </row>
    <row r="49" spans="2:20" s="188" customFormat="1" x14ac:dyDescent="0.2">
      <c r="C49" s="207" t="s">
        <v>1196</v>
      </c>
      <c r="D49" s="217" t="s">
        <v>35</v>
      </c>
      <c r="E49" s="210" t="s">
        <v>35</v>
      </c>
      <c r="F49" s="210" t="s">
        <v>35</v>
      </c>
      <c r="G49" s="210" t="s">
        <v>35</v>
      </c>
      <c r="H49" s="210" t="s">
        <v>35</v>
      </c>
      <c r="I49" s="211" t="s">
        <v>1160</v>
      </c>
      <c r="J49" s="210" t="s">
        <v>35</v>
      </c>
      <c r="K49" s="210" t="s">
        <v>35</v>
      </c>
      <c r="L49" s="210" t="s">
        <v>35</v>
      </c>
      <c r="M49" s="210" t="s">
        <v>35</v>
      </c>
      <c r="N49" s="210" t="s">
        <v>35</v>
      </c>
      <c r="O49" s="210" t="s">
        <v>35</v>
      </c>
      <c r="P49" s="211" t="s">
        <v>1160</v>
      </c>
      <c r="Q49" s="212" t="s">
        <v>35</v>
      </c>
      <c r="R49" s="216"/>
      <c r="T49" s="196" t="str">
        <f>'2.2.3. トレイおよびオプション装着検知'!H58</f>
        <v>○</v>
      </c>
    </row>
    <row r="50" spans="2:20" s="188" customFormat="1" x14ac:dyDescent="0.2">
      <c r="C50" s="207" t="s">
        <v>1197</v>
      </c>
      <c r="D50" s="217" t="s">
        <v>35</v>
      </c>
      <c r="E50" s="210" t="s">
        <v>35</v>
      </c>
      <c r="F50" s="210" t="s">
        <v>1177</v>
      </c>
      <c r="G50" s="210" t="s">
        <v>1177</v>
      </c>
      <c r="H50" s="210" t="s">
        <v>35</v>
      </c>
      <c r="I50" s="222" t="s">
        <v>35</v>
      </c>
      <c r="J50" s="210" t="s">
        <v>0</v>
      </c>
      <c r="K50" s="210" t="s">
        <v>35</v>
      </c>
      <c r="L50" s="210" t="s">
        <v>35</v>
      </c>
      <c r="M50" s="210" t="s">
        <v>1177</v>
      </c>
      <c r="N50" s="210" t="s">
        <v>1177</v>
      </c>
      <c r="O50" s="210" t="s">
        <v>35</v>
      </c>
      <c r="P50" s="222" t="s">
        <v>35</v>
      </c>
      <c r="Q50" s="212" t="s">
        <v>35</v>
      </c>
      <c r="R50" s="216"/>
      <c r="T50" s="196" t="str">
        <f>'2.2.3. トレイおよびオプション装着検知'!H58</f>
        <v>○</v>
      </c>
    </row>
    <row r="51" spans="2:20" s="188" customFormat="1" x14ac:dyDescent="0.2">
      <c r="C51" s="224" t="s">
        <v>1198</v>
      </c>
      <c r="D51" s="217" t="s">
        <v>35</v>
      </c>
      <c r="E51" s="210" t="s">
        <v>35</v>
      </c>
      <c r="F51" s="210" t="s">
        <v>35</v>
      </c>
      <c r="G51" s="210" t="s">
        <v>35</v>
      </c>
      <c r="H51" s="210" t="s">
        <v>35</v>
      </c>
      <c r="I51" s="222" t="s">
        <v>35</v>
      </c>
      <c r="J51" s="210" t="s">
        <v>35</v>
      </c>
      <c r="K51" s="210" t="s">
        <v>35</v>
      </c>
      <c r="L51" s="210" t="s">
        <v>35</v>
      </c>
      <c r="M51" s="210" t="s">
        <v>1177</v>
      </c>
      <c r="N51" s="210" t="s">
        <v>35</v>
      </c>
      <c r="O51" s="210" t="s">
        <v>35</v>
      </c>
      <c r="P51" s="222" t="s">
        <v>35</v>
      </c>
      <c r="Q51" s="212" t="s">
        <v>1160</v>
      </c>
      <c r="R51" s="216"/>
      <c r="T51" s="196" t="str">
        <f>'2.2.3. トレイおよびオプション装着検知'!H59</f>
        <v>○</v>
      </c>
    </row>
    <row r="52" spans="2:20" s="188" customFormat="1" ht="12.75" thickBot="1" x14ac:dyDescent="0.25">
      <c r="C52" s="225" t="s">
        <v>1199</v>
      </c>
      <c r="D52" s="226" t="s">
        <v>35</v>
      </c>
      <c r="E52" s="227" t="s">
        <v>35</v>
      </c>
      <c r="F52" s="226" t="s">
        <v>35</v>
      </c>
      <c r="G52" s="227" t="s">
        <v>35</v>
      </c>
      <c r="H52" s="227" t="s">
        <v>35</v>
      </c>
      <c r="I52" s="228" t="s">
        <v>35</v>
      </c>
      <c r="J52" s="227" t="s">
        <v>35</v>
      </c>
      <c r="K52" s="226" t="s">
        <v>35</v>
      </c>
      <c r="L52" s="227" t="s">
        <v>35</v>
      </c>
      <c r="M52" s="226" t="s">
        <v>35</v>
      </c>
      <c r="N52" s="227" t="s">
        <v>35</v>
      </c>
      <c r="O52" s="227" t="s">
        <v>35</v>
      </c>
      <c r="P52" s="228" t="s">
        <v>35</v>
      </c>
      <c r="Q52" s="229" t="s">
        <v>35</v>
      </c>
      <c r="R52" s="230"/>
      <c r="T52" s="214" t="s">
        <v>985</v>
      </c>
    </row>
    <row r="53" spans="2:20" s="188" customFormat="1" ht="69.75" thickTop="1" thickBot="1" x14ac:dyDescent="0.25">
      <c r="C53" s="231" t="s">
        <v>1166</v>
      </c>
      <c r="D53" s="232"/>
      <c r="E53" s="233"/>
      <c r="F53" s="233"/>
      <c r="G53" s="233"/>
      <c r="H53" s="234" t="s">
        <v>1200</v>
      </c>
      <c r="I53" s="234" t="s">
        <v>1201</v>
      </c>
      <c r="J53" s="234"/>
      <c r="K53" s="233"/>
      <c r="L53" s="233"/>
      <c r="M53" s="233"/>
      <c r="N53" s="233"/>
      <c r="O53" s="234" t="s">
        <v>1200</v>
      </c>
      <c r="P53" s="234" t="s">
        <v>1201</v>
      </c>
      <c r="Q53" s="235" t="s">
        <v>1277</v>
      </c>
      <c r="R53" s="236" t="s">
        <v>1297</v>
      </c>
      <c r="T53" s="196"/>
    </row>
    <row r="56" spans="2:20" x14ac:dyDescent="0.2">
      <c r="B56" s="174" t="s">
        <v>1243</v>
      </c>
      <c r="C56" s="177"/>
      <c r="D56" s="241"/>
    </row>
    <row r="57" spans="2:20" ht="12.75" thickBot="1" x14ac:dyDescent="0.25">
      <c r="C57" s="174"/>
      <c r="D57" s="241"/>
    </row>
    <row r="58" spans="2:20" ht="13.5" thickBot="1" x14ac:dyDescent="0.25">
      <c r="C58" s="242" t="s">
        <v>1220</v>
      </c>
      <c r="D58" s="291" t="s">
        <v>1221</v>
      </c>
      <c r="E58" s="281"/>
      <c r="F58" s="282"/>
    </row>
    <row r="59" spans="2:20" ht="12.75" thickBot="1" x14ac:dyDescent="0.25">
      <c r="C59" s="243" t="s">
        <v>1222</v>
      </c>
      <c r="D59" s="292" t="s">
        <v>664</v>
      </c>
      <c r="E59" s="265"/>
      <c r="F59" s="266"/>
    </row>
    <row r="60" spans="2:20" ht="12.75" thickBot="1" x14ac:dyDescent="0.25">
      <c r="C60" s="243" t="s">
        <v>1223</v>
      </c>
      <c r="D60" s="292" t="s">
        <v>665</v>
      </c>
      <c r="E60" s="265"/>
      <c r="F60" s="266"/>
    </row>
    <row r="61" spans="2:20" ht="12.75" thickBot="1" x14ac:dyDescent="0.25">
      <c r="C61" s="243" t="s">
        <v>1224</v>
      </c>
      <c r="D61" s="292" t="s">
        <v>1225</v>
      </c>
      <c r="E61" s="265"/>
      <c r="F61" s="266"/>
    </row>
    <row r="62" spans="2:20" ht="12.75" thickBot="1" x14ac:dyDescent="0.25">
      <c r="C62" s="243" t="s">
        <v>1226</v>
      </c>
      <c r="D62" s="292" t="s">
        <v>1227</v>
      </c>
      <c r="E62" s="265"/>
      <c r="F62" s="266"/>
    </row>
    <row r="63" spans="2:20" x14ac:dyDescent="0.2">
      <c r="C63" s="244" t="s">
        <v>1228</v>
      </c>
      <c r="D63" s="177"/>
    </row>
    <row r="64" spans="2:20" x14ac:dyDescent="0.2">
      <c r="C64" s="174"/>
      <c r="D64" s="241"/>
    </row>
    <row r="65" spans="3:6" x14ac:dyDescent="0.2">
      <c r="C65" s="174" t="s">
        <v>1244</v>
      </c>
      <c r="D65" s="241"/>
    </row>
    <row r="66" spans="3:6" x14ac:dyDescent="0.2">
      <c r="C66" s="246" t="s">
        <v>1245</v>
      </c>
      <c r="D66" s="241"/>
    </row>
    <row r="67" spans="3:6" ht="12.75" thickBot="1" x14ac:dyDescent="0.25">
      <c r="C67" s="174"/>
      <c r="D67" s="241"/>
    </row>
    <row r="68" spans="3:6" ht="13.5" thickBot="1" x14ac:dyDescent="0.25">
      <c r="C68" s="242" t="s">
        <v>1220</v>
      </c>
      <c r="D68" s="291" t="s">
        <v>1221</v>
      </c>
      <c r="E68" s="281"/>
      <c r="F68" s="282"/>
    </row>
    <row r="69" spans="3:6" ht="13.5" customHeight="1" thickBot="1" x14ac:dyDescent="0.25">
      <c r="C69" s="243" t="s">
        <v>1229</v>
      </c>
      <c r="D69" s="292" t="s">
        <v>679</v>
      </c>
      <c r="E69" s="265"/>
      <c r="F69" s="266"/>
    </row>
    <row r="70" spans="3:6" ht="13.5" customHeight="1" thickBot="1" x14ac:dyDescent="0.25">
      <c r="C70" s="243" t="s">
        <v>1226</v>
      </c>
      <c r="D70" s="292" t="s">
        <v>1230</v>
      </c>
      <c r="E70" s="265"/>
      <c r="F70" s="266"/>
    </row>
    <row r="71" spans="3:6" x14ac:dyDescent="0.2">
      <c r="C71" s="174"/>
      <c r="D71" s="241"/>
    </row>
    <row r="72" spans="3:6" x14ac:dyDescent="0.2">
      <c r="C72" s="174" t="s">
        <v>1231</v>
      </c>
      <c r="D72" s="241"/>
    </row>
    <row r="73" spans="3:6" ht="12.75" thickBot="1" x14ac:dyDescent="0.25">
      <c r="C73" s="174"/>
      <c r="D73" s="241"/>
    </row>
    <row r="74" spans="3:6" ht="12.75" thickBot="1" x14ac:dyDescent="0.25">
      <c r="C74" s="242" t="s">
        <v>1232</v>
      </c>
      <c r="D74" s="294" t="s">
        <v>1233</v>
      </c>
      <c r="E74" s="265"/>
      <c r="F74" s="266"/>
    </row>
    <row r="75" spans="3:6" ht="12.75" thickBot="1" x14ac:dyDescent="0.25">
      <c r="C75" s="243" t="s">
        <v>1230</v>
      </c>
      <c r="D75" s="292" t="s">
        <v>1227</v>
      </c>
      <c r="E75" s="265"/>
      <c r="F75" s="266"/>
    </row>
    <row r="76" spans="3:6" ht="12.75" thickBot="1" x14ac:dyDescent="0.25">
      <c r="C76" s="245" t="s">
        <v>728</v>
      </c>
      <c r="D76" s="293" t="s">
        <v>1234</v>
      </c>
      <c r="E76" s="265"/>
      <c r="F76" s="266"/>
    </row>
    <row r="77" spans="3:6" x14ac:dyDescent="0.2">
      <c r="C77" s="174"/>
      <c r="D77" s="241"/>
    </row>
    <row r="78" spans="3:6" x14ac:dyDescent="0.2">
      <c r="C78" s="244" t="s">
        <v>1235</v>
      </c>
      <c r="D78" s="241"/>
    </row>
    <row r="79" spans="3:6" ht="12.75" thickBot="1" x14ac:dyDescent="0.25">
      <c r="C79" s="174"/>
      <c r="D79" s="241"/>
    </row>
    <row r="80" spans="3:6" ht="12.75" thickBot="1" x14ac:dyDescent="0.25">
      <c r="C80" s="242" t="s">
        <v>1232</v>
      </c>
      <c r="D80" s="294" t="s">
        <v>1233</v>
      </c>
      <c r="E80" s="265"/>
      <c r="F80" s="266"/>
    </row>
    <row r="81" spans="3:6" ht="12.75" thickBot="1" x14ac:dyDescent="0.25">
      <c r="C81" s="243" t="s">
        <v>1230</v>
      </c>
      <c r="D81" s="292" t="s">
        <v>1227</v>
      </c>
      <c r="E81" s="265"/>
      <c r="F81" s="266"/>
    </row>
    <row r="82" spans="3:6" ht="12.75" thickBot="1" x14ac:dyDescent="0.25">
      <c r="C82" s="245" t="s">
        <v>728</v>
      </c>
      <c r="D82" s="293" t="s">
        <v>1236</v>
      </c>
      <c r="E82" s="265"/>
      <c r="F82" s="266"/>
    </row>
    <row r="83" spans="3:6" x14ac:dyDescent="0.2">
      <c r="C83" s="174"/>
      <c r="D83" s="241"/>
    </row>
    <row r="84" spans="3:6" x14ac:dyDescent="0.2">
      <c r="C84" s="174" t="s">
        <v>1237</v>
      </c>
      <c r="D84" s="241"/>
    </row>
    <row r="85" spans="3:6" ht="12.75" thickBot="1" x14ac:dyDescent="0.25">
      <c r="C85" s="174"/>
      <c r="D85" s="241"/>
    </row>
    <row r="86" spans="3:6" ht="12.75" thickBot="1" x14ac:dyDescent="0.25">
      <c r="C86" s="242" t="s">
        <v>1238</v>
      </c>
      <c r="D86" s="295" t="s">
        <v>1239</v>
      </c>
      <c r="E86" s="265"/>
      <c r="F86" s="266"/>
    </row>
    <row r="87" spans="3:6" ht="12.75" thickBot="1" x14ac:dyDescent="0.25">
      <c r="C87" s="243" t="s">
        <v>679</v>
      </c>
      <c r="D87" s="292" t="s">
        <v>1225</v>
      </c>
      <c r="E87" s="265"/>
      <c r="F87" s="266"/>
    </row>
    <row r="88" spans="3:6" ht="12.75" thickBot="1" x14ac:dyDescent="0.25">
      <c r="C88" s="243" t="s">
        <v>1230</v>
      </c>
      <c r="D88" s="292" t="s">
        <v>1227</v>
      </c>
      <c r="E88" s="265"/>
      <c r="F88" s="266"/>
    </row>
    <row r="89" spans="3:6" ht="12.75" thickBot="1" x14ac:dyDescent="0.25">
      <c r="C89" s="245" t="s">
        <v>728</v>
      </c>
      <c r="D89" s="293" t="s">
        <v>1234</v>
      </c>
      <c r="E89" s="265"/>
      <c r="F89" s="266"/>
    </row>
    <row r="90" spans="3:6" x14ac:dyDescent="0.2">
      <c r="C90" s="174"/>
      <c r="D90" s="241"/>
    </row>
    <row r="91" spans="3:6" x14ac:dyDescent="0.2">
      <c r="C91" s="244" t="s">
        <v>1246</v>
      </c>
      <c r="D91" s="241"/>
    </row>
    <row r="92" spans="3:6" x14ac:dyDescent="0.2">
      <c r="C92" s="244" t="s">
        <v>1295</v>
      </c>
      <c r="D92" s="241"/>
    </row>
    <row r="93" spans="3:6" ht="12.75" thickBot="1" x14ac:dyDescent="0.25">
      <c r="C93" s="174"/>
      <c r="D93" s="241"/>
    </row>
    <row r="94" spans="3:6" ht="12.75" thickBot="1" x14ac:dyDescent="0.25">
      <c r="C94" s="242" t="s">
        <v>1232</v>
      </c>
      <c r="D94" s="294" t="s">
        <v>1233</v>
      </c>
      <c r="E94" s="265"/>
      <c r="F94" s="266"/>
    </row>
    <row r="95" spans="3:6" ht="12.75" thickBot="1" x14ac:dyDescent="0.25">
      <c r="C95" s="243" t="s">
        <v>679</v>
      </c>
      <c r="D95" s="292" t="s">
        <v>1225</v>
      </c>
      <c r="E95" s="265"/>
      <c r="F95" s="266"/>
    </row>
    <row r="96" spans="3:6" ht="12.75" thickBot="1" x14ac:dyDescent="0.25">
      <c r="C96" s="243" t="s">
        <v>762</v>
      </c>
      <c r="D96" s="292" t="s">
        <v>1225</v>
      </c>
      <c r="E96" s="265"/>
      <c r="F96" s="266"/>
    </row>
    <row r="97" spans="3:6" ht="12.75" thickBot="1" x14ac:dyDescent="0.25">
      <c r="C97" s="243" t="s">
        <v>763</v>
      </c>
      <c r="D97" s="292" t="s">
        <v>1225</v>
      </c>
      <c r="E97" s="265"/>
      <c r="F97" s="266"/>
    </row>
    <row r="98" spans="3:6" ht="12.75" thickBot="1" x14ac:dyDescent="0.25">
      <c r="C98" s="243" t="s">
        <v>1230</v>
      </c>
      <c r="D98" s="292" t="s">
        <v>1227</v>
      </c>
      <c r="E98" s="265"/>
      <c r="F98" s="266"/>
    </row>
    <row r="99" spans="3:6" x14ac:dyDescent="0.2">
      <c r="C99" s="174"/>
      <c r="D99" s="241"/>
    </row>
    <row r="100" spans="3:6" x14ac:dyDescent="0.2">
      <c r="C100" s="244" t="s">
        <v>1240</v>
      </c>
      <c r="D100" s="241"/>
    </row>
    <row r="101" spans="3:6" x14ac:dyDescent="0.2">
      <c r="C101" s="174" t="s">
        <v>1241</v>
      </c>
      <c r="D101" s="241"/>
    </row>
  </sheetData>
  <mergeCells count="33">
    <mergeCell ref="D80:F80"/>
    <mergeCell ref="D74:F74"/>
    <mergeCell ref="D95:F95"/>
    <mergeCell ref="D96:F96"/>
    <mergeCell ref="D97:F97"/>
    <mergeCell ref="D98:F98"/>
    <mergeCell ref="D94:F94"/>
    <mergeCell ref="D81:F81"/>
    <mergeCell ref="D82:F82"/>
    <mergeCell ref="D87:F87"/>
    <mergeCell ref="D88:F88"/>
    <mergeCell ref="D89:F89"/>
    <mergeCell ref="D86:F86"/>
    <mergeCell ref="D68:F68"/>
    <mergeCell ref="D69:F69"/>
    <mergeCell ref="D70:F70"/>
    <mergeCell ref="D75:F75"/>
    <mergeCell ref="D76:F76"/>
    <mergeCell ref="D58:F58"/>
    <mergeCell ref="D59:F59"/>
    <mergeCell ref="D60:F60"/>
    <mergeCell ref="D61:F61"/>
    <mergeCell ref="D62:F62"/>
    <mergeCell ref="M31:P31"/>
    <mergeCell ref="F31:I31"/>
    <mergeCell ref="C4:C5"/>
    <mergeCell ref="E4:E5"/>
    <mergeCell ref="H4:H5"/>
    <mergeCell ref="G4:G5"/>
    <mergeCell ref="I4:I5"/>
    <mergeCell ref="F4:F5"/>
    <mergeCell ref="D4:D5"/>
    <mergeCell ref="J4:J5"/>
  </mergeCells>
  <phoneticPr fontId="8"/>
  <conditionalFormatting sqref="C33:R52">
    <cfRule type="expression" dxfId="1" priority="1">
      <formula>$T33="×"</formula>
    </cfRule>
  </conditionalFormatting>
  <conditionalFormatting sqref="D32:Q53">
    <cfRule type="expression" dxfId="0" priority="8">
      <formula>#REF!="×"</formula>
    </cfRule>
  </conditionalFormatting>
  <pageMargins left="0.39370078740157477" right="0.39370078740157477" top="0.39370078740157477" bottom="0.39370078740157477" header="0.11811023622047243" footer="0.11811023622047243"/>
  <pageSetup paperSize="9" scale="60" orientation="portrait" horizontalDpi="300" verticalDpi="300" r:id="rId1"/>
  <headerFooter alignWithMargins="0">
    <oddHeader>&amp;C&amp;9表A-5 排出先機能</oddHeader>
    <oddFooter>&amp;C&amp;9&amp;P/&amp;N-1&amp;L&amp;9I.I IOT Device Functions&amp;R&amp;9DDF-IOT-Sepang-APX-K1.11.3.xls</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B2:H119"/>
  <sheetViews>
    <sheetView topLeftCell="A73" workbookViewId="0">
      <selection activeCell="L94" sqref="L94"/>
    </sheetView>
  </sheetViews>
  <sheetFormatPr defaultRowHeight="12" x14ac:dyDescent="0.15"/>
  <cols>
    <col min="1" max="1" width="6" customWidth="1"/>
    <col min="2" max="2" width="8.42578125" customWidth="1"/>
    <col min="3" max="3" width="46.7109375" customWidth="1"/>
    <col min="8" max="8" width="19.85546875" customWidth="1"/>
  </cols>
  <sheetData>
    <row r="2" spans="3:8" ht="12.75" thickBot="1" x14ac:dyDescent="0.2">
      <c r="C2" s="86"/>
    </row>
    <row r="3" spans="3:8" ht="12.75" thickBot="1" x14ac:dyDescent="0.2">
      <c r="C3" s="296" t="s">
        <v>774</v>
      </c>
      <c r="D3" s="298" t="s">
        <v>775</v>
      </c>
      <c r="E3" s="300" t="s">
        <v>776</v>
      </c>
      <c r="F3" s="301"/>
      <c r="G3" s="130" t="s">
        <v>165</v>
      </c>
      <c r="H3" s="296" t="s">
        <v>777</v>
      </c>
    </row>
    <row r="4" spans="3:8" ht="12.75" thickBot="1" x14ac:dyDescent="0.2">
      <c r="C4" s="297"/>
      <c r="D4" s="299"/>
      <c r="E4" s="131" t="s">
        <v>784</v>
      </c>
      <c r="F4" s="131" t="s">
        <v>784</v>
      </c>
      <c r="G4" s="132" t="s">
        <v>165</v>
      </c>
      <c r="H4" s="297"/>
    </row>
    <row r="5" spans="3:8" ht="12.75" thickBot="1" x14ac:dyDescent="0.2">
      <c r="C5" s="85" t="s">
        <v>785</v>
      </c>
      <c r="D5" s="62" t="s">
        <v>786</v>
      </c>
      <c r="E5" s="133" t="s">
        <v>165</v>
      </c>
      <c r="F5" s="133" t="s">
        <v>165</v>
      </c>
      <c r="G5" s="133" t="s">
        <v>165</v>
      </c>
      <c r="H5" s="84" t="s">
        <v>787</v>
      </c>
    </row>
    <row r="6" spans="3:8" ht="12.75" thickBot="1" x14ac:dyDescent="0.2">
      <c r="C6" s="85" t="s">
        <v>788</v>
      </c>
      <c r="D6" s="62" t="s">
        <v>786</v>
      </c>
      <c r="E6" s="134" t="s">
        <v>789</v>
      </c>
      <c r="F6" s="133" t="s">
        <v>165</v>
      </c>
      <c r="G6" s="133" t="s">
        <v>165</v>
      </c>
      <c r="H6" s="84" t="s">
        <v>787</v>
      </c>
    </row>
    <row r="7" spans="3:8" ht="12.75" thickBot="1" x14ac:dyDescent="0.2">
      <c r="C7" s="85" t="s">
        <v>790</v>
      </c>
      <c r="D7" s="62" t="s">
        <v>786</v>
      </c>
      <c r="E7" s="133" t="s">
        <v>165</v>
      </c>
      <c r="F7" s="134" t="s">
        <v>791</v>
      </c>
      <c r="G7" s="133" t="s">
        <v>165</v>
      </c>
      <c r="H7" s="84" t="s">
        <v>787</v>
      </c>
    </row>
    <row r="8" spans="3:8" ht="12.75" thickBot="1" x14ac:dyDescent="0.2">
      <c r="C8" s="85" t="s">
        <v>792</v>
      </c>
      <c r="D8" s="62" t="s">
        <v>786</v>
      </c>
      <c r="E8" s="133" t="s">
        <v>165</v>
      </c>
      <c r="F8" s="133" t="s">
        <v>165</v>
      </c>
      <c r="G8" s="133" t="s">
        <v>165</v>
      </c>
      <c r="H8" s="84" t="s">
        <v>787</v>
      </c>
    </row>
    <row r="9" spans="3:8" ht="12.75" thickBot="1" x14ac:dyDescent="0.2">
      <c r="C9" s="85" t="s">
        <v>793</v>
      </c>
      <c r="D9" s="62" t="s">
        <v>786</v>
      </c>
      <c r="E9" s="133" t="s">
        <v>165</v>
      </c>
      <c r="F9" s="133" t="s">
        <v>165</v>
      </c>
      <c r="G9" s="133" t="s">
        <v>165</v>
      </c>
      <c r="H9" s="84" t="s">
        <v>787</v>
      </c>
    </row>
    <row r="10" spans="3:8" ht="12.75" thickBot="1" x14ac:dyDescent="0.2">
      <c r="C10" s="85" t="s">
        <v>794</v>
      </c>
      <c r="D10" s="62" t="s">
        <v>786</v>
      </c>
      <c r="E10" s="133" t="s">
        <v>165</v>
      </c>
      <c r="F10" s="133" t="s">
        <v>165</v>
      </c>
      <c r="G10" s="133" t="s">
        <v>165</v>
      </c>
      <c r="H10" s="84" t="s">
        <v>787</v>
      </c>
    </row>
    <row r="11" spans="3:8" ht="12.75" thickBot="1" x14ac:dyDescent="0.2">
      <c r="C11" s="85" t="s">
        <v>795</v>
      </c>
      <c r="D11" s="62" t="s">
        <v>786</v>
      </c>
      <c r="E11" s="134" t="s">
        <v>796</v>
      </c>
      <c r="F11" s="134" t="s">
        <v>796</v>
      </c>
      <c r="G11" s="133" t="s">
        <v>165</v>
      </c>
      <c r="H11" s="84" t="s">
        <v>787</v>
      </c>
    </row>
    <row r="12" spans="3:8" ht="12.75" thickBot="1" x14ac:dyDescent="0.2">
      <c r="C12" s="85" t="s">
        <v>797</v>
      </c>
      <c r="D12" s="62" t="s">
        <v>786</v>
      </c>
      <c r="E12" s="134" t="s">
        <v>798</v>
      </c>
      <c r="F12" s="134" t="s">
        <v>798</v>
      </c>
      <c r="G12" s="133" t="s">
        <v>165</v>
      </c>
      <c r="H12" s="84" t="s">
        <v>787</v>
      </c>
    </row>
    <row r="13" spans="3:8" ht="12.75" thickBot="1" x14ac:dyDescent="0.2">
      <c r="C13" s="88" t="s">
        <v>799</v>
      </c>
      <c r="D13" s="62" t="s">
        <v>786</v>
      </c>
      <c r="E13" s="134" t="s">
        <v>789</v>
      </c>
      <c r="F13" s="134" t="s">
        <v>789</v>
      </c>
      <c r="G13" s="133" t="s">
        <v>165</v>
      </c>
      <c r="H13" s="84" t="s">
        <v>787</v>
      </c>
    </row>
    <row r="14" spans="3:8" ht="12.75" thickBot="1" x14ac:dyDescent="0.2">
      <c r="C14" s="88" t="s">
        <v>800</v>
      </c>
      <c r="D14" s="62" t="s">
        <v>786</v>
      </c>
      <c r="E14" s="134" t="s">
        <v>789</v>
      </c>
      <c r="F14" s="134" t="s">
        <v>789</v>
      </c>
      <c r="G14" s="133" t="s">
        <v>165</v>
      </c>
      <c r="H14" s="84" t="s">
        <v>787</v>
      </c>
    </row>
    <row r="15" spans="3:8" ht="12.75" thickBot="1" x14ac:dyDescent="0.2">
      <c r="C15" s="88" t="s">
        <v>801</v>
      </c>
      <c r="D15" s="62" t="s">
        <v>786</v>
      </c>
      <c r="E15" s="134" t="s">
        <v>802</v>
      </c>
      <c r="F15" s="134" t="s">
        <v>802</v>
      </c>
      <c r="G15" s="133" t="s">
        <v>165</v>
      </c>
      <c r="H15" s="84" t="s">
        <v>787</v>
      </c>
    </row>
    <row r="16" spans="3:8" ht="12.75" thickBot="1" x14ac:dyDescent="0.2">
      <c r="C16" s="88" t="s">
        <v>803</v>
      </c>
      <c r="D16" s="62" t="s">
        <v>786</v>
      </c>
      <c r="E16" s="134" t="s">
        <v>804</v>
      </c>
      <c r="F16" s="134" t="s">
        <v>804</v>
      </c>
      <c r="G16" s="133" t="s">
        <v>165</v>
      </c>
      <c r="H16" s="84" t="s">
        <v>787</v>
      </c>
    </row>
    <row r="17" spans="3:8" ht="12.75" thickBot="1" x14ac:dyDescent="0.2">
      <c r="C17" s="88" t="s">
        <v>805</v>
      </c>
      <c r="D17" s="62" t="s">
        <v>786</v>
      </c>
      <c r="E17" s="134" t="s">
        <v>798</v>
      </c>
      <c r="F17" s="134" t="s">
        <v>798</v>
      </c>
      <c r="G17" s="133" t="s">
        <v>165</v>
      </c>
      <c r="H17" s="84" t="s">
        <v>787</v>
      </c>
    </row>
    <row r="18" spans="3:8" ht="12.75" thickBot="1" x14ac:dyDescent="0.2">
      <c r="C18" s="88" t="s">
        <v>806</v>
      </c>
      <c r="D18" s="62" t="s">
        <v>786</v>
      </c>
      <c r="E18" s="134" t="s">
        <v>807</v>
      </c>
      <c r="F18" s="134" t="s">
        <v>807</v>
      </c>
      <c r="G18" s="133" t="s">
        <v>165</v>
      </c>
      <c r="H18" s="84" t="s">
        <v>787</v>
      </c>
    </row>
    <row r="19" spans="3:8" ht="12.75" thickBot="1" x14ac:dyDescent="0.2">
      <c r="C19" s="88" t="s">
        <v>808</v>
      </c>
      <c r="D19" s="62" t="s">
        <v>786</v>
      </c>
      <c r="E19" s="134" t="s">
        <v>796</v>
      </c>
      <c r="F19" s="134" t="s">
        <v>796</v>
      </c>
      <c r="G19" s="133" t="s">
        <v>165</v>
      </c>
      <c r="H19" s="84" t="s">
        <v>787</v>
      </c>
    </row>
    <row r="20" spans="3:8" ht="12.75" thickBot="1" x14ac:dyDescent="0.2">
      <c r="C20" s="88" t="s">
        <v>809</v>
      </c>
      <c r="D20" s="62" t="s">
        <v>786</v>
      </c>
      <c r="E20" s="134" t="s">
        <v>810</v>
      </c>
      <c r="F20" s="134" t="s">
        <v>810</v>
      </c>
      <c r="G20" s="133" t="s">
        <v>165</v>
      </c>
      <c r="H20" s="84" t="s">
        <v>787</v>
      </c>
    </row>
    <row r="21" spans="3:8" ht="12.75" thickBot="1" x14ac:dyDescent="0.2">
      <c r="C21" s="88" t="s">
        <v>811</v>
      </c>
      <c r="D21" s="62" t="s">
        <v>786</v>
      </c>
      <c r="E21" s="134" t="s">
        <v>810</v>
      </c>
      <c r="F21" s="134" t="s">
        <v>810</v>
      </c>
      <c r="G21" s="133" t="s">
        <v>165</v>
      </c>
      <c r="H21" s="84" t="s">
        <v>787</v>
      </c>
    </row>
    <row r="22" spans="3:8" ht="12.75" thickBot="1" x14ac:dyDescent="0.2">
      <c r="C22" s="88" t="s">
        <v>812</v>
      </c>
      <c r="D22" s="62" t="s">
        <v>786</v>
      </c>
      <c r="E22" s="134" t="s">
        <v>807</v>
      </c>
      <c r="F22" s="134" t="s">
        <v>807</v>
      </c>
      <c r="G22" s="133" t="s">
        <v>165</v>
      </c>
      <c r="H22" s="84" t="s">
        <v>787</v>
      </c>
    </row>
    <row r="23" spans="3:8" ht="12.75" thickBot="1" x14ac:dyDescent="0.2">
      <c r="C23" s="88" t="s">
        <v>813</v>
      </c>
      <c r="D23" s="62" t="s">
        <v>786</v>
      </c>
      <c r="E23" s="134" t="s">
        <v>796</v>
      </c>
      <c r="F23" s="134" t="s">
        <v>796</v>
      </c>
      <c r="G23" s="133" t="s">
        <v>165</v>
      </c>
      <c r="H23" s="84" t="s">
        <v>787</v>
      </c>
    </row>
    <row r="24" spans="3:8" ht="12.75" thickBot="1" x14ac:dyDescent="0.2">
      <c r="C24" s="88" t="s">
        <v>814</v>
      </c>
      <c r="D24" s="62" t="s">
        <v>786</v>
      </c>
      <c r="E24" s="134" t="s">
        <v>815</v>
      </c>
      <c r="F24" s="134" t="s">
        <v>815</v>
      </c>
      <c r="G24" s="133" t="s">
        <v>165</v>
      </c>
      <c r="H24" s="84" t="s">
        <v>787</v>
      </c>
    </row>
    <row r="25" spans="3:8" ht="12.75" thickBot="1" x14ac:dyDescent="0.2">
      <c r="C25" s="88" t="s">
        <v>816</v>
      </c>
      <c r="D25" s="62" t="s">
        <v>786</v>
      </c>
      <c r="E25" s="134" t="s">
        <v>817</v>
      </c>
      <c r="F25" s="134" t="s">
        <v>817</v>
      </c>
      <c r="G25" s="133" t="s">
        <v>165</v>
      </c>
      <c r="H25" s="84" t="s">
        <v>787</v>
      </c>
    </row>
    <row r="26" spans="3:8" ht="12.75" thickBot="1" x14ac:dyDescent="0.2">
      <c r="C26" s="88" t="s">
        <v>818</v>
      </c>
      <c r="D26" s="62" t="s">
        <v>786</v>
      </c>
      <c r="E26" s="134" t="s">
        <v>810</v>
      </c>
      <c r="F26" s="134" t="s">
        <v>810</v>
      </c>
      <c r="G26" s="133" t="s">
        <v>165</v>
      </c>
      <c r="H26" s="84" t="s">
        <v>787</v>
      </c>
    </row>
    <row r="27" spans="3:8" ht="12.75" thickBot="1" x14ac:dyDescent="0.2">
      <c r="C27" s="88" t="s">
        <v>819</v>
      </c>
      <c r="D27" s="62" t="s">
        <v>786</v>
      </c>
      <c r="E27" s="134" t="s">
        <v>810</v>
      </c>
      <c r="F27" s="134" t="s">
        <v>810</v>
      </c>
      <c r="G27" s="133" t="s">
        <v>165</v>
      </c>
      <c r="H27" s="84" t="s">
        <v>787</v>
      </c>
    </row>
    <row r="28" spans="3:8" ht="12.75" thickBot="1" x14ac:dyDescent="0.2">
      <c r="C28" s="85" t="s">
        <v>820</v>
      </c>
      <c r="D28" s="62" t="s">
        <v>786</v>
      </c>
      <c r="E28" s="134" t="s">
        <v>821</v>
      </c>
      <c r="F28" s="134" t="s">
        <v>822</v>
      </c>
      <c r="G28" s="134"/>
      <c r="H28" s="84" t="s">
        <v>823</v>
      </c>
    </row>
    <row r="29" spans="3:8" ht="12.75" thickBot="1" x14ac:dyDescent="0.2">
      <c r="C29" s="86"/>
    </row>
    <row r="30" spans="3:8" ht="12.75" thickBot="1" x14ac:dyDescent="0.2">
      <c r="C30" s="296" t="s">
        <v>774</v>
      </c>
      <c r="D30" s="298" t="s">
        <v>775</v>
      </c>
      <c r="E30" s="300" t="s">
        <v>776</v>
      </c>
      <c r="F30" s="304"/>
      <c r="G30" s="301"/>
      <c r="H30" s="296" t="s">
        <v>777</v>
      </c>
    </row>
    <row r="31" spans="3:8" ht="12.75" thickBot="1" x14ac:dyDescent="0.2">
      <c r="C31" s="302"/>
      <c r="D31" s="303"/>
      <c r="E31" s="305" t="s">
        <v>824</v>
      </c>
      <c r="F31" s="306"/>
      <c r="G31" s="307"/>
      <c r="H31" s="302"/>
    </row>
    <row r="32" spans="3:8" ht="12.75" thickBot="1" x14ac:dyDescent="0.2">
      <c r="C32" s="297"/>
      <c r="D32" s="299"/>
      <c r="E32" s="132" t="s">
        <v>825</v>
      </c>
      <c r="F32" s="132" t="s">
        <v>826</v>
      </c>
      <c r="G32" s="132" t="s">
        <v>827</v>
      </c>
      <c r="H32" s="297"/>
    </row>
    <row r="33" spans="3:8" ht="12.75" thickBot="1" x14ac:dyDescent="0.2">
      <c r="C33" s="85" t="s">
        <v>785</v>
      </c>
      <c r="D33" s="62" t="s">
        <v>786</v>
      </c>
      <c r="E33" s="134" t="s">
        <v>828</v>
      </c>
      <c r="F33" s="133" t="s">
        <v>165</v>
      </c>
      <c r="G33" s="133" t="s">
        <v>165</v>
      </c>
      <c r="H33" s="84" t="s">
        <v>829</v>
      </c>
    </row>
    <row r="34" spans="3:8" ht="12.75" thickBot="1" x14ac:dyDescent="0.2">
      <c r="C34" s="85" t="s">
        <v>795</v>
      </c>
      <c r="D34" s="62" t="s">
        <v>786</v>
      </c>
      <c r="E34" s="134" t="s">
        <v>830</v>
      </c>
      <c r="F34" s="133" t="s">
        <v>165</v>
      </c>
      <c r="G34" s="133" t="s">
        <v>165</v>
      </c>
      <c r="H34" s="84" t="s">
        <v>831</v>
      </c>
    </row>
    <row r="35" spans="3:8" ht="12.75" thickBot="1" x14ac:dyDescent="0.2">
      <c r="C35" s="85" t="s">
        <v>797</v>
      </c>
      <c r="D35" s="62" t="s">
        <v>786</v>
      </c>
      <c r="E35" s="134" t="s">
        <v>832</v>
      </c>
      <c r="F35" s="133" t="s">
        <v>165</v>
      </c>
      <c r="G35" s="133" t="s">
        <v>165</v>
      </c>
      <c r="H35" s="84" t="s">
        <v>831</v>
      </c>
    </row>
    <row r="36" spans="3:8" ht="12.75" thickBot="1" x14ac:dyDescent="0.2">
      <c r="C36" s="88" t="s">
        <v>833</v>
      </c>
      <c r="D36" s="62" t="s">
        <v>786</v>
      </c>
      <c r="E36" s="133" t="s">
        <v>165</v>
      </c>
      <c r="F36" s="134" t="s">
        <v>834</v>
      </c>
      <c r="G36" s="134" t="s">
        <v>834</v>
      </c>
      <c r="H36" s="84" t="s">
        <v>835</v>
      </c>
    </row>
    <row r="37" spans="3:8" ht="12.75" thickBot="1" x14ac:dyDescent="0.2">
      <c r="C37" s="88" t="s">
        <v>836</v>
      </c>
      <c r="D37" s="62" t="s">
        <v>786</v>
      </c>
      <c r="E37" s="133" t="s">
        <v>165</v>
      </c>
      <c r="F37" s="134" t="s">
        <v>837</v>
      </c>
      <c r="G37" s="134" t="s">
        <v>838</v>
      </c>
      <c r="H37" s="84" t="s">
        <v>835</v>
      </c>
    </row>
    <row r="38" spans="3:8" ht="12.75" thickBot="1" x14ac:dyDescent="0.2">
      <c r="C38" s="88" t="s">
        <v>839</v>
      </c>
      <c r="D38" s="62" t="s">
        <v>786</v>
      </c>
      <c r="E38" s="133" t="s">
        <v>165</v>
      </c>
      <c r="F38" s="134" t="s">
        <v>837</v>
      </c>
      <c r="G38" s="134" t="s">
        <v>838</v>
      </c>
      <c r="H38" s="84" t="s">
        <v>835</v>
      </c>
    </row>
    <row r="39" spans="3:8" ht="12.75" thickBot="1" x14ac:dyDescent="0.2">
      <c r="C39" s="88" t="s">
        <v>840</v>
      </c>
      <c r="D39" s="62" t="s">
        <v>786</v>
      </c>
      <c r="E39" s="133" t="s">
        <v>165</v>
      </c>
      <c r="F39" s="134" t="s">
        <v>841</v>
      </c>
      <c r="G39" s="134" t="s">
        <v>841</v>
      </c>
      <c r="H39" s="84" t="s">
        <v>835</v>
      </c>
    </row>
    <row r="40" spans="3:8" ht="12.75" thickBot="1" x14ac:dyDescent="0.2">
      <c r="C40" s="88" t="s">
        <v>842</v>
      </c>
      <c r="D40" s="62" t="s">
        <v>786</v>
      </c>
      <c r="E40" s="133" t="s">
        <v>165</v>
      </c>
      <c r="F40" s="134" t="s">
        <v>841</v>
      </c>
      <c r="G40" s="134" t="s">
        <v>843</v>
      </c>
      <c r="H40" s="84" t="s">
        <v>835</v>
      </c>
    </row>
    <row r="41" spans="3:8" ht="12.75" thickBot="1" x14ac:dyDescent="0.2">
      <c r="C41" s="88" t="s">
        <v>844</v>
      </c>
      <c r="D41" s="62" t="s">
        <v>786</v>
      </c>
      <c r="E41" s="133" t="s">
        <v>165</v>
      </c>
      <c r="F41" s="134" t="s">
        <v>845</v>
      </c>
      <c r="G41" s="134" t="s">
        <v>845</v>
      </c>
      <c r="H41" s="84" t="s">
        <v>835</v>
      </c>
    </row>
    <row r="42" spans="3:8" ht="12.75" thickBot="1" x14ac:dyDescent="0.2">
      <c r="C42" s="88" t="s">
        <v>846</v>
      </c>
      <c r="D42" s="62" t="s">
        <v>786</v>
      </c>
      <c r="E42" s="133" t="s">
        <v>165</v>
      </c>
      <c r="F42" s="134" t="s">
        <v>845</v>
      </c>
      <c r="G42" s="134" t="s">
        <v>845</v>
      </c>
      <c r="H42" s="84" t="s">
        <v>835</v>
      </c>
    </row>
    <row r="43" spans="3:8" ht="12.75" thickBot="1" x14ac:dyDescent="0.2">
      <c r="C43" s="88" t="s">
        <v>847</v>
      </c>
      <c r="D43" s="62" t="s">
        <v>786</v>
      </c>
      <c r="E43" s="133" t="s">
        <v>165</v>
      </c>
      <c r="F43" s="134" t="s">
        <v>845</v>
      </c>
      <c r="G43" s="134" t="s">
        <v>845</v>
      </c>
      <c r="H43" s="84" t="s">
        <v>835</v>
      </c>
    </row>
    <row r="44" spans="3:8" ht="12.75" thickBot="1" x14ac:dyDescent="0.2">
      <c r="C44" s="88" t="s">
        <v>848</v>
      </c>
      <c r="D44" s="62" t="s">
        <v>786</v>
      </c>
      <c r="E44" s="133" t="s">
        <v>165</v>
      </c>
      <c r="F44" s="134" t="s">
        <v>845</v>
      </c>
      <c r="G44" s="134" t="s">
        <v>845</v>
      </c>
      <c r="H44" s="84" t="s">
        <v>835</v>
      </c>
    </row>
    <row r="45" spans="3:8" ht="12.75" thickBot="1" x14ac:dyDescent="0.2">
      <c r="C45" s="88" t="s">
        <v>849</v>
      </c>
      <c r="D45" s="62" t="s">
        <v>786</v>
      </c>
      <c r="E45" s="133" t="s">
        <v>165</v>
      </c>
      <c r="F45" s="134" t="s">
        <v>830</v>
      </c>
      <c r="G45" s="134" t="s">
        <v>830</v>
      </c>
      <c r="H45" s="84" t="s">
        <v>835</v>
      </c>
    </row>
    <row r="46" spans="3:8" ht="12.75" thickBot="1" x14ac:dyDescent="0.2">
      <c r="C46" s="88" t="s">
        <v>850</v>
      </c>
      <c r="D46" s="62" t="s">
        <v>786</v>
      </c>
      <c r="E46" s="133" t="s">
        <v>165</v>
      </c>
      <c r="F46" s="134" t="s">
        <v>830</v>
      </c>
      <c r="G46" s="134" t="s">
        <v>830</v>
      </c>
      <c r="H46" s="84" t="s">
        <v>835</v>
      </c>
    </row>
    <row r="47" spans="3:8" ht="12.75" thickBot="1" x14ac:dyDescent="0.2">
      <c r="C47" s="88" t="s">
        <v>851</v>
      </c>
      <c r="D47" s="62" t="s">
        <v>786</v>
      </c>
      <c r="E47" s="133" t="s">
        <v>165</v>
      </c>
      <c r="F47" s="134" t="s">
        <v>834</v>
      </c>
      <c r="G47" s="134" t="s">
        <v>834</v>
      </c>
      <c r="H47" s="84" t="s">
        <v>835</v>
      </c>
    </row>
    <row r="48" spans="3:8" ht="12.75" thickBot="1" x14ac:dyDescent="0.2">
      <c r="C48" s="88" t="s">
        <v>852</v>
      </c>
      <c r="D48" s="62" t="s">
        <v>786</v>
      </c>
      <c r="E48" s="133" t="s">
        <v>165</v>
      </c>
      <c r="F48" s="134" t="s">
        <v>834</v>
      </c>
      <c r="G48" s="134" t="s">
        <v>834</v>
      </c>
      <c r="H48" s="84" t="s">
        <v>835</v>
      </c>
    </row>
    <row r="49" spans="3:8" ht="12.75" thickBot="1" x14ac:dyDescent="0.2">
      <c r="C49" s="88" t="s">
        <v>853</v>
      </c>
      <c r="D49" s="62" t="s">
        <v>786</v>
      </c>
      <c r="E49" s="133" t="s">
        <v>165</v>
      </c>
      <c r="F49" s="134" t="s">
        <v>854</v>
      </c>
      <c r="G49" s="134" t="s">
        <v>854</v>
      </c>
      <c r="H49" s="84" t="s">
        <v>835</v>
      </c>
    </row>
    <row r="50" spans="3:8" ht="12.75" thickBot="1" x14ac:dyDescent="0.2">
      <c r="C50" s="88" t="s">
        <v>855</v>
      </c>
      <c r="D50" s="62" t="s">
        <v>786</v>
      </c>
      <c r="E50" s="133" t="s">
        <v>165</v>
      </c>
      <c r="F50" s="134" t="s">
        <v>854</v>
      </c>
      <c r="G50" s="134" t="s">
        <v>854</v>
      </c>
      <c r="H50" s="84" t="s">
        <v>835</v>
      </c>
    </row>
    <row r="51" spans="3:8" ht="12.75" thickBot="1" x14ac:dyDescent="0.2">
      <c r="C51" s="88" t="s">
        <v>856</v>
      </c>
      <c r="D51" s="62" t="s">
        <v>786</v>
      </c>
      <c r="E51" s="133" t="s">
        <v>165</v>
      </c>
      <c r="F51" s="134" t="s">
        <v>857</v>
      </c>
      <c r="G51" s="134" t="s">
        <v>857</v>
      </c>
      <c r="H51" s="84" t="s">
        <v>835</v>
      </c>
    </row>
    <row r="52" spans="3:8" ht="12.75" thickBot="1" x14ac:dyDescent="0.2">
      <c r="C52" s="88" t="s">
        <v>858</v>
      </c>
      <c r="D52" s="62" t="s">
        <v>786</v>
      </c>
      <c r="E52" s="133" t="s">
        <v>165</v>
      </c>
      <c r="F52" s="134" t="s">
        <v>857</v>
      </c>
      <c r="G52" s="134" t="s">
        <v>857</v>
      </c>
      <c r="H52" s="84" t="s">
        <v>835</v>
      </c>
    </row>
    <row r="53" spans="3:8" ht="12.75" thickBot="1" x14ac:dyDescent="0.2">
      <c r="C53" s="88" t="s">
        <v>859</v>
      </c>
      <c r="D53" s="62" t="s">
        <v>786</v>
      </c>
      <c r="E53" s="133" t="s">
        <v>165</v>
      </c>
      <c r="F53" s="134" t="s">
        <v>845</v>
      </c>
      <c r="G53" s="134" t="s">
        <v>845</v>
      </c>
      <c r="H53" s="84" t="s">
        <v>835</v>
      </c>
    </row>
    <row r="54" spans="3:8" ht="12.75" thickBot="1" x14ac:dyDescent="0.2">
      <c r="C54" s="88" t="s">
        <v>860</v>
      </c>
      <c r="D54" s="62" t="s">
        <v>786</v>
      </c>
      <c r="E54" s="133" t="s">
        <v>165</v>
      </c>
      <c r="F54" s="134" t="s">
        <v>845</v>
      </c>
      <c r="G54" s="134" t="s">
        <v>845</v>
      </c>
      <c r="H54" s="84" t="s">
        <v>835</v>
      </c>
    </row>
    <row r="55" spans="3:8" ht="12.75" thickBot="1" x14ac:dyDescent="0.2">
      <c r="C55" s="88" t="s">
        <v>861</v>
      </c>
      <c r="D55" s="62" t="s">
        <v>786</v>
      </c>
      <c r="E55" s="133" t="s">
        <v>165</v>
      </c>
      <c r="F55" s="134" t="s">
        <v>845</v>
      </c>
      <c r="G55" s="134" t="s">
        <v>845</v>
      </c>
      <c r="H55" s="84" t="s">
        <v>835</v>
      </c>
    </row>
    <row r="56" spans="3:8" ht="12.75" thickBot="1" x14ac:dyDescent="0.2">
      <c r="C56" s="88" t="s">
        <v>862</v>
      </c>
      <c r="D56" s="62" t="s">
        <v>786</v>
      </c>
      <c r="E56" s="133" t="s">
        <v>165</v>
      </c>
      <c r="F56" s="134" t="s">
        <v>845</v>
      </c>
      <c r="G56" s="134" t="s">
        <v>845</v>
      </c>
      <c r="H56" s="84" t="s">
        <v>835</v>
      </c>
    </row>
    <row r="57" spans="3:8" ht="12.75" thickBot="1" x14ac:dyDescent="0.2">
      <c r="C57" s="88" t="s">
        <v>863</v>
      </c>
      <c r="D57" s="62" t="s">
        <v>786</v>
      </c>
      <c r="E57" s="133" t="s">
        <v>165</v>
      </c>
      <c r="F57" s="134" t="s">
        <v>830</v>
      </c>
      <c r="G57" s="134" t="s">
        <v>830</v>
      </c>
      <c r="H57" s="84" t="s">
        <v>835</v>
      </c>
    </row>
    <row r="58" spans="3:8" ht="12.75" thickBot="1" x14ac:dyDescent="0.2">
      <c r="C58" s="88" t="s">
        <v>864</v>
      </c>
      <c r="D58" s="62" t="s">
        <v>786</v>
      </c>
      <c r="E58" s="133" t="s">
        <v>165</v>
      </c>
      <c r="F58" s="134" t="s">
        <v>830</v>
      </c>
      <c r="G58" s="134" t="s">
        <v>830</v>
      </c>
      <c r="H58" s="84" t="s">
        <v>835</v>
      </c>
    </row>
    <row r="59" spans="3:8" ht="12.75" thickBot="1" x14ac:dyDescent="0.2">
      <c r="C59" s="88" t="s">
        <v>865</v>
      </c>
      <c r="D59" s="62" t="s">
        <v>786</v>
      </c>
      <c r="E59" s="133" t="s">
        <v>165</v>
      </c>
      <c r="F59" s="134" t="s">
        <v>834</v>
      </c>
      <c r="G59" s="134" t="s">
        <v>834</v>
      </c>
      <c r="H59" s="84" t="s">
        <v>835</v>
      </c>
    </row>
    <row r="60" spans="3:8" ht="12.75" thickBot="1" x14ac:dyDescent="0.2">
      <c r="C60" s="85" t="s">
        <v>866</v>
      </c>
      <c r="D60" s="63" t="s">
        <v>165</v>
      </c>
      <c r="E60" s="134" t="s">
        <v>828</v>
      </c>
      <c r="F60" s="134" t="s">
        <v>828</v>
      </c>
      <c r="G60" s="134" t="s">
        <v>828</v>
      </c>
      <c r="H60" s="62" t="s">
        <v>867</v>
      </c>
    </row>
    <row r="61" spans="3:8" ht="12.75" thickBot="1" x14ac:dyDescent="0.2">
      <c r="C61" s="85" t="s">
        <v>868</v>
      </c>
      <c r="D61" s="63" t="s">
        <v>165</v>
      </c>
      <c r="E61" s="134" t="s">
        <v>796</v>
      </c>
      <c r="F61" s="133" t="s">
        <v>165</v>
      </c>
      <c r="G61" s="133" t="s">
        <v>165</v>
      </c>
      <c r="H61" s="62" t="s">
        <v>869</v>
      </c>
    </row>
    <row r="62" spans="3:8" ht="12.75" thickBot="1" x14ac:dyDescent="0.2">
      <c r="C62" s="85" t="s">
        <v>870</v>
      </c>
      <c r="D62" s="63" t="s">
        <v>165</v>
      </c>
      <c r="E62" s="134" t="s">
        <v>798</v>
      </c>
      <c r="F62" s="133" t="s">
        <v>165</v>
      </c>
      <c r="G62" s="133" t="s">
        <v>165</v>
      </c>
      <c r="H62" s="62" t="s">
        <v>869</v>
      </c>
    </row>
    <row r="63" spans="3:8" ht="12.75" thickBot="1" x14ac:dyDescent="0.2">
      <c r="C63" s="88" t="s">
        <v>871</v>
      </c>
      <c r="D63" s="63" t="s">
        <v>165</v>
      </c>
      <c r="E63" s="133" t="s">
        <v>165</v>
      </c>
      <c r="F63" s="134" t="s">
        <v>872</v>
      </c>
      <c r="G63" s="134" t="s">
        <v>872</v>
      </c>
      <c r="H63" s="62" t="s">
        <v>873</v>
      </c>
    </row>
    <row r="64" spans="3:8" ht="12.75" thickBot="1" x14ac:dyDescent="0.2">
      <c r="C64" s="88" t="s">
        <v>874</v>
      </c>
      <c r="D64" s="63" t="s">
        <v>165</v>
      </c>
      <c r="E64" s="63" t="s">
        <v>165</v>
      </c>
      <c r="F64" s="62" t="s">
        <v>828</v>
      </c>
      <c r="G64" s="62" t="s">
        <v>791</v>
      </c>
      <c r="H64" s="62" t="s">
        <v>873</v>
      </c>
    </row>
    <row r="65" spans="3:8" ht="12.75" thickBot="1" x14ac:dyDescent="0.2">
      <c r="C65" s="88" t="s">
        <v>875</v>
      </c>
      <c r="D65" s="63" t="s">
        <v>165</v>
      </c>
      <c r="E65" s="63" t="s">
        <v>165</v>
      </c>
      <c r="F65" s="62" t="s">
        <v>828</v>
      </c>
      <c r="G65" s="62" t="s">
        <v>791</v>
      </c>
      <c r="H65" s="62" t="s">
        <v>873</v>
      </c>
    </row>
    <row r="66" spans="3:8" ht="12.75" thickBot="1" x14ac:dyDescent="0.2">
      <c r="C66" s="88" t="s">
        <v>876</v>
      </c>
      <c r="D66" s="63" t="s">
        <v>165</v>
      </c>
      <c r="E66" s="63" t="s">
        <v>165</v>
      </c>
      <c r="F66" s="62" t="s">
        <v>789</v>
      </c>
      <c r="G66" s="62" t="s">
        <v>789</v>
      </c>
      <c r="H66" s="62" t="s">
        <v>873</v>
      </c>
    </row>
    <row r="67" spans="3:8" ht="12.75" thickBot="1" x14ac:dyDescent="0.2">
      <c r="C67" s="88" t="s">
        <v>877</v>
      </c>
      <c r="D67" s="63" t="s">
        <v>165</v>
      </c>
      <c r="E67" s="63" t="s">
        <v>165</v>
      </c>
      <c r="F67" s="62" t="s">
        <v>789</v>
      </c>
      <c r="G67" s="62" t="s">
        <v>878</v>
      </c>
      <c r="H67" s="62" t="s">
        <v>873</v>
      </c>
    </row>
    <row r="68" spans="3:8" ht="12.75" thickBot="1" x14ac:dyDescent="0.2">
      <c r="C68" s="88" t="s">
        <v>879</v>
      </c>
      <c r="D68" s="63" t="s">
        <v>165</v>
      </c>
      <c r="E68" s="63" t="s">
        <v>165</v>
      </c>
      <c r="F68" s="62" t="s">
        <v>798</v>
      </c>
      <c r="G68" s="62" t="s">
        <v>798</v>
      </c>
      <c r="H68" s="62" t="s">
        <v>873</v>
      </c>
    </row>
    <row r="69" spans="3:8" ht="12.75" thickBot="1" x14ac:dyDescent="0.2">
      <c r="C69" s="88" t="s">
        <v>880</v>
      </c>
      <c r="D69" s="63" t="s">
        <v>165</v>
      </c>
      <c r="E69" s="63" t="s">
        <v>165</v>
      </c>
      <c r="F69" s="62" t="s">
        <v>798</v>
      </c>
      <c r="G69" s="62" t="s">
        <v>798</v>
      </c>
      <c r="H69" s="62" t="s">
        <v>873</v>
      </c>
    </row>
    <row r="70" spans="3:8" ht="12.75" thickBot="1" x14ac:dyDescent="0.2">
      <c r="C70" s="88" t="s">
        <v>881</v>
      </c>
      <c r="D70" s="63" t="s">
        <v>165</v>
      </c>
      <c r="E70" s="63" t="s">
        <v>165</v>
      </c>
      <c r="F70" s="62" t="s">
        <v>798</v>
      </c>
      <c r="G70" s="62" t="s">
        <v>798</v>
      </c>
      <c r="H70" s="62" t="s">
        <v>873</v>
      </c>
    </row>
    <row r="71" spans="3:8" ht="12.75" thickBot="1" x14ac:dyDescent="0.2">
      <c r="C71" s="88" t="s">
        <v>882</v>
      </c>
      <c r="D71" s="63" t="s">
        <v>165</v>
      </c>
      <c r="E71" s="63" t="s">
        <v>165</v>
      </c>
      <c r="F71" s="62" t="s">
        <v>798</v>
      </c>
      <c r="G71" s="62" t="s">
        <v>798</v>
      </c>
      <c r="H71" s="62" t="s">
        <v>873</v>
      </c>
    </row>
    <row r="72" spans="3:8" ht="12.75" thickBot="1" x14ac:dyDescent="0.2">
      <c r="C72" s="88" t="s">
        <v>883</v>
      </c>
      <c r="D72" s="63" t="s">
        <v>165</v>
      </c>
      <c r="E72" s="63" t="s">
        <v>165</v>
      </c>
      <c r="F72" s="62" t="s">
        <v>796</v>
      </c>
      <c r="G72" s="62" t="s">
        <v>884</v>
      </c>
      <c r="H72" s="62" t="s">
        <v>873</v>
      </c>
    </row>
    <row r="73" spans="3:8" ht="12.75" thickBot="1" x14ac:dyDescent="0.2">
      <c r="C73" s="88" t="s">
        <v>885</v>
      </c>
      <c r="D73" s="63" t="s">
        <v>165</v>
      </c>
      <c r="E73" s="63" t="s">
        <v>165</v>
      </c>
      <c r="F73" s="62" t="s">
        <v>796</v>
      </c>
      <c r="G73" s="62" t="s">
        <v>796</v>
      </c>
      <c r="H73" s="62" t="s">
        <v>873</v>
      </c>
    </row>
    <row r="74" spans="3:8" ht="12.75" thickBot="1" x14ac:dyDescent="0.2">
      <c r="C74" s="88" t="s">
        <v>886</v>
      </c>
      <c r="D74" s="63" t="s">
        <v>165</v>
      </c>
      <c r="E74" s="63" t="s">
        <v>165</v>
      </c>
      <c r="F74" s="62" t="s">
        <v>872</v>
      </c>
      <c r="G74" s="62" t="s">
        <v>872</v>
      </c>
      <c r="H74" s="62" t="s">
        <v>873</v>
      </c>
    </row>
    <row r="75" spans="3:8" ht="12.75" thickBot="1" x14ac:dyDescent="0.2">
      <c r="C75" s="88" t="s">
        <v>887</v>
      </c>
      <c r="D75" s="63" t="s">
        <v>165</v>
      </c>
      <c r="E75" s="63" t="s">
        <v>165</v>
      </c>
      <c r="F75" s="62" t="s">
        <v>872</v>
      </c>
      <c r="G75" s="62" t="s">
        <v>872</v>
      </c>
      <c r="H75" s="62" t="s">
        <v>873</v>
      </c>
    </row>
    <row r="76" spans="3:8" ht="12.75" thickBot="1" x14ac:dyDescent="0.2">
      <c r="C76" s="88" t="s">
        <v>888</v>
      </c>
      <c r="D76" s="63" t="s">
        <v>165</v>
      </c>
      <c r="E76" s="63" t="s">
        <v>165</v>
      </c>
      <c r="F76" s="62" t="s">
        <v>889</v>
      </c>
      <c r="G76" s="62" t="s">
        <v>889</v>
      </c>
      <c r="H76" s="62" t="s">
        <v>873</v>
      </c>
    </row>
    <row r="77" spans="3:8" ht="12.75" thickBot="1" x14ac:dyDescent="0.2">
      <c r="C77" s="88" t="s">
        <v>890</v>
      </c>
      <c r="D77" s="63" t="s">
        <v>165</v>
      </c>
      <c r="E77" s="63" t="s">
        <v>165</v>
      </c>
      <c r="F77" s="62" t="s">
        <v>889</v>
      </c>
      <c r="G77" s="62" t="s">
        <v>889</v>
      </c>
      <c r="H77" s="62" t="s">
        <v>873</v>
      </c>
    </row>
    <row r="78" spans="3:8" ht="12.75" thickBot="1" x14ac:dyDescent="0.2">
      <c r="C78" s="88" t="s">
        <v>891</v>
      </c>
      <c r="D78" s="63" t="s">
        <v>165</v>
      </c>
      <c r="E78" s="63" t="s">
        <v>165</v>
      </c>
      <c r="F78" s="62" t="s">
        <v>802</v>
      </c>
      <c r="G78" s="62" t="s">
        <v>802</v>
      </c>
      <c r="H78" s="62" t="s">
        <v>873</v>
      </c>
    </row>
    <row r="79" spans="3:8" ht="12.75" thickBot="1" x14ac:dyDescent="0.2">
      <c r="C79" s="88" t="s">
        <v>892</v>
      </c>
      <c r="D79" s="63" t="s">
        <v>165</v>
      </c>
      <c r="E79" s="63" t="s">
        <v>165</v>
      </c>
      <c r="F79" s="62" t="s">
        <v>802</v>
      </c>
      <c r="G79" s="62" t="s">
        <v>802</v>
      </c>
      <c r="H79" s="62" t="s">
        <v>873</v>
      </c>
    </row>
    <row r="80" spans="3:8" ht="12.75" thickBot="1" x14ac:dyDescent="0.2">
      <c r="C80" s="88" t="s">
        <v>893</v>
      </c>
      <c r="D80" s="63" t="s">
        <v>165</v>
      </c>
      <c r="E80" s="63" t="s">
        <v>165</v>
      </c>
      <c r="F80" s="62" t="s">
        <v>798</v>
      </c>
      <c r="G80" s="62" t="s">
        <v>798</v>
      </c>
      <c r="H80" s="62" t="s">
        <v>873</v>
      </c>
    </row>
    <row r="81" spans="2:8" ht="12.75" thickBot="1" x14ac:dyDescent="0.2">
      <c r="C81" s="88" t="s">
        <v>894</v>
      </c>
      <c r="D81" s="63" t="s">
        <v>165</v>
      </c>
      <c r="E81" s="63" t="s">
        <v>165</v>
      </c>
      <c r="F81" s="62" t="s">
        <v>798</v>
      </c>
      <c r="G81" s="62" t="s">
        <v>798</v>
      </c>
      <c r="H81" s="62" t="s">
        <v>873</v>
      </c>
    </row>
    <row r="82" spans="2:8" ht="12.75" thickBot="1" x14ac:dyDescent="0.2">
      <c r="C82" s="88" t="s">
        <v>895</v>
      </c>
      <c r="D82" s="63" t="s">
        <v>165</v>
      </c>
      <c r="E82" s="63" t="s">
        <v>165</v>
      </c>
      <c r="F82" s="62" t="s">
        <v>798</v>
      </c>
      <c r="G82" s="62" t="s">
        <v>798</v>
      </c>
      <c r="H82" s="62" t="s">
        <v>873</v>
      </c>
    </row>
    <row r="83" spans="2:8" ht="12.75" thickBot="1" x14ac:dyDescent="0.2">
      <c r="C83" s="88" t="s">
        <v>896</v>
      </c>
      <c r="D83" s="63" t="s">
        <v>165</v>
      </c>
      <c r="E83" s="63" t="s">
        <v>165</v>
      </c>
      <c r="F83" s="62" t="s">
        <v>897</v>
      </c>
      <c r="G83" s="62" t="s">
        <v>897</v>
      </c>
      <c r="H83" s="62" t="s">
        <v>873</v>
      </c>
    </row>
    <row r="84" spans="2:8" ht="12.75" thickBot="1" x14ac:dyDescent="0.2">
      <c r="C84" s="88" t="s">
        <v>898</v>
      </c>
      <c r="D84" s="63" t="s">
        <v>165</v>
      </c>
      <c r="E84" s="63" t="s">
        <v>165</v>
      </c>
      <c r="F84" s="62" t="s">
        <v>796</v>
      </c>
      <c r="G84" s="62" t="s">
        <v>796</v>
      </c>
      <c r="H84" s="62" t="s">
        <v>873</v>
      </c>
    </row>
    <row r="85" spans="2:8" ht="12.75" thickBot="1" x14ac:dyDescent="0.2">
      <c r="C85" s="88" t="s">
        <v>899</v>
      </c>
      <c r="D85" s="63" t="s">
        <v>165</v>
      </c>
      <c r="E85" s="63" t="s">
        <v>165</v>
      </c>
      <c r="F85" s="62" t="s">
        <v>796</v>
      </c>
      <c r="G85" s="62" t="s">
        <v>796</v>
      </c>
      <c r="H85" s="62" t="s">
        <v>873</v>
      </c>
    </row>
    <row r="86" spans="2:8" ht="12.75" thickBot="1" x14ac:dyDescent="0.2">
      <c r="C86" s="88" t="s">
        <v>900</v>
      </c>
      <c r="D86" s="63" t="s">
        <v>165</v>
      </c>
      <c r="E86" s="63" t="s">
        <v>165</v>
      </c>
      <c r="F86" s="62" t="s">
        <v>872</v>
      </c>
      <c r="G86" s="62" t="s">
        <v>872</v>
      </c>
      <c r="H86" s="62" t="s">
        <v>873</v>
      </c>
    </row>
    <row r="87" spans="2:8" ht="12.75" thickBot="1" x14ac:dyDescent="0.2">
      <c r="C87" s="85" t="s">
        <v>820</v>
      </c>
      <c r="D87" s="62" t="s">
        <v>786</v>
      </c>
      <c r="E87" s="62" t="s">
        <v>821</v>
      </c>
      <c r="F87" s="63" t="s">
        <v>165</v>
      </c>
      <c r="G87" s="63" t="s">
        <v>165</v>
      </c>
      <c r="H87" s="136" t="s">
        <v>823</v>
      </c>
    </row>
    <row r="88" spans="2:8" x14ac:dyDescent="0.15">
      <c r="C88" s="86"/>
    </row>
    <row r="89" spans="2:8" x14ac:dyDescent="0.15">
      <c r="B89" s="138" t="s">
        <v>901</v>
      </c>
      <c r="C89" s="125" t="s">
        <v>902</v>
      </c>
    </row>
    <row r="90" spans="2:8" x14ac:dyDescent="0.15">
      <c r="B90" s="138" t="s">
        <v>867</v>
      </c>
      <c r="C90" s="118" t="s">
        <v>903</v>
      </c>
    </row>
    <row r="91" spans="2:8" x14ac:dyDescent="0.15">
      <c r="B91" s="138" t="s">
        <v>904</v>
      </c>
      <c r="C91" s="125" t="s">
        <v>905</v>
      </c>
    </row>
    <row r="92" spans="2:8" x14ac:dyDescent="0.15">
      <c r="B92" s="138" t="s">
        <v>869</v>
      </c>
      <c r="C92" s="118" t="s">
        <v>906</v>
      </c>
    </row>
    <row r="93" spans="2:8" x14ac:dyDescent="0.15">
      <c r="B93" s="138" t="s">
        <v>907</v>
      </c>
      <c r="C93" s="125" t="s">
        <v>908</v>
      </c>
    </row>
    <row r="94" spans="2:8" x14ac:dyDescent="0.15">
      <c r="B94" s="138" t="s">
        <v>873</v>
      </c>
      <c r="C94" s="118" t="s">
        <v>909</v>
      </c>
    </row>
    <row r="95" spans="2:8" x14ac:dyDescent="0.15">
      <c r="B95" s="139"/>
      <c r="C95" s="118" t="s">
        <v>910</v>
      </c>
    </row>
    <row r="96" spans="2:8" x14ac:dyDescent="0.15">
      <c r="B96" s="139"/>
      <c r="C96" s="125" t="s">
        <v>911</v>
      </c>
    </row>
    <row r="97" spans="2:5" x14ac:dyDescent="0.15">
      <c r="B97" s="139"/>
      <c r="C97" s="125" t="s">
        <v>912</v>
      </c>
    </row>
    <row r="98" spans="2:5" x14ac:dyDescent="0.15">
      <c r="B98" s="139"/>
      <c r="C98" s="137"/>
    </row>
    <row r="99" spans="2:5" x14ac:dyDescent="0.15">
      <c r="B99" s="140" t="s">
        <v>926</v>
      </c>
      <c r="C99" s="125" t="s">
        <v>1300</v>
      </c>
    </row>
    <row r="100" spans="2:5" x14ac:dyDescent="0.15">
      <c r="B100" s="140" t="s">
        <v>927</v>
      </c>
      <c r="C100" s="125" t="s">
        <v>913</v>
      </c>
    </row>
    <row r="101" spans="2:5" x14ac:dyDescent="0.15">
      <c r="B101" s="140" t="s">
        <v>928</v>
      </c>
      <c r="C101" s="125" t="s">
        <v>914</v>
      </c>
    </row>
    <row r="102" spans="2:5" x14ac:dyDescent="0.15">
      <c r="B102" s="140" t="s">
        <v>929</v>
      </c>
      <c r="C102" s="118" t="s">
        <v>915</v>
      </c>
    </row>
    <row r="103" spans="2:5" x14ac:dyDescent="0.15">
      <c r="B103" s="140" t="s">
        <v>930</v>
      </c>
      <c r="C103" s="118" t="s">
        <v>916</v>
      </c>
    </row>
    <row r="104" spans="2:5" x14ac:dyDescent="0.15">
      <c r="B104" s="140"/>
      <c r="C104" s="118"/>
    </row>
    <row r="105" spans="2:5" x14ac:dyDescent="0.15">
      <c r="B105" s="140"/>
      <c r="C105" s="125" t="s">
        <v>917</v>
      </c>
    </row>
    <row r="106" spans="2:5" x14ac:dyDescent="0.15">
      <c r="B106" s="140"/>
      <c r="C106" s="146" t="s">
        <v>983</v>
      </c>
      <c r="D106" s="90"/>
      <c r="E106" s="90"/>
    </row>
    <row r="107" spans="2:5" x14ac:dyDescent="0.15">
      <c r="B107" s="140"/>
      <c r="C107" s="146" t="s">
        <v>982</v>
      </c>
      <c r="D107" s="90"/>
      <c r="E107" s="90"/>
    </row>
    <row r="108" spans="2:5" x14ac:dyDescent="0.15">
      <c r="B108" s="140"/>
      <c r="C108" s="124"/>
    </row>
    <row r="109" spans="2:5" x14ac:dyDescent="0.15">
      <c r="B109" s="140" t="s">
        <v>932</v>
      </c>
      <c r="C109" s="142" t="s">
        <v>931</v>
      </c>
    </row>
    <row r="110" spans="2:5" x14ac:dyDescent="0.15">
      <c r="B110" s="140"/>
      <c r="C110" s="118" t="s">
        <v>918</v>
      </c>
    </row>
    <row r="111" spans="2:5" x14ac:dyDescent="0.15">
      <c r="B111" s="140" t="s">
        <v>935</v>
      </c>
      <c r="C111" s="125" t="s">
        <v>919</v>
      </c>
    </row>
    <row r="112" spans="2:5" x14ac:dyDescent="0.15">
      <c r="B112" s="140"/>
      <c r="C112" s="125" t="s">
        <v>920</v>
      </c>
    </row>
    <row r="113" spans="2:3" x14ac:dyDescent="0.15">
      <c r="B113" s="140"/>
      <c r="C113" s="141" t="s">
        <v>934</v>
      </c>
    </row>
    <row r="114" spans="2:3" x14ac:dyDescent="0.15">
      <c r="B114" s="140" t="s">
        <v>936</v>
      </c>
      <c r="C114" s="118" t="s">
        <v>933</v>
      </c>
    </row>
    <row r="115" spans="2:3" x14ac:dyDescent="0.15">
      <c r="B115" s="140" t="s">
        <v>937</v>
      </c>
      <c r="C115" s="118" t="s">
        <v>921</v>
      </c>
    </row>
    <row r="116" spans="2:3" x14ac:dyDescent="0.15">
      <c r="B116" s="140"/>
      <c r="C116" s="118" t="s">
        <v>922</v>
      </c>
    </row>
    <row r="117" spans="2:3" x14ac:dyDescent="0.15">
      <c r="B117" s="140" t="s">
        <v>938</v>
      </c>
      <c r="C117" s="118" t="s">
        <v>923</v>
      </c>
    </row>
    <row r="118" spans="2:3" x14ac:dyDescent="0.15">
      <c r="B118" s="140"/>
      <c r="C118" s="125" t="s">
        <v>924</v>
      </c>
    </row>
    <row r="119" spans="2:3" x14ac:dyDescent="0.15">
      <c r="B119" s="140"/>
      <c r="C119" s="118" t="s">
        <v>925</v>
      </c>
    </row>
  </sheetData>
  <mergeCells count="9">
    <mergeCell ref="C3:C4"/>
    <mergeCell ref="D3:D4"/>
    <mergeCell ref="E3:F3"/>
    <mergeCell ref="H3:H4"/>
    <mergeCell ref="C30:C32"/>
    <mergeCell ref="D30:D32"/>
    <mergeCell ref="E30:G30"/>
    <mergeCell ref="H30:H32"/>
    <mergeCell ref="E31:G31"/>
  </mergeCells>
  <phoneticPr fontId="8"/>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B1:F118"/>
  <sheetViews>
    <sheetView topLeftCell="A16" workbookViewId="0">
      <selection activeCell="F20" sqref="F20"/>
    </sheetView>
  </sheetViews>
  <sheetFormatPr defaultRowHeight="12" x14ac:dyDescent="0.15"/>
  <cols>
    <col min="1" max="1" width="6" customWidth="1"/>
    <col min="2" max="2" width="8.42578125" customWidth="1"/>
    <col min="3" max="3" width="43" customWidth="1"/>
    <col min="6" max="6" width="22.42578125" customWidth="1"/>
  </cols>
  <sheetData>
    <row r="1" spans="3:6" ht="12.75" thickBot="1" x14ac:dyDescent="0.2"/>
    <row r="2" spans="3:6" ht="23.25" thickBot="1" x14ac:dyDescent="0.2">
      <c r="C2" s="296" t="s">
        <v>774</v>
      </c>
      <c r="D2" s="298" t="s">
        <v>775</v>
      </c>
      <c r="E2" s="130" t="s">
        <v>776</v>
      </c>
      <c r="F2" s="296" t="s">
        <v>777</v>
      </c>
    </row>
    <row r="3" spans="3:6" ht="12.75" thickBot="1" x14ac:dyDescent="0.2">
      <c r="C3" s="297"/>
      <c r="D3" s="299"/>
      <c r="E3" s="143" t="s">
        <v>784</v>
      </c>
      <c r="F3" s="297"/>
    </row>
    <row r="4" spans="3:6" ht="12.75" thickBot="1" x14ac:dyDescent="0.2">
      <c r="C4" s="87" t="s">
        <v>785</v>
      </c>
      <c r="D4" s="81" t="s">
        <v>786</v>
      </c>
      <c r="E4" s="144" t="s">
        <v>939</v>
      </c>
      <c r="F4" s="145" t="s">
        <v>787</v>
      </c>
    </row>
    <row r="5" spans="3:6" ht="12.75" thickBot="1" x14ac:dyDescent="0.2">
      <c r="C5" s="88" t="s">
        <v>940</v>
      </c>
      <c r="D5" s="62" t="s">
        <v>786</v>
      </c>
      <c r="E5" s="134" t="s">
        <v>939</v>
      </c>
      <c r="F5" s="84" t="s">
        <v>787</v>
      </c>
    </row>
    <row r="6" spans="3:6" ht="12.75" thickBot="1" x14ac:dyDescent="0.2">
      <c r="C6" s="88" t="s">
        <v>941</v>
      </c>
      <c r="D6" s="62" t="s">
        <v>786</v>
      </c>
      <c r="E6" s="134" t="s">
        <v>939</v>
      </c>
      <c r="F6" s="84" t="s">
        <v>787</v>
      </c>
    </row>
    <row r="7" spans="3:6" ht="12.75" thickBot="1" x14ac:dyDescent="0.2">
      <c r="C7" s="88" t="s">
        <v>801</v>
      </c>
      <c r="D7" s="62" t="s">
        <v>786</v>
      </c>
      <c r="E7" s="134" t="s">
        <v>815</v>
      </c>
      <c r="F7" s="84" t="s">
        <v>787</v>
      </c>
    </row>
    <row r="8" spans="3:6" ht="12.75" thickBot="1" x14ac:dyDescent="0.2">
      <c r="C8" s="88" t="s">
        <v>803</v>
      </c>
      <c r="D8" s="62" t="s">
        <v>786</v>
      </c>
      <c r="E8" s="134" t="s">
        <v>815</v>
      </c>
      <c r="F8" s="84" t="s">
        <v>787</v>
      </c>
    </row>
    <row r="9" spans="3:6" ht="12.75" thickBot="1" x14ac:dyDescent="0.2">
      <c r="C9" s="88" t="s">
        <v>805</v>
      </c>
      <c r="D9" s="62" t="s">
        <v>786</v>
      </c>
      <c r="E9" s="134" t="s">
        <v>815</v>
      </c>
      <c r="F9" s="84" t="s">
        <v>787</v>
      </c>
    </row>
    <row r="10" spans="3:6" ht="12.75" thickBot="1" x14ac:dyDescent="0.2">
      <c r="C10" s="88" t="s">
        <v>806</v>
      </c>
      <c r="D10" s="62" t="s">
        <v>786</v>
      </c>
      <c r="E10" s="134" t="s">
        <v>815</v>
      </c>
      <c r="F10" s="84" t="s">
        <v>787</v>
      </c>
    </row>
    <row r="11" spans="3:6" ht="12.75" thickBot="1" x14ac:dyDescent="0.2">
      <c r="C11" s="88" t="s">
        <v>808</v>
      </c>
      <c r="D11" s="62" t="s">
        <v>786</v>
      </c>
      <c r="E11" s="134" t="s">
        <v>817</v>
      </c>
      <c r="F11" s="84" t="s">
        <v>787</v>
      </c>
    </row>
    <row r="12" spans="3:6" ht="12.75" thickBot="1" x14ac:dyDescent="0.2">
      <c r="C12" s="88" t="s">
        <v>809</v>
      </c>
      <c r="D12" s="62" t="s">
        <v>786</v>
      </c>
      <c r="E12" s="134" t="s">
        <v>810</v>
      </c>
      <c r="F12" s="84" t="s">
        <v>787</v>
      </c>
    </row>
    <row r="13" spans="3:6" ht="12.75" thickBot="1" x14ac:dyDescent="0.2">
      <c r="C13" s="88" t="s">
        <v>811</v>
      </c>
      <c r="D13" s="62" t="s">
        <v>786</v>
      </c>
      <c r="E13" s="134" t="s">
        <v>810</v>
      </c>
      <c r="F13" s="84" t="s">
        <v>787</v>
      </c>
    </row>
    <row r="14" spans="3:6" ht="12.75" thickBot="1" x14ac:dyDescent="0.2">
      <c r="C14" s="88" t="s">
        <v>812</v>
      </c>
      <c r="D14" s="62" t="s">
        <v>786</v>
      </c>
      <c r="E14" s="134" t="s">
        <v>815</v>
      </c>
      <c r="F14" s="84" t="s">
        <v>787</v>
      </c>
    </row>
    <row r="15" spans="3:6" ht="12.75" thickBot="1" x14ac:dyDescent="0.2">
      <c r="C15" s="88" t="s">
        <v>813</v>
      </c>
      <c r="D15" s="62" t="s">
        <v>786</v>
      </c>
      <c r="E15" s="134" t="s">
        <v>815</v>
      </c>
      <c r="F15" s="84" t="s">
        <v>787</v>
      </c>
    </row>
    <row r="16" spans="3:6" ht="12.75" thickBot="1" x14ac:dyDescent="0.2">
      <c r="C16" s="88" t="s">
        <v>814</v>
      </c>
      <c r="D16" s="62" t="s">
        <v>786</v>
      </c>
      <c r="E16" s="134" t="s">
        <v>815</v>
      </c>
      <c r="F16" s="84" t="s">
        <v>787</v>
      </c>
    </row>
    <row r="17" spans="3:6" ht="12.75" thickBot="1" x14ac:dyDescent="0.2">
      <c r="C17" s="88" t="s">
        <v>816</v>
      </c>
      <c r="D17" s="62" t="s">
        <v>786</v>
      </c>
      <c r="E17" s="134" t="s">
        <v>817</v>
      </c>
      <c r="F17" s="84" t="s">
        <v>787</v>
      </c>
    </row>
    <row r="18" spans="3:6" ht="12.75" thickBot="1" x14ac:dyDescent="0.2">
      <c r="C18" s="88" t="s">
        <v>818</v>
      </c>
      <c r="D18" s="62" t="s">
        <v>786</v>
      </c>
      <c r="E18" s="134" t="s">
        <v>810</v>
      </c>
      <c r="F18" s="84" t="s">
        <v>787</v>
      </c>
    </row>
    <row r="19" spans="3:6" ht="12.75" thickBot="1" x14ac:dyDescent="0.2">
      <c r="C19" s="88" t="s">
        <v>819</v>
      </c>
      <c r="D19" s="62" t="s">
        <v>786</v>
      </c>
      <c r="E19" s="134" t="s">
        <v>810</v>
      </c>
      <c r="F19" s="84" t="s">
        <v>787</v>
      </c>
    </row>
    <row r="20" spans="3:6" ht="12.75" thickBot="1" x14ac:dyDescent="0.2">
      <c r="C20" s="85" t="s">
        <v>820</v>
      </c>
      <c r="D20" s="62" t="s">
        <v>786</v>
      </c>
      <c r="E20" s="62" t="s">
        <v>821</v>
      </c>
      <c r="F20" s="136" t="s">
        <v>821</v>
      </c>
    </row>
    <row r="21" spans="3:6" ht="12.75" thickBot="1" x14ac:dyDescent="0.2">
      <c r="C21" s="86"/>
    </row>
    <row r="22" spans="3:6" ht="23.25" thickBot="1" x14ac:dyDescent="0.2">
      <c r="C22" s="296" t="s">
        <v>774</v>
      </c>
      <c r="D22" s="298" t="s">
        <v>775</v>
      </c>
      <c r="E22" s="130" t="s">
        <v>776</v>
      </c>
      <c r="F22" s="296" t="s">
        <v>777</v>
      </c>
    </row>
    <row r="23" spans="3:6" ht="12.75" thickBot="1" x14ac:dyDescent="0.2">
      <c r="C23" s="297"/>
      <c r="D23" s="299"/>
      <c r="E23" s="131" t="s">
        <v>942</v>
      </c>
      <c r="F23" s="297"/>
    </row>
    <row r="24" spans="3:6" ht="12.75" thickBot="1" x14ac:dyDescent="0.2">
      <c r="C24" s="85" t="s">
        <v>785</v>
      </c>
      <c r="D24" s="62" t="s">
        <v>786</v>
      </c>
      <c r="E24" s="134" t="s">
        <v>802</v>
      </c>
      <c r="F24" s="84" t="s">
        <v>787</v>
      </c>
    </row>
    <row r="25" spans="3:6" ht="12.75" thickBot="1" x14ac:dyDescent="0.2">
      <c r="C25" s="88" t="s">
        <v>943</v>
      </c>
      <c r="D25" s="62" t="s">
        <v>786</v>
      </c>
      <c r="E25" s="134" t="s">
        <v>872</v>
      </c>
      <c r="F25" s="84" t="s">
        <v>787</v>
      </c>
    </row>
    <row r="26" spans="3:6" ht="12.75" thickBot="1" x14ac:dyDescent="0.2">
      <c r="C26" s="88" t="s">
        <v>944</v>
      </c>
      <c r="D26" s="62" t="s">
        <v>786</v>
      </c>
      <c r="E26" s="134" t="s">
        <v>802</v>
      </c>
      <c r="F26" s="84" t="s">
        <v>787</v>
      </c>
    </row>
    <row r="27" spans="3:6" ht="12.75" thickBot="1" x14ac:dyDescent="0.2">
      <c r="C27" s="88" t="s">
        <v>945</v>
      </c>
      <c r="D27" s="62" t="s">
        <v>786</v>
      </c>
      <c r="E27" s="134" t="s">
        <v>802</v>
      </c>
      <c r="F27" s="84" t="s">
        <v>787</v>
      </c>
    </row>
    <row r="28" spans="3:6" ht="12.75" thickBot="1" x14ac:dyDescent="0.2">
      <c r="C28" s="88" t="s">
        <v>946</v>
      </c>
      <c r="D28" s="62" t="s">
        <v>786</v>
      </c>
      <c r="E28" s="134" t="s">
        <v>798</v>
      </c>
      <c r="F28" s="84" t="s">
        <v>787</v>
      </c>
    </row>
    <row r="29" spans="3:6" ht="12.75" thickBot="1" x14ac:dyDescent="0.2">
      <c r="C29" s="88" t="s">
        <v>947</v>
      </c>
      <c r="D29" s="62" t="s">
        <v>786</v>
      </c>
      <c r="E29" s="134" t="s">
        <v>807</v>
      </c>
      <c r="F29" s="84" t="s">
        <v>787</v>
      </c>
    </row>
    <row r="30" spans="3:6" ht="12.75" thickBot="1" x14ac:dyDescent="0.2">
      <c r="C30" s="88" t="s">
        <v>948</v>
      </c>
      <c r="D30" s="62" t="s">
        <v>786</v>
      </c>
      <c r="E30" s="134" t="s">
        <v>796</v>
      </c>
      <c r="F30" s="84" t="s">
        <v>787</v>
      </c>
    </row>
    <row r="31" spans="3:6" ht="12.75" thickBot="1" x14ac:dyDescent="0.2">
      <c r="C31" s="88" t="s">
        <v>949</v>
      </c>
      <c r="D31" s="62" t="s">
        <v>786</v>
      </c>
      <c r="E31" s="134" t="s">
        <v>796</v>
      </c>
      <c r="F31" s="84" t="s">
        <v>787</v>
      </c>
    </row>
    <row r="32" spans="3:6" ht="12.75" thickBot="1" x14ac:dyDescent="0.2">
      <c r="C32" s="88" t="s">
        <v>950</v>
      </c>
      <c r="D32" s="62" t="s">
        <v>786</v>
      </c>
      <c r="E32" s="134" t="s">
        <v>817</v>
      </c>
      <c r="F32" s="84" t="s">
        <v>787</v>
      </c>
    </row>
    <row r="33" spans="3:6" ht="12.75" thickBot="1" x14ac:dyDescent="0.2">
      <c r="C33" s="88" t="s">
        <v>951</v>
      </c>
      <c r="D33" s="62" t="s">
        <v>786</v>
      </c>
      <c r="E33" s="134" t="s">
        <v>952</v>
      </c>
      <c r="F33" s="84" t="s">
        <v>787</v>
      </c>
    </row>
    <row r="34" spans="3:6" ht="12.75" thickBot="1" x14ac:dyDescent="0.2">
      <c r="C34" s="88" t="s">
        <v>953</v>
      </c>
      <c r="D34" s="62" t="s">
        <v>786</v>
      </c>
      <c r="E34" s="134" t="s">
        <v>810</v>
      </c>
      <c r="F34" s="84" t="s">
        <v>787</v>
      </c>
    </row>
    <row r="35" spans="3:6" ht="12.75" thickBot="1" x14ac:dyDescent="0.2">
      <c r="C35" s="88" t="s">
        <v>954</v>
      </c>
      <c r="D35" s="62" t="s">
        <v>786</v>
      </c>
      <c r="E35" s="134" t="s">
        <v>810</v>
      </c>
      <c r="F35" s="84" t="s">
        <v>787</v>
      </c>
    </row>
    <row r="36" spans="3:6" ht="12.75" thickBot="1" x14ac:dyDescent="0.2">
      <c r="C36" s="88" t="s">
        <v>955</v>
      </c>
      <c r="D36" s="62" t="s">
        <v>786</v>
      </c>
      <c r="E36" s="134" t="s">
        <v>872</v>
      </c>
      <c r="F36" s="84" t="s">
        <v>787</v>
      </c>
    </row>
    <row r="37" spans="3:6" ht="12.75" thickBot="1" x14ac:dyDescent="0.2">
      <c r="C37" s="88" t="s">
        <v>956</v>
      </c>
      <c r="D37" s="62" t="s">
        <v>786</v>
      </c>
      <c r="E37" s="134" t="s">
        <v>872</v>
      </c>
      <c r="F37" s="84" t="s">
        <v>787</v>
      </c>
    </row>
    <row r="38" spans="3:6" ht="12.75" thickBot="1" x14ac:dyDescent="0.2">
      <c r="C38" s="88" t="s">
        <v>957</v>
      </c>
      <c r="D38" s="62" t="s">
        <v>786</v>
      </c>
      <c r="E38" s="134" t="s">
        <v>804</v>
      </c>
      <c r="F38" s="84" t="s">
        <v>787</v>
      </c>
    </row>
    <row r="39" spans="3:6" ht="12.75" thickBot="1" x14ac:dyDescent="0.2">
      <c r="C39" s="88" t="s">
        <v>958</v>
      </c>
      <c r="D39" s="62" t="s">
        <v>786</v>
      </c>
      <c r="E39" s="134" t="s">
        <v>804</v>
      </c>
      <c r="F39" s="84" t="s">
        <v>787</v>
      </c>
    </row>
    <row r="40" spans="3:6" ht="12.75" thickBot="1" x14ac:dyDescent="0.2">
      <c r="C40" s="88" t="s">
        <v>959</v>
      </c>
      <c r="D40" s="62" t="s">
        <v>786</v>
      </c>
      <c r="E40" s="134" t="s">
        <v>798</v>
      </c>
      <c r="F40" s="84" t="s">
        <v>787</v>
      </c>
    </row>
    <row r="41" spans="3:6" ht="12.75" thickBot="1" x14ac:dyDescent="0.2">
      <c r="C41" s="88" t="s">
        <v>960</v>
      </c>
      <c r="D41" s="62" t="s">
        <v>786</v>
      </c>
      <c r="E41" s="134" t="s">
        <v>807</v>
      </c>
      <c r="F41" s="84" t="s">
        <v>787</v>
      </c>
    </row>
    <row r="42" spans="3:6" ht="12.75" thickBot="1" x14ac:dyDescent="0.2">
      <c r="C42" s="88" t="s">
        <v>961</v>
      </c>
      <c r="D42" s="62" t="s">
        <v>786</v>
      </c>
      <c r="E42" s="134" t="s">
        <v>796</v>
      </c>
      <c r="F42" s="84" t="s">
        <v>787</v>
      </c>
    </row>
    <row r="43" spans="3:6" ht="12.75" thickBot="1" x14ac:dyDescent="0.2">
      <c r="C43" s="88" t="s">
        <v>962</v>
      </c>
      <c r="D43" s="62" t="s">
        <v>786</v>
      </c>
      <c r="E43" s="134" t="s">
        <v>796</v>
      </c>
      <c r="F43" s="84" t="s">
        <v>787</v>
      </c>
    </row>
    <row r="44" spans="3:6" ht="12.75" thickBot="1" x14ac:dyDescent="0.2">
      <c r="C44" s="88" t="s">
        <v>963</v>
      </c>
      <c r="D44" s="62" t="s">
        <v>786</v>
      </c>
      <c r="E44" s="134" t="s">
        <v>817</v>
      </c>
      <c r="F44" s="84" t="s">
        <v>787</v>
      </c>
    </row>
    <row r="45" spans="3:6" ht="12.75" thickBot="1" x14ac:dyDescent="0.2">
      <c r="C45" s="88" t="s">
        <v>964</v>
      </c>
      <c r="D45" s="62" t="s">
        <v>786</v>
      </c>
      <c r="E45" s="134" t="s">
        <v>952</v>
      </c>
      <c r="F45" s="84" t="s">
        <v>787</v>
      </c>
    </row>
    <row r="46" spans="3:6" ht="12.75" thickBot="1" x14ac:dyDescent="0.2">
      <c r="C46" s="88" t="s">
        <v>965</v>
      </c>
      <c r="D46" s="62" t="s">
        <v>786</v>
      </c>
      <c r="E46" s="134" t="s">
        <v>810</v>
      </c>
      <c r="F46" s="84" t="s">
        <v>787</v>
      </c>
    </row>
    <row r="47" spans="3:6" ht="12.75" thickBot="1" x14ac:dyDescent="0.2">
      <c r="C47" s="88" t="s">
        <v>966</v>
      </c>
      <c r="D47" s="62" t="s">
        <v>786</v>
      </c>
      <c r="E47" s="134" t="s">
        <v>810</v>
      </c>
      <c r="F47" s="84" t="s">
        <v>787</v>
      </c>
    </row>
    <row r="48" spans="3:6" ht="12.75" thickBot="1" x14ac:dyDescent="0.2">
      <c r="C48" s="88" t="s">
        <v>967</v>
      </c>
      <c r="D48" s="62" t="s">
        <v>786</v>
      </c>
      <c r="E48" s="134" t="s">
        <v>872</v>
      </c>
      <c r="F48" s="84" t="s">
        <v>787</v>
      </c>
    </row>
    <row r="49" spans="2:6" ht="12.75" thickBot="1" x14ac:dyDescent="0.2">
      <c r="C49" s="85" t="s">
        <v>820</v>
      </c>
      <c r="D49" s="62" t="s">
        <v>786</v>
      </c>
      <c r="E49" s="134" t="s">
        <v>821</v>
      </c>
      <c r="F49" s="84" t="s">
        <v>823</v>
      </c>
    </row>
    <row r="50" spans="2:6" x14ac:dyDescent="0.15">
      <c r="C50" s="90" t="s">
        <v>968</v>
      </c>
    </row>
    <row r="51" spans="2:6" x14ac:dyDescent="0.15">
      <c r="B51" s="86"/>
    </row>
    <row r="52" spans="2:6" x14ac:dyDescent="0.15">
      <c r="B52" s="90" t="s">
        <v>926</v>
      </c>
      <c r="C52" s="125" t="s">
        <v>1296</v>
      </c>
    </row>
    <row r="53" spans="2:6" x14ac:dyDescent="0.15">
      <c r="C53" s="125" t="s">
        <v>969</v>
      </c>
    </row>
    <row r="54" spans="2:6" x14ac:dyDescent="0.15">
      <c r="B54" s="90" t="s">
        <v>927</v>
      </c>
      <c r="C54" s="125" t="s">
        <v>970</v>
      </c>
    </row>
    <row r="55" spans="2:6" x14ac:dyDescent="0.15">
      <c r="C55" s="125" t="s">
        <v>917</v>
      </c>
    </row>
    <row r="56" spans="2:6" x14ac:dyDescent="0.15">
      <c r="B56" s="86" t="s">
        <v>978</v>
      </c>
      <c r="C56" s="141" t="s">
        <v>979</v>
      </c>
    </row>
    <row r="57" spans="2:6" x14ac:dyDescent="0.15">
      <c r="B57" s="86" t="s">
        <v>980</v>
      </c>
      <c r="C57" s="125" t="s">
        <v>971</v>
      </c>
    </row>
    <row r="58" spans="2:6" x14ac:dyDescent="0.15">
      <c r="B58" s="90" t="s">
        <v>928</v>
      </c>
      <c r="C58" s="125" t="s">
        <v>972</v>
      </c>
    </row>
    <row r="59" spans="2:6" x14ac:dyDescent="0.15">
      <c r="B59" s="90" t="s">
        <v>929</v>
      </c>
      <c r="C59" s="125" t="s">
        <v>973</v>
      </c>
    </row>
    <row r="60" spans="2:6" x14ac:dyDescent="0.15">
      <c r="B60" s="90" t="s">
        <v>930</v>
      </c>
      <c r="C60" s="125" t="s">
        <v>974</v>
      </c>
    </row>
    <row r="61" spans="2:6" x14ac:dyDescent="0.15">
      <c r="B61" s="90" t="s">
        <v>981</v>
      </c>
      <c r="C61" s="125" t="s">
        <v>975</v>
      </c>
    </row>
    <row r="62" spans="2:6" x14ac:dyDescent="0.15">
      <c r="B62" s="86">
        <v>1</v>
      </c>
      <c r="C62" s="125" t="s">
        <v>976</v>
      </c>
    </row>
    <row r="63" spans="2:6" ht="13.5" x14ac:dyDescent="0.2">
      <c r="B63" s="135">
        <v>2</v>
      </c>
      <c r="C63" s="125" t="s">
        <v>977</v>
      </c>
    </row>
    <row r="88" spans="2:2" x14ac:dyDescent="0.15">
      <c r="B88" s="138"/>
    </row>
    <row r="89" spans="2:2" x14ac:dyDescent="0.15">
      <c r="B89" s="138"/>
    </row>
    <row r="90" spans="2:2" x14ac:dyDescent="0.15">
      <c r="B90" s="138"/>
    </row>
    <row r="91" spans="2:2" x14ac:dyDescent="0.15">
      <c r="B91" s="138"/>
    </row>
    <row r="92" spans="2:2" x14ac:dyDescent="0.15">
      <c r="B92" s="138"/>
    </row>
    <row r="93" spans="2:2" x14ac:dyDescent="0.15">
      <c r="B93" s="138"/>
    </row>
    <row r="94" spans="2:2" x14ac:dyDescent="0.15">
      <c r="B94" s="139"/>
    </row>
    <row r="95" spans="2:2" x14ac:dyDescent="0.15">
      <c r="B95" s="139"/>
    </row>
    <row r="96" spans="2:2" x14ac:dyDescent="0.15">
      <c r="B96" s="139"/>
    </row>
    <row r="97" spans="2:2" x14ac:dyDescent="0.15">
      <c r="B97" s="139"/>
    </row>
    <row r="98" spans="2:2" x14ac:dyDescent="0.15">
      <c r="B98" s="140"/>
    </row>
    <row r="99" spans="2:2" x14ac:dyDescent="0.15">
      <c r="B99" s="140"/>
    </row>
    <row r="100" spans="2:2" x14ac:dyDescent="0.15">
      <c r="B100" s="140"/>
    </row>
    <row r="101" spans="2:2" x14ac:dyDescent="0.15">
      <c r="B101" s="140"/>
    </row>
    <row r="102" spans="2:2" x14ac:dyDescent="0.15">
      <c r="B102" s="140"/>
    </row>
    <row r="103" spans="2:2" x14ac:dyDescent="0.15">
      <c r="B103" s="140"/>
    </row>
    <row r="104" spans="2:2" x14ac:dyDescent="0.15">
      <c r="B104" s="140"/>
    </row>
    <row r="105" spans="2:2" x14ac:dyDescent="0.15">
      <c r="B105" s="140"/>
    </row>
    <row r="106" spans="2:2" x14ac:dyDescent="0.15">
      <c r="B106" s="140"/>
    </row>
    <row r="107" spans="2:2" x14ac:dyDescent="0.15">
      <c r="B107" s="140"/>
    </row>
    <row r="108" spans="2:2" x14ac:dyDescent="0.15">
      <c r="B108" s="140"/>
    </row>
    <row r="109" spans="2:2" x14ac:dyDescent="0.15">
      <c r="B109" s="140"/>
    </row>
    <row r="110" spans="2:2" x14ac:dyDescent="0.15">
      <c r="B110" s="140"/>
    </row>
    <row r="111" spans="2:2" x14ac:dyDescent="0.15">
      <c r="B111" s="140"/>
    </row>
    <row r="112" spans="2:2" x14ac:dyDescent="0.15">
      <c r="B112" s="140"/>
    </row>
    <row r="113" spans="2:2" x14ac:dyDescent="0.15">
      <c r="B113" s="140"/>
    </row>
    <row r="114" spans="2:2" x14ac:dyDescent="0.15">
      <c r="B114" s="140"/>
    </row>
    <row r="115" spans="2:2" x14ac:dyDescent="0.15">
      <c r="B115" s="140"/>
    </row>
    <row r="116" spans="2:2" x14ac:dyDescent="0.15">
      <c r="B116" s="140"/>
    </row>
    <row r="117" spans="2:2" x14ac:dyDescent="0.15">
      <c r="B117" s="140"/>
    </row>
    <row r="118" spans="2:2" x14ac:dyDescent="0.15">
      <c r="B118" s="140"/>
    </row>
  </sheetData>
  <mergeCells count="6">
    <mergeCell ref="C2:C3"/>
    <mergeCell ref="D2:D3"/>
    <mergeCell ref="F2:F3"/>
    <mergeCell ref="C22:C23"/>
    <mergeCell ref="D22:D23"/>
    <mergeCell ref="F22:F23"/>
  </mergeCells>
  <phoneticPr fontId="8"/>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B2:M36"/>
  <sheetViews>
    <sheetView topLeftCell="A25" zoomScale="145" zoomScaleNormal="145" workbookViewId="0">
      <selection activeCell="H42" sqref="H42"/>
    </sheetView>
  </sheetViews>
  <sheetFormatPr defaultRowHeight="12" x14ac:dyDescent="0.15"/>
  <cols>
    <col min="1" max="1" width="3.28515625" customWidth="1"/>
    <col min="2" max="2" width="22" customWidth="1"/>
    <col min="10" max="11" width="0" hidden="1" customWidth="1"/>
    <col min="13" max="13" width="33.85546875" customWidth="1"/>
  </cols>
  <sheetData>
    <row r="2" spans="2:13" x14ac:dyDescent="0.15">
      <c r="B2" s="118" t="s">
        <v>740</v>
      </c>
    </row>
    <row r="3" spans="2:13" ht="12.75" thickBot="1" x14ac:dyDescent="0.2">
      <c r="B3" s="86"/>
    </row>
    <row r="4" spans="2:13" ht="12.75" thickBot="1" x14ac:dyDescent="0.2">
      <c r="B4" s="114" t="s">
        <v>694</v>
      </c>
      <c r="C4" s="109" t="s">
        <v>695</v>
      </c>
      <c r="D4" s="109" t="s">
        <v>696</v>
      </c>
      <c r="E4" s="109" t="s">
        <v>697</v>
      </c>
      <c r="F4" s="109" t="s">
        <v>698</v>
      </c>
      <c r="G4" s="109" t="s">
        <v>579</v>
      </c>
      <c r="H4" s="109" t="s">
        <v>699</v>
      </c>
      <c r="I4" s="109" t="s">
        <v>700</v>
      </c>
      <c r="J4" s="109" t="s">
        <v>744</v>
      </c>
      <c r="K4" s="109" t="s">
        <v>745</v>
      </c>
      <c r="L4" s="109" t="s">
        <v>701</v>
      </c>
      <c r="M4" s="110" t="s">
        <v>702</v>
      </c>
    </row>
    <row r="5" spans="2:13" ht="12.75" thickBot="1" x14ac:dyDescent="0.2">
      <c r="B5" s="115" t="s">
        <v>703</v>
      </c>
      <c r="C5" s="63" t="s">
        <v>1</v>
      </c>
      <c r="D5" s="63" t="s">
        <v>1</v>
      </c>
      <c r="E5" s="63" t="s">
        <v>1</v>
      </c>
      <c r="F5" s="63" t="s">
        <v>1</v>
      </c>
      <c r="G5" s="63" t="s">
        <v>0</v>
      </c>
      <c r="H5" s="63" t="s">
        <v>1</v>
      </c>
      <c r="I5" s="63" t="s">
        <v>1</v>
      </c>
      <c r="J5" s="63" t="s">
        <v>1</v>
      </c>
      <c r="K5" s="63" t="s">
        <v>1</v>
      </c>
      <c r="L5" s="63" t="s">
        <v>1</v>
      </c>
      <c r="M5" s="84"/>
    </row>
    <row r="6" spans="2:13" x14ac:dyDescent="0.15">
      <c r="B6" s="86"/>
      <c r="C6" s="119"/>
      <c r="D6" s="119"/>
      <c r="E6" s="119"/>
      <c r="F6" s="119"/>
      <c r="G6" s="119"/>
      <c r="H6" s="119"/>
      <c r="I6" s="119"/>
      <c r="J6" s="119"/>
      <c r="K6" s="119"/>
      <c r="L6" s="119"/>
    </row>
    <row r="7" spans="2:13" x14ac:dyDescent="0.15">
      <c r="B7" s="120" t="s">
        <v>742</v>
      </c>
      <c r="C7" s="119"/>
      <c r="D7" s="119"/>
      <c r="E7" s="119"/>
      <c r="F7" s="119"/>
      <c r="G7" s="119"/>
      <c r="H7" s="119"/>
      <c r="I7" s="119"/>
      <c r="J7" s="119"/>
      <c r="K7" s="119"/>
      <c r="L7" s="119"/>
    </row>
    <row r="8" spans="2:13" ht="12.75" thickBot="1" x14ac:dyDescent="0.2">
      <c r="B8" s="116"/>
      <c r="C8" s="119"/>
      <c r="D8" s="119"/>
      <c r="E8" s="119"/>
      <c r="F8" s="119"/>
      <c r="G8" s="119"/>
      <c r="H8" s="119"/>
      <c r="I8" s="119"/>
      <c r="J8" s="119"/>
      <c r="K8" s="119"/>
      <c r="L8" s="119"/>
    </row>
    <row r="9" spans="2:13" ht="12.75" thickBot="1" x14ac:dyDescent="0.2">
      <c r="B9" s="114" t="s">
        <v>705</v>
      </c>
      <c r="C9" s="109" t="s">
        <v>695</v>
      </c>
      <c r="D9" s="109" t="s">
        <v>696</v>
      </c>
      <c r="E9" s="109" t="s">
        <v>697</v>
      </c>
      <c r="F9" s="109" t="s">
        <v>698</v>
      </c>
      <c r="G9" s="109" t="s">
        <v>579</v>
      </c>
      <c r="H9" s="109" t="s">
        <v>699</v>
      </c>
      <c r="I9" s="109" t="s">
        <v>700</v>
      </c>
      <c r="J9" s="109" t="s">
        <v>744</v>
      </c>
      <c r="K9" s="109" t="s">
        <v>745</v>
      </c>
      <c r="L9" s="109" t="s">
        <v>701</v>
      </c>
      <c r="M9" s="110" t="s">
        <v>702</v>
      </c>
    </row>
    <row r="10" spans="2:13" ht="12.75" thickBot="1" x14ac:dyDescent="0.2">
      <c r="B10" s="88" t="s">
        <v>706</v>
      </c>
      <c r="C10" s="63" t="s">
        <v>1</v>
      </c>
      <c r="D10" s="63" t="s">
        <v>1</v>
      </c>
      <c r="E10" s="63" t="s">
        <v>1</v>
      </c>
      <c r="F10" s="63" t="s">
        <v>1</v>
      </c>
      <c r="G10" s="63" t="s">
        <v>1</v>
      </c>
      <c r="H10" s="63" t="s">
        <v>1</v>
      </c>
      <c r="I10" s="63" t="s">
        <v>1</v>
      </c>
      <c r="J10" s="63" t="s">
        <v>1098</v>
      </c>
      <c r="K10" s="63" t="s">
        <v>1</v>
      </c>
      <c r="L10" s="63" t="s">
        <v>1</v>
      </c>
      <c r="M10" s="89" t="s">
        <v>707</v>
      </c>
    </row>
    <row r="11" spans="2:13" ht="12.75" thickBot="1" x14ac:dyDescent="0.2">
      <c r="B11" s="88" t="s">
        <v>708</v>
      </c>
      <c r="C11" s="63" t="s">
        <v>1</v>
      </c>
      <c r="D11" s="63" t="s">
        <v>1</v>
      </c>
      <c r="E11" s="63" t="s">
        <v>1</v>
      </c>
      <c r="F11" s="63" t="s">
        <v>1</v>
      </c>
      <c r="G11" s="63" t="s">
        <v>1</v>
      </c>
      <c r="H11" s="63" t="s">
        <v>1</v>
      </c>
      <c r="I11" s="63" t="s">
        <v>1</v>
      </c>
      <c r="J11" s="63" t="s">
        <v>1</v>
      </c>
      <c r="K11" s="63" t="s">
        <v>1</v>
      </c>
      <c r="L11" s="63" t="s">
        <v>1</v>
      </c>
      <c r="M11" s="89" t="s">
        <v>709</v>
      </c>
    </row>
    <row r="12" spans="2:13" ht="12.75" thickBot="1" x14ac:dyDescent="0.2">
      <c r="B12" s="88" t="s">
        <v>710</v>
      </c>
      <c r="C12" s="63" t="s">
        <v>1</v>
      </c>
      <c r="D12" s="63" t="s">
        <v>1</v>
      </c>
      <c r="E12" s="63" t="s">
        <v>1</v>
      </c>
      <c r="F12" s="63" t="s">
        <v>1</v>
      </c>
      <c r="G12" s="63" t="s">
        <v>0</v>
      </c>
      <c r="H12" s="63" t="s">
        <v>1</v>
      </c>
      <c r="I12" s="63" t="s">
        <v>1</v>
      </c>
      <c r="J12" s="63" t="s">
        <v>1</v>
      </c>
      <c r="K12" s="63" t="s">
        <v>1</v>
      </c>
      <c r="L12" s="63" t="s">
        <v>0</v>
      </c>
      <c r="M12" s="89" t="s">
        <v>711</v>
      </c>
    </row>
    <row r="13" spans="2:13" ht="12.75" thickBot="1" x14ac:dyDescent="0.2">
      <c r="B13" s="88" t="s">
        <v>712</v>
      </c>
      <c r="C13" s="63" t="s">
        <v>1</v>
      </c>
      <c r="D13" s="63" t="s">
        <v>1</v>
      </c>
      <c r="E13" s="63" t="s">
        <v>1</v>
      </c>
      <c r="F13" s="63" t="s">
        <v>1</v>
      </c>
      <c r="G13" s="63" t="s">
        <v>0</v>
      </c>
      <c r="H13" s="63" t="s">
        <v>1</v>
      </c>
      <c r="I13" s="63" t="s">
        <v>1</v>
      </c>
      <c r="J13" s="63" t="s">
        <v>1</v>
      </c>
      <c r="K13" s="63" t="s">
        <v>1</v>
      </c>
      <c r="L13" s="63" t="s">
        <v>0</v>
      </c>
      <c r="M13" s="89" t="s">
        <v>713</v>
      </c>
    </row>
    <row r="14" spans="2:13" ht="12.75" thickBot="1" x14ac:dyDescent="0.2">
      <c r="B14" s="88" t="s">
        <v>714</v>
      </c>
      <c r="C14" s="63" t="s">
        <v>0</v>
      </c>
      <c r="D14" s="63" t="s">
        <v>0</v>
      </c>
      <c r="E14" s="63" t="s">
        <v>0</v>
      </c>
      <c r="F14" s="63" t="s">
        <v>0</v>
      </c>
      <c r="G14" s="63" t="s">
        <v>0</v>
      </c>
      <c r="H14" s="63" t="s">
        <v>0</v>
      </c>
      <c r="I14" s="63" t="s">
        <v>0</v>
      </c>
      <c r="J14" s="63" t="s">
        <v>0</v>
      </c>
      <c r="K14" s="63" t="s">
        <v>0</v>
      </c>
      <c r="L14" s="63" t="s">
        <v>0</v>
      </c>
      <c r="M14" s="89" t="s">
        <v>715</v>
      </c>
    </row>
    <row r="15" spans="2:13" ht="12.75" thickBot="1" x14ac:dyDescent="0.2">
      <c r="B15" s="88" t="s">
        <v>716</v>
      </c>
      <c r="C15" s="63" t="s">
        <v>1</v>
      </c>
      <c r="D15" s="63" t="s">
        <v>1</v>
      </c>
      <c r="E15" s="63" t="s">
        <v>1</v>
      </c>
      <c r="F15" s="63" t="s">
        <v>1</v>
      </c>
      <c r="G15" s="63" t="s">
        <v>1</v>
      </c>
      <c r="H15" s="63" t="s">
        <v>1</v>
      </c>
      <c r="I15" s="63" t="s">
        <v>1</v>
      </c>
      <c r="J15" s="63" t="s">
        <v>1</v>
      </c>
      <c r="K15" s="63" t="s">
        <v>1</v>
      </c>
      <c r="L15" s="63" t="s">
        <v>1</v>
      </c>
      <c r="M15" s="89" t="s">
        <v>717</v>
      </c>
    </row>
    <row r="16" spans="2:13" ht="12.75" thickBot="1" x14ac:dyDescent="0.2">
      <c r="B16" s="88" t="s">
        <v>718</v>
      </c>
      <c r="C16" s="63" t="s">
        <v>1</v>
      </c>
      <c r="D16" s="63" t="s">
        <v>1</v>
      </c>
      <c r="E16" s="63" t="s">
        <v>1</v>
      </c>
      <c r="F16" s="63" t="s">
        <v>1</v>
      </c>
      <c r="G16" s="63" t="s">
        <v>0</v>
      </c>
      <c r="H16" s="63" t="s">
        <v>1</v>
      </c>
      <c r="I16" s="63" t="s">
        <v>1</v>
      </c>
      <c r="J16" s="63" t="s">
        <v>1</v>
      </c>
      <c r="K16" s="63" t="s">
        <v>1</v>
      </c>
      <c r="L16" s="63" t="s">
        <v>1</v>
      </c>
      <c r="M16" s="89" t="s">
        <v>719</v>
      </c>
    </row>
    <row r="17" spans="2:13" ht="12.75" thickBot="1" x14ac:dyDescent="0.2">
      <c r="B17" s="88" t="s">
        <v>720</v>
      </c>
      <c r="C17" s="63" t="s">
        <v>1</v>
      </c>
      <c r="D17" s="63" t="s">
        <v>1</v>
      </c>
      <c r="E17" s="63" t="s">
        <v>1</v>
      </c>
      <c r="F17" s="63" t="s">
        <v>1</v>
      </c>
      <c r="G17" s="63" t="s">
        <v>34</v>
      </c>
      <c r="H17" s="63" t="s">
        <v>1</v>
      </c>
      <c r="I17" s="63" t="s">
        <v>1</v>
      </c>
      <c r="J17" s="63" t="s">
        <v>1</v>
      </c>
      <c r="K17" s="63" t="s">
        <v>1</v>
      </c>
      <c r="L17" s="63" t="s">
        <v>1</v>
      </c>
      <c r="M17" s="89" t="s">
        <v>721</v>
      </c>
    </row>
    <row r="18" spans="2:13" ht="12.75" thickBot="1" x14ac:dyDescent="0.2">
      <c r="B18" s="88" t="s">
        <v>722</v>
      </c>
      <c r="C18" s="63" t="s">
        <v>35</v>
      </c>
      <c r="D18" s="63" t="s">
        <v>0</v>
      </c>
      <c r="E18" s="63" t="s">
        <v>0</v>
      </c>
      <c r="F18" s="63" t="s">
        <v>0</v>
      </c>
      <c r="G18" s="63" t="s">
        <v>0</v>
      </c>
      <c r="H18" s="63" t="s">
        <v>1</v>
      </c>
      <c r="I18" s="63" t="s">
        <v>1</v>
      </c>
      <c r="J18" s="63" t="s">
        <v>1</v>
      </c>
      <c r="K18" s="63" t="s">
        <v>1</v>
      </c>
      <c r="L18" s="63" t="s">
        <v>1</v>
      </c>
      <c r="M18" s="89" t="s">
        <v>723</v>
      </c>
    </row>
    <row r="19" spans="2:13" x14ac:dyDescent="0.15">
      <c r="B19" s="118" t="s">
        <v>724</v>
      </c>
      <c r="C19" s="119"/>
      <c r="D19" s="119"/>
      <c r="E19" s="119"/>
      <c r="F19" s="119"/>
      <c r="G19" s="119"/>
      <c r="H19" s="119"/>
      <c r="I19" s="119"/>
      <c r="J19" s="119"/>
      <c r="K19" s="119"/>
      <c r="L19" s="119"/>
    </row>
    <row r="20" spans="2:13" x14ac:dyDescent="0.15">
      <c r="B20" s="117"/>
      <c r="C20" s="119"/>
      <c r="D20" s="119"/>
      <c r="E20" s="119"/>
      <c r="F20" s="119"/>
      <c r="G20" s="119"/>
      <c r="H20" s="119"/>
      <c r="I20" s="119"/>
      <c r="J20" s="119"/>
      <c r="K20" s="119"/>
      <c r="L20" s="119"/>
    </row>
    <row r="21" spans="2:13" x14ac:dyDescent="0.15">
      <c r="B21" s="121" t="s">
        <v>1099</v>
      </c>
      <c r="C21" s="119"/>
      <c r="D21" s="119"/>
      <c r="E21" s="119"/>
      <c r="F21" s="119"/>
      <c r="G21" s="119"/>
      <c r="H21" s="119"/>
      <c r="I21" s="119"/>
      <c r="J21" s="119"/>
      <c r="K21" s="119"/>
      <c r="L21" s="119"/>
    </row>
    <row r="22" spans="2:13" ht="12.75" thickBot="1" x14ac:dyDescent="0.2">
      <c r="B22" s="117"/>
      <c r="C22" s="119"/>
      <c r="D22" s="119"/>
      <c r="E22" s="119"/>
      <c r="F22" s="119"/>
      <c r="G22" s="119"/>
      <c r="H22" s="119"/>
      <c r="I22" s="119"/>
      <c r="J22" s="119"/>
      <c r="K22" s="119"/>
      <c r="L22" s="119"/>
    </row>
    <row r="23" spans="2:13" ht="12.75" thickBot="1" x14ac:dyDescent="0.2">
      <c r="B23" s="114" t="s">
        <v>705</v>
      </c>
      <c r="C23" s="109" t="s">
        <v>695</v>
      </c>
      <c r="D23" s="109" t="s">
        <v>696</v>
      </c>
      <c r="E23" s="109" t="s">
        <v>697</v>
      </c>
      <c r="F23" s="109" t="s">
        <v>698</v>
      </c>
      <c r="G23" s="109" t="s">
        <v>579</v>
      </c>
      <c r="H23" s="109" t="s">
        <v>699</v>
      </c>
      <c r="I23" s="109" t="s">
        <v>700</v>
      </c>
      <c r="J23" s="109" t="s">
        <v>744</v>
      </c>
      <c r="K23" s="109" t="s">
        <v>745</v>
      </c>
      <c r="L23" s="109" t="s">
        <v>701</v>
      </c>
      <c r="M23" s="110" t="s">
        <v>702</v>
      </c>
    </row>
    <row r="24" spans="2:13" ht="12.75" thickBot="1" x14ac:dyDescent="0.2">
      <c r="B24" s="88" t="s">
        <v>725</v>
      </c>
      <c r="C24" s="63" t="s">
        <v>0</v>
      </c>
      <c r="D24" s="63" t="s">
        <v>0</v>
      </c>
      <c r="E24" s="63" t="s">
        <v>0</v>
      </c>
      <c r="F24" s="63" t="s">
        <v>0</v>
      </c>
      <c r="G24" s="63" t="s">
        <v>0</v>
      </c>
      <c r="H24" s="63" t="s">
        <v>1</v>
      </c>
      <c r="I24" s="63" t="s">
        <v>1</v>
      </c>
      <c r="J24" s="63" t="s">
        <v>1</v>
      </c>
      <c r="K24" s="63" t="s">
        <v>1</v>
      </c>
      <c r="L24" s="63" t="s">
        <v>0</v>
      </c>
      <c r="M24" s="89" t="s">
        <v>726</v>
      </c>
    </row>
    <row r="25" spans="2:13" ht="12.75" thickBot="1" x14ac:dyDescent="0.2">
      <c r="B25" s="88" t="s">
        <v>743</v>
      </c>
      <c r="C25" s="63" t="s">
        <v>0</v>
      </c>
      <c r="D25" s="63" t="s">
        <v>0</v>
      </c>
      <c r="E25" s="63" t="s">
        <v>0</v>
      </c>
      <c r="F25" s="63" t="s">
        <v>0</v>
      </c>
      <c r="G25" s="63" t="s">
        <v>0</v>
      </c>
      <c r="H25" s="63" t="s">
        <v>1</v>
      </c>
      <c r="I25" s="63" t="s">
        <v>1</v>
      </c>
      <c r="J25" s="63" t="s">
        <v>1</v>
      </c>
      <c r="K25" s="63" t="s">
        <v>1</v>
      </c>
      <c r="L25" s="63" t="s">
        <v>0</v>
      </c>
      <c r="M25" s="89" t="s">
        <v>727</v>
      </c>
    </row>
    <row r="26" spans="2:13" ht="12.75" thickBot="1" x14ac:dyDescent="0.2">
      <c r="B26" s="88" t="s">
        <v>331</v>
      </c>
      <c r="C26" s="63" t="s">
        <v>1</v>
      </c>
      <c r="D26" s="63" t="s">
        <v>1</v>
      </c>
      <c r="E26" s="63" t="s">
        <v>1</v>
      </c>
      <c r="F26" s="63" t="s">
        <v>1</v>
      </c>
      <c r="G26" s="63" t="s">
        <v>1</v>
      </c>
      <c r="H26" s="63" t="s">
        <v>1</v>
      </c>
      <c r="I26" s="63" t="s">
        <v>1</v>
      </c>
      <c r="J26" s="63" t="s">
        <v>1</v>
      </c>
      <c r="K26" s="63" t="s">
        <v>1</v>
      </c>
      <c r="L26" s="63" t="s">
        <v>1</v>
      </c>
      <c r="M26" s="89" t="s">
        <v>728</v>
      </c>
    </row>
    <row r="27" spans="2:13" x14ac:dyDescent="0.15">
      <c r="B27" s="117"/>
      <c r="C27" s="119"/>
      <c r="D27" s="119"/>
      <c r="E27" s="119"/>
      <c r="F27" s="119"/>
      <c r="G27" s="119"/>
      <c r="H27" s="119"/>
      <c r="I27" s="119"/>
      <c r="J27" s="119"/>
      <c r="K27" s="119"/>
      <c r="L27" s="119"/>
    </row>
    <row r="28" spans="2:13" x14ac:dyDescent="0.15">
      <c r="B28" s="120" t="s">
        <v>746</v>
      </c>
      <c r="C28" s="119"/>
      <c r="D28" s="119"/>
      <c r="E28" s="119"/>
      <c r="F28" s="119"/>
      <c r="G28" s="119"/>
      <c r="H28" s="119"/>
      <c r="I28" s="119"/>
      <c r="J28" s="119"/>
      <c r="K28" s="119"/>
      <c r="L28" s="119"/>
    </row>
    <row r="29" spans="2:13" ht="12.75" thickBot="1" x14ac:dyDescent="0.2">
      <c r="B29" s="116"/>
      <c r="C29" s="119"/>
      <c r="D29" s="119"/>
      <c r="E29" s="119"/>
      <c r="F29" s="119"/>
      <c r="G29" s="119"/>
      <c r="H29" s="119"/>
      <c r="I29" s="119"/>
      <c r="J29" s="119"/>
      <c r="K29" s="119"/>
      <c r="L29" s="119"/>
    </row>
    <row r="30" spans="2:13" ht="12.75" thickBot="1" x14ac:dyDescent="0.2">
      <c r="B30" s="114" t="s">
        <v>741</v>
      </c>
      <c r="C30" s="109" t="s">
        <v>695</v>
      </c>
      <c r="D30" s="109" t="s">
        <v>696</v>
      </c>
      <c r="E30" s="109" t="s">
        <v>697</v>
      </c>
      <c r="F30" s="109" t="s">
        <v>698</v>
      </c>
      <c r="G30" s="109" t="s">
        <v>579</v>
      </c>
      <c r="H30" s="109" t="s">
        <v>699</v>
      </c>
      <c r="I30" s="109" t="s">
        <v>700</v>
      </c>
      <c r="J30" s="109"/>
      <c r="K30" s="109"/>
      <c r="L30" s="109" t="s">
        <v>701</v>
      </c>
      <c r="M30" s="110" t="s">
        <v>702</v>
      </c>
    </row>
    <row r="31" spans="2:13" ht="12.75" thickBot="1" x14ac:dyDescent="0.2">
      <c r="B31" s="88" t="s">
        <v>729</v>
      </c>
      <c r="C31" s="63" t="s">
        <v>1</v>
      </c>
      <c r="D31" s="63" t="s">
        <v>1</v>
      </c>
      <c r="E31" s="63" t="s">
        <v>1</v>
      </c>
      <c r="F31" s="63" t="s">
        <v>1</v>
      </c>
      <c r="G31" s="63" t="s">
        <v>1</v>
      </c>
      <c r="H31" s="63" t="s">
        <v>1</v>
      </c>
      <c r="I31" s="63" t="s">
        <v>1</v>
      </c>
      <c r="J31" s="63"/>
      <c r="K31" s="63"/>
      <c r="L31" s="63" t="s">
        <v>1</v>
      </c>
      <c r="M31" s="89" t="s">
        <v>730</v>
      </c>
    </row>
    <row r="32" spans="2:13" ht="12.75" thickBot="1" x14ac:dyDescent="0.2">
      <c r="B32" s="88" t="s">
        <v>731</v>
      </c>
      <c r="C32" s="63" t="s">
        <v>1</v>
      </c>
      <c r="D32" s="63" t="s">
        <v>1</v>
      </c>
      <c r="E32" s="63" t="s">
        <v>1</v>
      </c>
      <c r="F32" s="63" t="s">
        <v>1</v>
      </c>
      <c r="G32" s="63" t="s">
        <v>0</v>
      </c>
      <c r="H32" s="63" t="s">
        <v>1</v>
      </c>
      <c r="I32" s="63" t="s">
        <v>1</v>
      </c>
      <c r="J32" s="63"/>
      <c r="K32" s="63"/>
      <c r="L32" s="63" t="s">
        <v>0</v>
      </c>
      <c r="M32" s="89" t="s">
        <v>732</v>
      </c>
    </row>
    <row r="33" spans="2:13" ht="12.75" thickBot="1" x14ac:dyDescent="0.2">
      <c r="B33" s="88" t="s">
        <v>733</v>
      </c>
      <c r="C33" s="63" t="s">
        <v>1</v>
      </c>
      <c r="D33" s="63" t="s">
        <v>1</v>
      </c>
      <c r="E33" s="63" t="s">
        <v>1</v>
      </c>
      <c r="F33" s="63" t="s">
        <v>1</v>
      </c>
      <c r="G33" s="63" t="s">
        <v>0</v>
      </c>
      <c r="H33" s="63" t="s">
        <v>1</v>
      </c>
      <c r="I33" s="63" t="s">
        <v>1</v>
      </c>
      <c r="J33" s="63"/>
      <c r="K33" s="63"/>
      <c r="L33" s="63" t="s">
        <v>0</v>
      </c>
      <c r="M33" s="89" t="s">
        <v>734</v>
      </c>
    </row>
    <row r="34" spans="2:13" ht="12.75" thickBot="1" x14ac:dyDescent="0.2">
      <c r="B34" s="88" t="s">
        <v>735</v>
      </c>
      <c r="C34" s="63" t="s">
        <v>1</v>
      </c>
      <c r="D34" s="63" t="s">
        <v>1</v>
      </c>
      <c r="E34" s="63" t="s">
        <v>1</v>
      </c>
      <c r="F34" s="63" t="s">
        <v>1</v>
      </c>
      <c r="G34" s="63" t="s">
        <v>0</v>
      </c>
      <c r="H34" s="63" t="s">
        <v>1</v>
      </c>
      <c r="I34" s="63" t="s">
        <v>1</v>
      </c>
      <c r="J34" s="63"/>
      <c r="K34" s="63"/>
      <c r="L34" s="63" t="s">
        <v>0</v>
      </c>
      <c r="M34" s="89" t="s">
        <v>736</v>
      </c>
    </row>
    <row r="35" spans="2:13" ht="12.75" thickBot="1" x14ac:dyDescent="0.2">
      <c r="B35" s="88" t="s">
        <v>737</v>
      </c>
      <c r="C35" s="63" t="s">
        <v>1</v>
      </c>
      <c r="D35" s="63" t="s">
        <v>1</v>
      </c>
      <c r="E35" s="63" t="s">
        <v>1</v>
      </c>
      <c r="F35" s="63" t="s">
        <v>1</v>
      </c>
      <c r="G35" s="63" t="s">
        <v>1</v>
      </c>
      <c r="H35" s="63" t="s">
        <v>1</v>
      </c>
      <c r="I35" s="63" t="s">
        <v>1</v>
      </c>
      <c r="J35" s="63"/>
      <c r="K35" s="63"/>
      <c r="L35" s="63" t="s">
        <v>1</v>
      </c>
      <c r="M35" s="89" t="s">
        <v>738</v>
      </c>
    </row>
    <row r="36" spans="2:13" ht="12.75" thickBot="1" x14ac:dyDescent="0.2">
      <c r="B36" s="88" t="s">
        <v>739</v>
      </c>
      <c r="C36" s="63" t="s">
        <v>1</v>
      </c>
      <c r="D36" s="63" t="s">
        <v>1</v>
      </c>
      <c r="E36" s="63" t="s">
        <v>1</v>
      </c>
      <c r="F36" s="63" t="s">
        <v>1</v>
      </c>
      <c r="G36" s="63" t="s">
        <v>1</v>
      </c>
      <c r="H36" s="63" t="s">
        <v>1</v>
      </c>
      <c r="I36" s="63" t="s">
        <v>1</v>
      </c>
      <c r="J36" s="63"/>
      <c r="K36" s="63"/>
      <c r="L36" s="63" t="s">
        <v>1</v>
      </c>
      <c r="M36" s="89" t="s">
        <v>720</v>
      </c>
    </row>
  </sheetData>
  <phoneticPr fontId="8"/>
  <pageMargins left="0.7" right="0.7" top="0.75" bottom="0.75" header="0.3" footer="0.3"/>
  <pageSetup paperSize="9" orientation="portrait" copies="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B2:N16"/>
  <sheetViews>
    <sheetView zoomScale="130" zoomScaleNormal="130" workbookViewId="0">
      <selection activeCell="H24" sqref="H24"/>
    </sheetView>
  </sheetViews>
  <sheetFormatPr defaultRowHeight="12" x14ac:dyDescent="0.15"/>
  <cols>
    <col min="1" max="1" width="4.7109375" customWidth="1"/>
    <col min="2" max="2" width="16.28515625" customWidth="1"/>
    <col min="3" max="13" width="10.7109375" customWidth="1"/>
    <col min="14" max="14" width="35.85546875" customWidth="1"/>
  </cols>
  <sheetData>
    <row r="2" spans="2:14" x14ac:dyDescent="0.15">
      <c r="B2" s="176" t="s">
        <v>747</v>
      </c>
    </row>
    <row r="3" spans="2:14" x14ac:dyDescent="0.15">
      <c r="B3" s="90" t="s">
        <v>704</v>
      </c>
    </row>
    <row r="4" spans="2:14" ht="12.75" thickBot="1" x14ac:dyDescent="0.2">
      <c r="B4" s="86"/>
    </row>
    <row r="5" spans="2:14" ht="24.75" customHeight="1" thickBot="1" x14ac:dyDescent="0.2">
      <c r="B5" s="114" t="s">
        <v>705</v>
      </c>
      <c r="C5" s="100" t="s">
        <v>768</v>
      </c>
      <c r="D5" s="109" t="s">
        <v>765</v>
      </c>
      <c r="E5" s="100" t="s">
        <v>665</v>
      </c>
      <c r="F5" s="100" t="s">
        <v>691</v>
      </c>
      <c r="G5" s="100" t="s">
        <v>766</v>
      </c>
      <c r="H5" s="109" t="s">
        <v>767</v>
      </c>
      <c r="I5" s="109" t="s">
        <v>679</v>
      </c>
      <c r="J5" s="109" t="s">
        <v>762</v>
      </c>
      <c r="K5" s="109" t="s">
        <v>763</v>
      </c>
      <c r="L5" s="109" t="s">
        <v>764</v>
      </c>
      <c r="M5" s="255" t="s">
        <v>1247</v>
      </c>
      <c r="N5" s="123" t="s">
        <v>702</v>
      </c>
    </row>
    <row r="6" spans="2:14" ht="12.75" thickBot="1" x14ac:dyDescent="0.2">
      <c r="B6" s="88" t="s">
        <v>748</v>
      </c>
      <c r="C6" s="63" t="s">
        <v>1</v>
      </c>
      <c r="D6" s="63" t="s">
        <v>1</v>
      </c>
      <c r="E6" s="63" t="s">
        <v>1</v>
      </c>
      <c r="F6" s="122" t="s">
        <v>1</v>
      </c>
      <c r="G6" s="122" t="s">
        <v>1</v>
      </c>
      <c r="H6" s="63" t="s">
        <v>1</v>
      </c>
      <c r="I6" s="63" t="s">
        <v>1</v>
      </c>
      <c r="J6" s="63" t="s">
        <v>1</v>
      </c>
      <c r="K6" s="63" t="s">
        <v>1</v>
      </c>
      <c r="L6" s="63" t="s">
        <v>1</v>
      </c>
      <c r="M6" s="63" t="s">
        <v>1</v>
      </c>
      <c r="N6" s="89" t="s">
        <v>749</v>
      </c>
    </row>
    <row r="7" spans="2:14" ht="12.75" thickBot="1" x14ac:dyDescent="0.2">
      <c r="B7" s="88" t="s">
        <v>750</v>
      </c>
      <c r="C7" s="63" t="s">
        <v>0</v>
      </c>
      <c r="D7" s="63" t="s">
        <v>0</v>
      </c>
      <c r="E7" s="63" t="s">
        <v>1</v>
      </c>
      <c r="F7" s="122" t="s">
        <v>1</v>
      </c>
      <c r="G7" s="122" t="s">
        <v>1</v>
      </c>
      <c r="H7" s="63" t="s">
        <v>1</v>
      </c>
      <c r="I7" s="63" t="s">
        <v>1</v>
      </c>
      <c r="J7" s="63" t="s">
        <v>1</v>
      </c>
      <c r="K7" s="63" t="s">
        <v>1</v>
      </c>
      <c r="L7" s="63" t="s">
        <v>1</v>
      </c>
      <c r="M7" s="63" t="s">
        <v>1</v>
      </c>
      <c r="N7" s="89" t="s">
        <v>751</v>
      </c>
    </row>
    <row r="8" spans="2:14" ht="12.75" thickBot="1" x14ac:dyDescent="0.2">
      <c r="B8" s="88" t="s">
        <v>752</v>
      </c>
      <c r="C8" s="63" t="s">
        <v>0</v>
      </c>
      <c r="D8" s="63" t="s">
        <v>0</v>
      </c>
      <c r="E8" s="63" t="s">
        <v>0</v>
      </c>
      <c r="F8" s="122" t="s">
        <v>0</v>
      </c>
      <c r="G8" s="122" t="s">
        <v>0</v>
      </c>
      <c r="H8" s="63" t="s">
        <v>0</v>
      </c>
      <c r="I8" s="63" t="s">
        <v>1</v>
      </c>
      <c r="J8" s="63" t="s">
        <v>1</v>
      </c>
      <c r="K8" s="63" t="s">
        <v>0</v>
      </c>
      <c r="L8" s="63" t="s">
        <v>0</v>
      </c>
      <c r="M8" s="63" t="s">
        <v>0</v>
      </c>
      <c r="N8" s="89" t="s">
        <v>753</v>
      </c>
    </row>
    <row r="9" spans="2:14" ht="12.75" thickBot="1" x14ac:dyDescent="0.2">
      <c r="B9" s="88" t="s">
        <v>754</v>
      </c>
      <c r="C9" s="63" t="s">
        <v>0</v>
      </c>
      <c r="D9" s="63" t="s">
        <v>0</v>
      </c>
      <c r="E9" s="63" t="s">
        <v>0</v>
      </c>
      <c r="F9" s="122" t="s">
        <v>0</v>
      </c>
      <c r="G9" s="122" t="s">
        <v>1</v>
      </c>
      <c r="H9" s="63" t="s">
        <v>0</v>
      </c>
      <c r="I9" s="63" t="s">
        <v>0</v>
      </c>
      <c r="J9" s="63" t="s">
        <v>0</v>
      </c>
      <c r="K9" s="63" t="s">
        <v>0</v>
      </c>
      <c r="L9" s="63" t="s">
        <v>0</v>
      </c>
      <c r="M9" s="63" t="s">
        <v>0</v>
      </c>
      <c r="N9" s="89" t="s">
        <v>755</v>
      </c>
    </row>
    <row r="10" spans="2:14" ht="12.75" thickBot="1" x14ac:dyDescent="0.2">
      <c r="B10" s="88" t="s">
        <v>712</v>
      </c>
      <c r="C10" s="63" t="s">
        <v>0</v>
      </c>
      <c r="D10" s="63" t="s">
        <v>0</v>
      </c>
      <c r="E10" s="63" t="s">
        <v>0</v>
      </c>
      <c r="F10" s="122" t="s">
        <v>0</v>
      </c>
      <c r="G10" s="122" t="s">
        <v>1</v>
      </c>
      <c r="H10" s="63" t="s">
        <v>0</v>
      </c>
      <c r="I10" s="63" t="s">
        <v>0</v>
      </c>
      <c r="J10" s="63" t="s">
        <v>0</v>
      </c>
      <c r="K10" s="63" t="s">
        <v>0</v>
      </c>
      <c r="L10" s="63" t="s">
        <v>0</v>
      </c>
      <c r="M10" s="63" t="s">
        <v>0</v>
      </c>
      <c r="N10" s="89" t="s">
        <v>756</v>
      </c>
    </row>
    <row r="11" spans="2:14" ht="12.75" thickBot="1" x14ac:dyDescent="0.2">
      <c r="B11" s="88" t="s">
        <v>757</v>
      </c>
      <c r="C11" s="63" t="s">
        <v>0</v>
      </c>
      <c r="D11" s="63" t="s">
        <v>0</v>
      </c>
      <c r="E11" s="63" t="s">
        <v>0</v>
      </c>
      <c r="F11" s="122" t="s">
        <v>0</v>
      </c>
      <c r="G11" s="122" t="s">
        <v>1</v>
      </c>
      <c r="H11" s="63" t="s">
        <v>0</v>
      </c>
      <c r="I11" s="63" t="s">
        <v>0</v>
      </c>
      <c r="J11" s="63" t="s">
        <v>0</v>
      </c>
      <c r="K11" s="63" t="s">
        <v>1</v>
      </c>
      <c r="L11" s="63" t="s">
        <v>0</v>
      </c>
      <c r="M11" s="63" t="s">
        <v>0</v>
      </c>
      <c r="N11" s="89" t="s">
        <v>758</v>
      </c>
    </row>
    <row r="12" spans="2:14" ht="12.75" thickBot="1" x14ac:dyDescent="0.2">
      <c r="B12" s="88" t="s">
        <v>759</v>
      </c>
      <c r="C12" s="63" t="s">
        <v>0</v>
      </c>
      <c r="D12" s="63" t="s">
        <v>0</v>
      </c>
      <c r="E12" s="63" t="s">
        <v>0</v>
      </c>
      <c r="F12" s="122" t="s">
        <v>0</v>
      </c>
      <c r="G12" s="122" t="s">
        <v>1</v>
      </c>
      <c r="H12" s="63" t="s">
        <v>0</v>
      </c>
      <c r="I12" s="63" t="s">
        <v>0</v>
      </c>
      <c r="J12" s="63" t="s">
        <v>0</v>
      </c>
      <c r="K12" s="63" t="s">
        <v>0</v>
      </c>
      <c r="L12" s="63" t="s">
        <v>0</v>
      </c>
      <c r="M12" s="63" t="s">
        <v>0</v>
      </c>
      <c r="N12" s="89" t="s">
        <v>760</v>
      </c>
    </row>
    <row r="13" spans="2:14" ht="12.75" thickBot="1" x14ac:dyDescent="0.2">
      <c r="B13" s="88" t="s">
        <v>716</v>
      </c>
      <c r="C13" s="63" t="s">
        <v>0</v>
      </c>
      <c r="D13" s="63" t="s">
        <v>0</v>
      </c>
      <c r="E13" s="63" t="s">
        <v>0</v>
      </c>
      <c r="F13" s="122" t="s">
        <v>1</v>
      </c>
      <c r="G13" s="122" t="s">
        <v>1</v>
      </c>
      <c r="H13" s="63" t="s">
        <v>1</v>
      </c>
      <c r="I13" s="63" t="s">
        <v>1</v>
      </c>
      <c r="J13" s="63" t="s">
        <v>1</v>
      </c>
      <c r="K13" s="63" t="s">
        <v>1</v>
      </c>
      <c r="L13" s="63" t="s">
        <v>0</v>
      </c>
      <c r="M13" s="63" t="s">
        <v>0</v>
      </c>
      <c r="N13" s="89" t="s">
        <v>717</v>
      </c>
    </row>
    <row r="14" spans="2:14" ht="12.75" thickBot="1" x14ac:dyDescent="0.2">
      <c r="B14" s="88" t="s">
        <v>720</v>
      </c>
      <c r="C14" s="63" t="s">
        <v>0</v>
      </c>
      <c r="D14" s="63" t="s">
        <v>0</v>
      </c>
      <c r="E14" s="63" t="s">
        <v>0</v>
      </c>
      <c r="F14" s="122" t="s">
        <v>0</v>
      </c>
      <c r="G14" s="122" t="s">
        <v>0</v>
      </c>
      <c r="H14" s="63" t="s">
        <v>1</v>
      </c>
      <c r="I14" s="63" t="s">
        <v>0</v>
      </c>
      <c r="J14" s="63" t="s">
        <v>0</v>
      </c>
      <c r="K14" s="63" t="s">
        <v>0</v>
      </c>
      <c r="L14" s="63" t="s">
        <v>0</v>
      </c>
      <c r="M14" s="63" t="s">
        <v>0</v>
      </c>
      <c r="N14" s="89" t="s">
        <v>721</v>
      </c>
    </row>
    <row r="15" spans="2:14" ht="12.75" thickBot="1" x14ac:dyDescent="0.2">
      <c r="B15" s="88" t="s">
        <v>722</v>
      </c>
      <c r="C15" s="63" t="s">
        <v>0</v>
      </c>
      <c r="D15" s="63" t="s">
        <v>1</v>
      </c>
      <c r="E15" s="63" t="s">
        <v>1</v>
      </c>
      <c r="F15" s="122" t="s">
        <v>1</v>
      </c>
      <c r="G15" s="122" t="s">
        <v>1</v>
      </c>
      <c r="H15" s="63" t="s">
        <v>1</v>
      </c>
      <c r="I15" s="63" t="s">
        <v>1</v>
      </c>
      <c r="J15" s="63" t="s">
        <v>1</v>
      </c>
      <c r="K15" s="63" t="s">
        <v>1</v>
      </c>
      <c r="L15" s="63" t="s">
        <v>1</v>
      </c>
      <c r="M15" s="63" t="s">
        <v>1</v>
      </c>
      <c r="N15" s="89" t="s">
        <v>761</v>
      </c>
    </row>
    <row r="16" spans="2:14" x14ac:dyDescent="0.15">
      <c r="B16" s="86"/>
    </row>
  </sheetData>
  <phoneticPr fontId="8"/>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dimension ref="A1:F27"/>
  <sheetViews>
    <sheetView zoomScale="145" zoomScaleNormal="145" workbookViewId="0">
      <selection activeCell="B2" sqref="B2"/>
    </sheetView>
  </sheetViews>
  <sheetFormatPr defaultRowHeight="13.5" x14ac:dyDescent="0.15"/>
  <cols>
    <col min="1" max="1" width="13" style="55" customWidth="1"/>
    <col min="2" max="2" width="11.140625" style="24" customWidth="1"/>
    <col min="3" max="3" width="10.28515625" style="24" customWidth="1"/>
    <col min="4" max="4" width="14.140625" style="24" customWidth="1"/>
    <col min="5" max="5" width="17.7109375" style="29" customWidth="1"/>
    <col min="6" max="6" width="98" style="24" customWidth="1"/>
    <col min="7" max="16384" width="9.140625" style="24"/>
  </cols>
  <sheetData>
    <row r="1" spans="1:6" ht="14.25" thickBot="1" x14ac:dyDescent="0.2">
      <c r="A1" s="21" t="s">
        <v>9</v>
      </c>
      <c r="B1" s="22" t="s">
        <v>12</v>
      </c>
      <c r="C1" s="22" t="s">
        <v>10</v>
      </c>
      <c r="D1" s="22" t="s">
        <v>163</v>
      </c>
      <c r="E1" s="22" t="s">
        <v>73</v>
      </c>
      <c r="F1" s="23" t="s">
        <v>11</v>
      </c>
    </row>
    <row r="2" spans="1:6" s="28" customFormat="1" ht="24" x14ac:dyDescent="0.15">
      <c r="A2" s="52">
        <v>43903</v>
      </c>
      <c r="B2" s="45" t="s">
        <v>1294</v>
      </c>
      <c r="C2" s="46" t="s">
        <v>164</v>
      </c>
      <c r="D2" s="46" t="s">
        <v>218</v>
      </c>
      <c r="E2" s="46" t="s">
        <v>335</v>
      </c>
      <c r="F2" s="47" t="s">
        <v>1293</v>
      </c>
    </row>
    <row r="3" spans="1:6" x14ac:dyDescent="0.15">
      <c r="A3" s="53"/>
      <c r="B3" s="35"/>
      <c r="C3" s="25"/>
      <c r="D3" s="25"/>
      <c r="E3" s="25"/>
      <c r="F3" s="27"/>
    </row>
    <row r="4" spans="1:6" x14ac:dyDescent="0.15">
      <c r="A4" s="53"/>
      <c r="B4" s="35"/>
      <c r="C4" s="25"/>
      <c r="D4" s="25"/>
      <c r="E4" s="25"/>
      <c r="F4" s="27"/>
    </row>
    <row r="5" spans="1:6" s="30" customFormat="1" x14ac:dyDescent="0.15">
      <c r="A5" s="53"/>
      <c r="B5" s="35"/>
      <c r="C5" s="25"/>
      <c r="D5" s="25"/>
      <c r="E5" s="25"/>
      <c r="F5" s="27"/>
    </row>
    <row r="6" spans="1:6" x14ac:dyDescent="0.15">
      <c r="A6" s="50"/>
      <c r="B6" s="51"/>
      <c r="C6" s="48"/>
      <c r="D6" s="25"/>
      <c r="E6" s="26"/>
      <c r="F6" s="36"/>
    </row>
    <row r="7" spans="1:6" x14ac:dyDescent="0.15">
      <c r="A7" s="48"/>
      <c r="B7" s="48"/>
      <c r="C7" s="48"/>
      <c r="D7" s="25"/>
      <c r="E7" s="26"/>
      <c r="F7" s="36"/>
    </row>
    <row r="8" spans="1:6" x14ac:dyDescent="0.15">
      <c r="A8" s="50"/>
      <c r="B8" s="51"/>
      <c r="C8" s="48"/>
      <c r="D8" s="25"/>
      <c r="E8" s="26"/>
      <c r="F8" s="36"/>
    </row>
    <row r="9" spans="1:6" x14ac:dyDescent="0.15">
      <c r="A9" s="50"/>
      <c r="B9" s="51"/>
      <c r="C9" s="48"/>
      <c r="D9" s="25"/>
      <c r="E9" s="26"/>
      <c r="F9" s="36"/>
    </row>
    <row r="10" spans="1:6" x14ac:dyDescent="0.15">
      <c r="A10" s="50"/>
      <c r="B10" s="51"/>
      <c r="C10" s="48"/>
      <c r="D10" s="25"/>
      <c r="E10" s="26"/>
      <c r="F10" s="36"/>
    </row>
    <row r="11" spans="1:6" x14ac:dyDescent="0.15">
      <c r="A11" s="50"/>
      <c r="B11" s="51"/>
      <c r="C11" s="48"/>
      <c r="D11" s="25"/>
      <c r="E11" s="26"/>
      <c r="F11" s="36"/>
    </row>
    <row r="12" spans="1:6" x14ac:dyDescent="0.15">
      <c r="A12" s="50"/>
      <c r="B12" s="51"/>
      <c r="C12" s="48"/>
      <c r="D12" s="25"/>
      <c r="E12" s="26"/>
      <c r="F12" s="36"/>
    </row>
    <row r="13" spans="1:6" x14ac:dyDescent="0.15">
      <c r="A13" s="50"/>
      <c r="B13" s="51"/>
      <c r="C13" s="48"/>
      <c r="D13" s="25"/>
      <c r="E13" s="25"/>
      <c r="F13" s="36"/>
    </row>
    <row r="14" spans="1:6" x14ac:dyDescent="0.15">
      <c r="A14" s="50"/>
      <c r="B14" s="51"/>
      <c r="C14" s="48"/>
      <c r="D14" s="25"/>
      <c r="E14" s="26"/>
      <c r="F14" s="36"/>
    </row>
    <row r="15" spans="1:6" x14ac:dyDescent="0.15">
      <c r="A15" s="50"/>
      <c r="B15" s="51"/>
      <c r="C15" s="48"/>
      <c r="D15" s="25"/>
      <c r="E15" s="26"/>
      <c r="F15" s="36"/>
    </row>
    <row r="16" spans="1:6" x14ac:dyDescent="0.15">
      <c r="A16" s="50"/>
      <c r="B16" s="51"/>
      <c r="C16" s="48"/>
      <c r="D16" s="49"/>
      <c r="E16" s="26"/>
      <c r="F16" s="36"/>
    </row>
    <row r="17" spans="1:6" x14ac:dyDescent="0.15">
      <c r="A17" s="50"/>
      <c r="B17" s="51"/>
      <c r="C17" s="48"/>
      <c r="D17" s="49"/>
      <c r="E17" s="26"/>
      <c r="F17" s="36"/>
    </row>
    <row r="18" spans="1:6" x14ac:dyDescent="0.15">
      <c r="A18" s="50"/>
      <c r="B18" s="51"/>
      <c r="C18" s="48"/>
      <c r="D18" s="49"/>
      <c r="E18" s="26"/>
      <c r="F18" s="36"/>
    </row>
    <row r="19" spans="1:6" x14ac:dyDescent="0.15">
      <c r="A19" s="50"/>
      <c r="B19" s="51"/>
      <c r="C19" s="48"/>
      <c r="D19" s="49"/>
      <c r="E19" s="26"/>
      <c r="F19" s="36"/>
    </row>
    <row r="20" spans="1:6" x14ac:dyDescent="0.15">
      <c r="A20" s="50"/>
      <c r="B20" s="51"/>
      <c r="C20" s="48"/>
      <c r="D20" s="49"/>
      <c r="E20" s="26"/>
      <c r="F20" s="36"/>
    </row>
    <row r="21" spans="1:6" x14ac:dyDescent="0.15">
      <c r="A21" s="50"/>
      <c r="B21" s="51"/>
      <c r="C21" s="48"/>
      <c r="D21" s="49"/>
      <c r="E21" s="26"/>
      <c r="F21" s="36"/>
    </row>
    <row r="22" spans="1:6" x14ac:dyDescent="0.15">
      <c r="A22" s="50"/>
      <c r="B22" s="51"/>
      <c r="C22" s="48"/>
      <c r="D22" s="49"/>
      <c r="E22" s="25"/>
      <c r="F22" s="36"/>
    </row>
    <row r="23" spans="1:6" x14ac:dyDescent="0.15">
      <c r="A23" s="50"/>
      <c r="B23" s="51"/>
      <c r="C23" s="48"/>
      <c r="D23" s="49"/>
      <c r="E23" s="26"/>
      <c r="F23" s="36"/>
    </row>
    <row r="24" spans="1:6" x14ac:dyDescent="0.15">
      <c r="A24" s="50"/>
      <c r="B24" s="51"/>
      <c r="C24" s="48"/>
      <c r="D24" s="49"/>
      <c r="E24" s="25"/>
      <c r="F24" s="36"/>
    </row>
    <row r="25" spans="1:6" x14ac:dyDescent="0.15">
      <c r="A25" s="50"/>
      <c r="B25" s="51"/>
      <c r="C25" s="48"/>
      <c r="D25" s="49"/>
      <c r="E25" s="26"/>
      <c r="F25" s="36"/>
    </row>
    <row r="26" spans="1:6" x14ac:dyDescent="0.15">
      <c r="A26" s="50"/>
      <c r="B26" s="51"/>
      <c r="C26" s="48"/>
      <c r="D26" s="49"/>
      <c r="E26" s="26"/>
      <c r="F26" s="36"/>
    </row>
    <row r="27" spans="1:6" ht="14.25" thickBot="1" x14ac:dyDescent="0.2">
      <c r="A27" s="54"/>
      <c r="B27" s="31"/>
      <c r="C27" s="32"/>
      <c r="D27" s="33"/>
      <c r="E27" s="33"/>
      <c r="F27" s="34"/>
    </row>
  </sheetData>
  <phoneticPr fontId="8"/>
  <pageMargins left="0.39370078740157477" right="0.39370078740157477" top="0.39370078740157477" bottom="0.39370078740157477" header="0.11811023622047243" footer="0.11811023622047243"/>
  <pageSetup paperSize="9" scale="60" orientation="portrait" horizontalDpi="300" verticalDpi="300" r:id="rId1"/>
  <headerFooter alignWithMargins="0">
    <oddHeader>&amp;C&amp;9表A-6 変更履歴</oddHeader>
    <oddFooter>&amp;C&amp;9&amp;P/&amp;N-1&amp;L&amp;9I.I IOT Device Functions&amp;R&amp;9DDF-IOT-Sepang-APX-K1.11.3.xls</oddFooter>
  </headerFooter>
  <colBreaks count="1" manualBreakCount="1">
    <brk id="7" max="18" man="1"/>
  </colBreak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2"/>
  <sheetViews>
    <sheetView topLeftCell="A19" workbookViewId="0">
      <selection activeCell="J27" sqref="J27"/>
    </sheetView>
  </sheetViews>
  <sheetFormatPr defaultRowHeight="13.5" x14ac:dyDescent="0.25"/>
  <cols>
    <col min="1" max="1" width="24.42578125" style="1" customWidth="1"/>
    <col min="2" max="2" width="25.5703125" style="1" customWidth="1"/>
    <col min="3" max="4" width="9.140625" style="1"/>
    <col min="5" max="5" width="32.85546875" style="1" customWidth="1"/>
    <col min="6" max="6" width="24.85546875" style="1" customWidth="1"/>
    <col min="7" max="16384" width="9.140625" style="1"/>
  </cols>
  <sheetData>
    <row r="1" spans="1:9" x14ac:dyDescent="0.25">
      <c r="A1" s="14" t="s">
        <v>71</v>
      </c>
      <c r="B1" s="14" t="s">
        <v>348</v>
      </c>
      <c r="E1" s="15" t="s">
        <v>8</v>
      </c>
      <c r="F1" s="14" t="s">
        <v>348</v>
      </c>
      <c r="H1" s="14" t="s">
        <v>38</v>
      </c>
      <c r="I1" s="4" t="s">
        <v>98</v>
      </c>
    </row>
    <row r="2" spans="1:9" x14ac:dyDescent="0.25">
      <c r="A2" s="16" t="s">
        <v>52</v>
      </c>
      <c r="B2" s="16" t="s">
        <v>220</v>
      </c>
      <c r="E2" s="18" t="s">
        <v>457</v>
      </c>
      <c r="F2" s="39" t="s">
        <v>457</v>
      </c>
      <c r="H2" s="2" t="s">
        <v>99</v>
      </c>
      <c r="I2" s="2" t="s">
        <v>99</v>
      </c>
    </row>
    <row r="3" spans="1:9" x14ac:dyDescent="0.25">
      <c r="A3" s="16" t="s">
        <v>6</v>
      </c>
      <c r="B3" s="16" t="s">
        <v>14</v>
      </c>
      <c r="E3" s="18" t="s">
        <v>458</v>
      </c>
      <c r="F3" s="39" t="s">
        <v>458</v>
      </c>
      <c r="H3" s="2" t="s">
        <v>36</v>
      </c>
      <c r="I3" s="2" t="s">
        <v>36</v>
      </c>
    </row>
    <row r="4" spans="1:9" x14ac:dyDescent="0.25">
      <c r="A4" s="16" t="s">
        <v>13</v>
      </c>
      <c r="B4" s="16" t="s">
        <v>221</v>
      </c>
      <c r="E4" s="18" t="s">
        <v>459</v>
      </c>
      <c r="F4" s="39" t="s">
        <v>459</v>
      </c>
    </row>
    <row r="5" spans="1:9" x14ac:dyDescent="0.25">
      <c r="A5" s="16" t="s">
        <v>7</v>
      </c>
      <c r="B5" s="16" t="s">
        <v>222</v>
      </c>
      <c r="E5" s="18" t="s">
        <v>460</v>
      </c>
      <c r="F5" s="39" t="s">
        <v>460</v>
      </c>
    </row>
    <row r="6" spans="1:9" x14ac:dyDescent="0.25">
      <c r="A6" s="16" t="s">
        <v>223</v>
      </c>
      <c r="B6" s="16" t="s">
        <v>15</v>
      </c>
      <c r="E6" s="18" t="s">
        <v>461</v>
      </c>
      <c r="F6" s="39" t="s">
        <v>462</v>
      </c>
    </row>
    <row r="7" spans="1:9" x14ac:dyDescent="0.25">
      <c r="A7" s="16" t="s">
        <v>224</v>
      </c>
      <c r="B7" s="16" t="s">
        <v>16</v>
      </c>
      <c r="E7" s="18" t="s">
        <v>2</v>
      </c>
      <c r="F7" s="39" t="s">
        <v>100</v>
      </c>
    </row>
    <row r="8" spans="1:9" x14ac:dyDescent="0.25">
      <c r="A8" s="16" t="s">
        <v>225</v>
      </c>
      <c r="B8" s="16" t="s">
        <v>17</v>
      </c>
      <c r="E8" s="18" t="s">
        <v>3</v>
      </c>
      <c r="F8" s="39" t="s">
        <v>101</v>
      </c>
    </row>
    <row r="9" spans="1:9" x14ac:dyDescent="0.25">
      <c r="A9" s="16" t="s">
        <v>226</v>
      </c>
      <c r="B9" s="16" t="s">
        <v>18</v>
      </c>
      <c r="E9" s="56" t="s">
        <v>212</v>
      </c>
      <c r="F9" s="39" t="s">
        <v>214</v>
      </c>
    </row>
    <row r="10" spans="1:9" x14ac:dyDescent="0.25">
      <c r="A10" s="16" t="s">
        <v>227</v>
      </c>
      <c r="B10" s="16" t="s">
        <v>19</v>
      </c>
      <c r="E10" s="56" t="s">
        <v>215</v>
      </c>
      <c r="F10" s="39" t="s">
        <v>216</v>
      </c>
    </row>
    <row r="11" spans="1:9" x14ac:dyDescent="0.25">
      <c r="A11" s="16" t="s">
        <v>228</v>
      </c>
      <c r="B11" s="16" t="s">
        <v>23</v>
      </c>
      <c r="E11" s="56" t="s">
        <v>213</v>
      </c>
      <c r="F11" s="39" t="s">
        <v>217</v>
      </c>
    </row>
    <row r="12" spans="1:9" x14ac:dyDescent="0.25">
      <c r="A12" s="16" t="s">
        <v>229</v>
      </c>
      <c r="B12" s="16" t="s">
        <v>24</v>
      </c>
      <c r="E12" s="18" t="s">
        <v>56</v>
      </c>
      <c r="F12" s="39" t="s">
        <v>102</v>
      </c>
    </row>
    <row r="13" spans="1:9" x14ac:dyDescent="0.25">
      <c r="A13" s="16" t="s">
        <v>159</v>
      </c>
      <c r="B13" s="16" t="s">
        <v>90</v>
      </c>
      <c r="E13" s="18" t="s">
        <v>57</v>
      </c>
      <c r="F13" s="39" t="s">
        <v>103</v>
      </c>
    </row>
    <row r="14" spans="1:9" x14ac:dyDescent="0.25">
      <c r="A14" s="16" t="s">
        <v>166</v>
      </c>
      <c r="B14" s="16" t="s">
        <v>92</v>
      </c>
      <c r="E14" s="18" t="s">
        <v>58</v>
      </c>
      <c r="F14" s="39" t="s">
        <v>104</v>
      </c>
    </row>
    <row r="15" spans="1:9" x14ac:dyDescent="0.25">
      <c r="A15" s="16" t="s">
        <v>446</v>
      </c>
      <c r="B15" s="16" t="s">
        <v>447</v>
      </c>
      <c r="E15" s="18" t="s">
        <v>59</v>
      </c>
      <c r="F15" s="39" t="s">
        <v>105</v>
      </c>
    </row>
    <row r="16" spans="1:9" x14ac:dyDescent="0.25">
      <c r="A16" s="16" t="s">
        <v>338</v>
      </c>
      <c r="B16" s="16" t="s">
        <v>20</v>
      </c>
      <c r="E16" s="18" t="s">
        <v>60</v>
      </c>
      <c r="F16" s="39" t="s">
        <v>106</v>
      </c>
    </row>
    <row r="17" spans="1:6" x14ac:dyDescent="0.25">
      <c r="A17" s="19" t="s">
        <v>387</v>
      </c>
      <c r="B17" s="43" t="s">
        <v>388</v>
      </c>
      <c r="E17" s="18" t="s">
        <v>61</v>
      </c>
      <c r="F17" s="39" t="s">
        <v>107</v>
      </c>
    </row>
    <row r="18" spans="1:6" x14ac:dyDescent="0.25">
      <c r="A18" s="19" t="s">
        <v>389</v>
      </c>
      <c r="B18" s="43" t="s">
        <v>390</v>
      </c>
      <c r="E18" s="18" t="s">
        <v>108</v>
      </c>
      <c r="F18" s="39" t="s">
        <v>109</v>
      </c>
    </row>
    <row r="19" spans="1:6" x14ac:dyDescent="0.25">
      <c r="A19" s="19" t="s">
        <v>391</v>
      </c>
      <c r="B19" s="43" t="s">
        <v>392</v>
      </c>
      <c r="E19" s="18" t="s">
        <v>62</v>
      </c>
      <c r="F19" s="39" t="s">
        <v>110</v>
      </c>
    </row>
    <row r="20" spans="1:6" x14ac:dyDescent="0.25">
      <c r="A20" s="44" t="s">
        <v>393</v>
      </c>
      <c r="B20" s="43" t="s">
        <v>394</v>
      </c>
      <c r="E20" s="18" t="s">
        <v>63</v>
      </c>
      <c r="F20" s="39" t="s">
        <v>111</v>
      </c>
    </row>
    <row r="21" spans="1:6" x14ac:dyDescent="0.25">
      <c r="A21" s="16" t="s">
        <v>339</v>
      </c>
      <c r="B21" s="16" t="s">
        <v>230</v>
      </c>
      <c r="E21" s="18" t="s">
        <v>64</v>
      </c>
      <c r="F21" s="39" t="s">
        <v>112</v>
      </c>
    </row>
    <row r="22" spans="1:6" x14ac:dyDescent="0.25">
      <c r="A22" s="16" t="s">
        <v>449</v>
      </c>
      <c r="B22" s="16" t="s">
        <v>231</v>
      </c>
      <c r="E22" s="18" t="s">
        <v>113</v>
      </c>
      <c r="F22" s="39" t="s">
        <v>114</v>
      </c>
    </row>
    <row r="23" spans="1:6" x14ac:dyDescent="0.25">
      <c r="A23" s="16" t="s">
        <v>340</v>
      </c>
      <c r="B23" s="16" t="s">
        <v>232</v>
      </c>
      <c r="E23" s="18" t="s">
        <v>360</v>
      </c>
      <c r="F23" s="42" t="s">
        <v>219</v>
      </c>
    </row>
    <row r="24" spans="1:6" x14ac:dyDescent="0.25">
      <c r="A24" s="16" t="s">
        <v>341</v>
      </c>
      <c r="B24" s="16" t="s">
        <v>233</v>
      </c>
      <c r="E24" s="56" t="s">
        <v>463</v>
      </c>
      <c r="F24" s="42" t="s">
        <v>219</v>
      </c>
    </row>
    <row r="25" spans="1:6" x14ac:dyDescent="0.25">
      <c r="A25" s="16" t="s">
        <v>342</v>
      </c>
      <c r="B25" s="16" t="s">
        <v>234</v>
      </c>
      <c r="E25" s="18" t="s">
        <v>115</v>
      </c>
      <c r="F25" s="18" t="s">
        <v>116</v>
      </c>
    </row>
    <row r="26" spans="1:6" x14ac:dyDescent="0.25">
      <c r="A26" s="16" t="s">
        <v>343</v>
      </c>
      <c r="B26" s="16" t="s">
        <v>235</v>
      </c>
      <c r="E26" s="18" t="s">
        <v>361</v>
      </c>
      <c r="F26" s="42" t="s">
        <v>219</v>
      </c>
    </row>
    <row r="27" spans="1:6" x14ac:dyDescent="0.25">
      <c r="A27" s="16" t="s">
        <v>448</v>
      </c>
      <c r="B27" s="16" t="s">
        <v>236</v>
      </c>
      <c r="E27" s="18" t="s">
        <v>362</v>
      </c>
      <c r="F27" s="18" t="s">
        <v>117</v>
      </c>
    </row>
    <row r="28" spans="1:6" x14ac:dyDescent="0.25">
      <c r="A28" s="16" t="s">
        <v>450</v>
      </c>
      <c r="B28" s="16" t="s">
        <v>237</v>
      </c>
      <c r="E28" s="18" t="s">
        <v>363</v>
      </c>
      <c r="F28" s="18" t="s">
        <v>118</v>
      </c>
    </row>
    <row r="29" spans="1:6" x14ac:dyDescent="0.25">
      <c r="A29" s="16" t="s">
        <v>451</v>
      </c>
      <c r="B29" s="16" t="s">
        <v>238</v>
      </c>
      <c r="E29" s="17" t="s">
        <v>364</v>
      </c>
      <c r="F29" s="17" t="s">
        <v>119</v>
      </c>
    </row>
    <row r="30" spans="1:6" x14ac:dyDescent="0.25">
      <c r="A30" s="16" t="s">
        <v>239</v>
      </c>
      <c r="B30" s="16" t="s">
        <v>240</v>
      </c>
      <c r="E30" s="18" t="s">
        <v>65</v>
      </c>
      <c r="F30" s="39" t="s">
        <v>120</v>
      </c>
    </row>
    <row r="31" spans="1:6" x14ac:dyDescent="0.25">
      <c r="A31" s="16" t="s">
        <v>147</v>
      </c>
      <c r="B31" s="16" t="s">
        <v>241</v>
      </c>
      <c r="E31" s="18" t="s">
        <v>121</v>
      </c>
      <c r="F31" s="40" t="s">
        <v>122</v>
      </c>
    </row>
    <row r="32" spans="1:6" x14ac:dyDescent="0.25">
      <c r="A32" s="16" t="s">
        <v>242</v>
      </c>
      <c r="B32" s="16" t="s">
        <v>26</v>
      </c>
      <c r="E32" s="18" t="s">
        <v>66</v>
      </c>
      <c r="F32" s="18" t="s">
        <v>123</v>
      </c>
    </row>
    <row r="33" spans="1:6" x14ac:dyDescent="0.25">
      <c r="A33" s="16" t="s">
        <v>243</v>
      </c>
      <c r="B33" s="16" t="s">
        <v>27</v>
      </c>
      <c r="E33" s="18" t="s">
        <v>67</v>
      </c>
      <c r="F33" s="39" t="s">
        <v>124</v>
      </c>
    </row>
    <row r="34" spans="1:6" x14ac:dyDescent="0.25">
      <c r="A34" s="16" t="s">
        <v>169</v>
      </c>
      <c r="B34" s="16" t="s">
        <v>94</v>
      </c>
      <c r="E34" s="18" t="s">
        <v>68</v>
      </c>
      <c r="F34" s="39" t="s">
        <v>125</v>
      </c>
    </row>
    <row r="35" spans="1:6" x14ac:dyDescent="0.25">
      <c r="A35" s="16" t="s">
        <v>171</v>
      </c>
      <c r="B35" s="16" t="s">
        <v>96</v>
      </c>
      <c r="E35" s="18" t="s">
        <v>69</v>
      </c>
      <c r="F35" s="39" t="s">
        <v>126</v>
      </c>
    </row>
    <row r="36" spans="1:6" x14ac:dyDescent="0.25">
      <c r="A36" s="16" t="s">
        <v>28</v>
      </c>
      <c r="B36" s="16" t="s">
        <v>29</v>
      </c>
      <c r="E36" s="18" t="s">
        <v>365</v>
      </c>
      <c r="F36" s="39" t="s">
        <v>127</v>
      </c>
    </row>
    <row r="37" spans="1:6" x14ac:dyDescent="0.25">
      <c r="A37" s="16" t="s">
        <v>161</v>
      </c>
      <c r="B37" s="16" t="s">
        <v>244</v>
      </c>
      <c r="E37" s="18" t="s">
        <v>366</v>
      </c>
      <c r="F37" s="39" t="s">
        <v>128</v>
      </c>
    </row>
    <row r="38" spans="1:6" x14ac:dyDescent="0.25">
      <c r="A38" s="16" t="s">
        <v>162</v>
      </c>
      <c r="B38" s="16" t="s">
        <v>245</v>
      </c>
      <c r="E38" s="18" t="s">
        <v>367</v>
      </c>
      <c r="F38" s="39" t="s">
        <v>129</v>
      </c>
    </row>
    <row r="39" spans="1:6" x14ac:dyDescent="0.25">
      <c r="A39" s="16" t="s">
        <v>395</v>
      </c>
      <c r="B39" s="16" t="s">
        <v>438</v>
      </c>
      <c r="E39" s="18" t="s">
        <v>368</v>
      </c>
      <c r="F39" s="39" t="s">
        <v>130</v>
      </c>
    </row>
    <row r="40" spans="1:6" x14ac:dyDescent="0.25">
      <c r="A40" s="16" t="s">
        <v>349</v>
      </c>
      <c r="B40" s="16" t="s">
        <v>246</v>
      </c>
      <c r="E40" s="18" t="s">
        <v>148</v>
      </c>
      <c r="F40" s="39" t="s">
        <v>131</v>
      </c>
    </row>
    <row r="41" spans="1:6" x14ac:dyDescent="0.25">
      <c r="A41" s="16" t="s">
        <v>350</v>
      </c>
      <c r="B41" s="16" t="s">
        <v>247</v>
      </c>
      <c r="E41" s="18" t="s">
        <v>4</v>
      </c>
      <c r="F41" s="39" t="s">
        <v>132</v>
      </c>
    </row>
    <row r="42" spans="1:6" x14ac:dyDescent="0.25">
      <c r="A42" s="16" t="s">
        <v>434</v>
      </c>
      <c r="B42" s="16" t="s">
        <v>435</v>
      </c>
      <c r="E42" s="18" t="s">
        <v>369</v>
      </c>
      <c r="F42" s="39" t="s">
        <v>133</v>
      </c>
    </row>
    <row r="43" spans="1:6" x14ac:dyDescent="0.25">
      <c r="A43" s="16" t="s">
        <v>436</v>
      </c>
      <c r="B43" s="16" t="s">
        <v>437</v>
      </c>
      <c r="E43" s="41" t="s">
        <v>134</v>
      </c>
      <c r="F43" s="39" t="s">
        <v>135</v>
      </c>
    </row>
    <row r="44" spans="1:6" x14ac:dyDescent="0.25">
      <c r="A44" s="16" t="s">
        <v>248</v>
      </c>
      <c r="B44" s="16" t="s">
        <v>249</v>
      </c>
      <c r="E44" s="41" t="s">
        <v>136</v>
      </c>
      <c r="F44" s="39" t="s">
        <v>137</v>
      </c>
    </row>
    <row r="45" spans="1:6" x14ac:dyDescent="0.25">
      <c r="A45" s="16" t="s">
        <v>173</v>
      </c>
      <c r="B45" s="16" t="s">
        <v>22</v>
      </c>
      <c r="E45" s="18" t="s">
        <v>370</v>
      </c>
      <c r="F45" s="39" t="s">
        <v>138</v>
      </c>
    </row>
    <row r="46" spans="1:6" x14ac:dyDescent="0.25">
      <c r="A46" s="16" t="s">
        <v>53</v>
      </c>
      <c r="B46" s="16" t="s">
        <v>250</v>
      </c>
      <c r="E46" s="41" t="s">
        <v>70</v>
      </c>
      <c r="F46" s="39" t="s">
        <v>139</v>
      </c>
    </row>
    <row r="47" spans="1:6" x14ac:dyDescent="0.25">
      <c r="A47" s="16" t="s">
        <v>351</v>
      </c>
      <c r="B47" s="16" t="s">
        <v>21</v>
      </c>
      <c r="E47" s="18" t="s">
        <v>371</v>
      </c>
      <c r="F47" s="39" t="s">
        <v>140</v>
      </c>
    </row>
    <row r="48" spans="1:6" x14ac:dyDescent="0.25">
      <c r="A48" s="16" t="s">
        <v>251</v>
      </c>
      <c r="B48" s="16" t="s">
        <v>30</v>
      </c>
      <c r="E48" s="18" t="s">
        <v>372</v>
      </c>
      <c r="F48" s="39" t="s">
        <v>151</v>
      </c>
    </row>
    <row r="49" spans="1:9" x14ac:dyDescent="0.25">
      <c r="A49" s="16" t="s">
        <v>252</v>
      </c>
      <c r="B49" s="16" t="s">
        <v>31</v>
      </c>
      <c r="E49" s="18" t="s">
        <v>373</v>
      </c>
      <c r="F49" s="40" t="s">
        <v>152</v>
      </c>
      <c r="I49" s="37"/>
    </row>
    <row r="50" spans="1:9" x14ac:dyDescent="0.25">
      <c r="A50" s="16" t="s">
        <v>160</v>
      </c>
      <c r="B50" s="16" t="s">
        <v>91</v>
      </c>
      <c r="E50" s="18" t="s">
        <v>374</v>
      </c>
      <c r="F50" s="42" t="s">
        <v>219</v>
      </c>
    </row>
    <row r="51" spans="1:9" x14ac:dyDescent="0.25">
      <c r="A51" s="16" t="s">
        <v>167</v>
      </c>
      <c r="B51" s="16" t="s">
        <v>93</v>
      </c>
      <c r="E51" s="18" t="s">
        <v>375</v>
      </c>
      <c r="F51" s="39" t="s">
        <v>142</v>
      </c>
    </row>
    <row r="52" spans="1:9" x14ac:dyDescent="0.25">
      <c r="A52" s="16" t="s">
        <v>444</v>
      </c>
      <c r="B52" s="16" t="s">
        <v>445</v>
      </c>
      <c r="E52" s="18" t="s">
        <v>376</v>
      </c>
      <c r="F52" s="39" t="s">
        <v>143</v>
      </c>
    </row>
    <row r="53" spans="1:9" x14ac:dyDescent="0.25">
      <c r="A53" s="16" t="s">
        <v>352</v>
      </c>
      <c r="B53" s="16" t="s">
        <v>253</v>
      </c>
      <c r="E53" s="18" t="s">
        <v>377</v>
      </c>
      <c r="F53" s="39" t="s">
        <v>144</v>
      </c>
    </row>
    <row r="54" spans="1:9" x14ac:dyDescent="0.25">
      <c r="A54" s="16" t="s">
        <v>168</v>
      </c>
      <c r="B54" s="16" t="s">
        <v>254</v>
      </c>
      <c r="E54" s="18" t="s">
        <v>386</v>
      </c>
      <c r="F54" s="39" t="s">
        <v>156</v>
      </c>
    </row>
    <row r="55" spans="1:9" x14ac:dyDescent="0.25">
      <c r="A55" s="16" t="s">
        <v>255</v>
      </c>
      <c r="B55" s="16" t="s">
        <v>32</v>
      </c>
      <c r="E55" s="18" t="s">
        <v>378</v>
      </c>
      <c r="F55" s="39" t="s">
        <v>145</v>
      </c>
      <c r="I55" s="37"/>
    </row>
    <row r="56" spans="1:9" x14ac:dyDescent="0.25">
      <c r="A56" s="16" t="s">
        <v>256</v>
      </c>
      <c r="B56" s="16" t="s">
        <v>33</v>
      </c>
      <c r="E56" s="18" t="s">
        <v>379</v>
      </c>
      <c r="F56" s="42" t="s">
        <v>219</v>
      </c>
    </row>
    <row r="57" spans="1:9" x14ac:dyDescent="0.25">
      <c r="A57" s="16" t="s">
        <v>170</v>
      </c>
      <c r="B57" s="16" t="s">
        <v>95</v>
      </c>
      <c r="E57" s="18" t="s">
        <v>380</v>
      </c>
      <c r="F57" s="39" t="s">
        <v>146</v>
      </c>
    </row>
    <row r="58" spans="1:9" x14ac:dyDescent="0.25">
      <c r="A58" s="16" t="s">
        <v>172</v>
      </c>
      <c r="B58" s="16" t="s">
        <v>97</v>
      </c>
      <c r="E58" s="18" t="s">
        <v>381</v>
      </c>
      <c r="F58" s="39" t="s">
        <v>54</v>
      </c>
    </row>
    <row r="59" spans="1:9" x14ac:dyDescent="0.25">
      <c r="A59" s="16" t="s">
        <v>257</v>
      </c>
      <c r="B59" s="16" t="s">
        <v>258</v>
      </c>
      <c r="E59" s="18" t="s">
        <v>382</v>
      </c>
      <c r="F59" s="39" t="s">
        <v>55</v>
      </c>
    </row>
    <row r="60" spans="1:9" x14ac:dyDescent="0.25">
      <c r="A60" s="16" t="s">
        <v>259</v>
      </c>
      <c r="B60" s="16" t="s">
        <v>260</v>
      </c>
      <c r="E60" s="18" t="s">
        <v>383</v>
      </c>
      <c r="F60" s="39" t="s">
        <v>153</v>
      </c>
    </row>
    <row r="61" spans="1:9" x14ac:dyDescent="0.25">
      <c r="A61" s="16" t="s">
        <v>261</v>
      </c>
      <c r="B61" s="16" t="s">
        <v>262</v>
      </c>
      <c r="E61" s="18" t="s">
        <v>384</v>
      </c>
      <c r="F61" s="39" t="s">
        <v>154</v>
      </c>
    </row>
    <row r="62" spans="1:9" x14ac:dyDescent="0.25">
      <c r="A62" s="16" t="s">
        <v>263</v>
      </c>
      <c r="B62" s="16" t="s">
        <v>264</v>
      </c>
      <c r="E62" s="18" t="s">
        <v>385</v>
      </c>
      <c r="F62" s="39" t="s">
        <v>155</v>
      </c>
    </row>
    <row r="63" spans="1:9" x14ac:dyDescent="0.25">
      <c r="A63" s="16" t="s">
        <v>174</v>
      </c>
      <c r="B63" s="16" t="s">
        <v>265</v>
      </c>
      <c r="E63" s="38" t="s">
        <v>336</v>
      </c>
      <c r="F63" s="39" t="s">
        <v>157</v>
      </c>
    </row>
    <row r="64" spans="1:9" x14ac:dyDescent="0.25">
      <c r="A64" s="16" t="s">
        <v>175</v>
      </c>
      <c r="B64" s="16" t="s">
        <v>266</v>
      </c>
      <c r="E64" s="18" t="s">
        <v>337</v>
      </c>
      <c r="F64" s="39" t="s">
        <v>149</v>
      </c>
    </row>
    <row r="65" spans="1:6" x14ac:dyDescent="0.25">
      <c r="A65" s="16" t="s">
        <v>176</v>
      </c>
      <c r="B65" s="16" t="s">
        <v>267</v>
      </c>
      <c r="E65" s="41" t="s">
        <v>141</v>
      </c>
      <c r="F65" s="40" t="s">
        <v>141</v>
      </c>
    </row>
    <row r="66" spans="1:6" x14ac:dyDescent="0.25">
      <c r="A66" s="16" t="s">
        <v>177</v>
      </c>
      <c r="B66" s="16" t="s">
        <v>268</v>
      </c>
    </row>
    <row r="67" spans="1:6" x14ac:dyDescent="0.25">
      <c r="A67" s="16" t="s">
        <v>178</v>
      </c>
      <c r="B67" s="16" t="s">
        <v>269</v>
      </c>
    </row>
    <row r="68" spans="1:6" x14ac:dyDescent="0.25">
      <c r="A68" s="16" t="s">
        <v>179</v>
      </c>
      <c r="B68" s="16" t="s">
        <v>270</v>
      </c>
    </row>
    <row r="69" spans="1:6" x14ac:dyDescent="0.25">
      <c r="A69" s="16" t="s">
        <v>271</v>
      </c>
      <c r="B69" s="16" t="s">
        <v>272</v>
      </c>
    </row>
    <row r="70" spans="1:6" x14ac:dyDescent="0.25">
      <c r="A70" s="16" t="s">
        <v>353</v>
      </c>
      <c r="B70" s="16" t="s">
        <v>273</v>
      </c>
    </row>
    <row r="71" spans="1:6" x14ac:dyDescent="0.25">
      <c r="A71" s="19" t="s">
        <v>354</v>
      </c>
      <c r="B71" s="19" t="s">
        <v>274</v>
      </c>
    </row>
    <row r="72" spans="1:6" x14ac:dyDescent="0.25">
      <c r="A72" s="19" t="s">
        <v>418</v>
      </c>
      <c r="B72" s="19" t="s">
        <v>420</v>
      </c>
    </row>
    <row r="73" spans="1:6" x14ac:dyDescent="0.25">
      <c r="A73" s="19" t="s">
        <v>419</v>
      </c>
      <c r="B73" s="19" t="s">
        <v>421</v>
      </c>
    </row>
    <row r="74" spans="1:6" x14ac:dyDescent="0.25">
      <c r="A74" s="19" t="s">
        <v>355</v>
      </c>
      <c r="B74" s="19" t="s">
        <v>275</v>
      </c>
    </row>
    <row r="75" spans="1:6" x14ac:dyDescent="0.25">
      <c r="A75" s="19" t="s">
        <v>276</v>
      </c>
      <c r="B75" s="19" t="s">
        <v>47</v>
      </c>
    </row>
    <row r="76" spans="1:6" x14ac:dyDescent="0.25">
      <c r="A76" s="16" t="s">
        <v>182</v>
      </c>
      <c r="B76" s="16" t="s">
        <v>39</v>
      </c>
    </row>
    <row r="77" spans="1:6" x14ac:dyDescent="0.25">
      <c r="A77" s="16" t="s">
        <v>183</v>
      </c>
      <c r="B77" s="16" t="s">
        <v>40</v>
      </c>
    </row>
    <row r="78" spans="1:6" x14ac:dyDescent="0.25">
      <c r="A78" s="16" t="s">
        <v>184</v>
      </c>
      <c r="B78" s="16" t="s">
        <v>41</v>
      </c>
    </row>
    <row r="79" spans="1:6" x14ac:dyDescent="0.25">
      <c r="A79" s="16" t="s">
        <v>185</v>
      </c>
      <c r="B79" s="16" t="s">
        <v>277</v>
      </c>
    </row>
    <row r="80" spans="1:6" x14ac:dyDescent="0.25">
      <c r="A80" s="16" t="s">
        <v>186</v>
      </c>
      <c r="B80" s="16" t="s">
        <v>278</v>
      </c>
    </row>
    <row r="81" spans="1:6" x14ac:dyDescent="0.25">
      <c r="A81" s="16" t="s">
        <v>279</v>
      </c>
      <c r="B81" s="16" t="s">
        <v>42</v>
      </c>
    </row>
    <row r="82" spans="1:6" x14ac:dyDescent="0.25">
      <c r="A82" s="16" t="s">
        <v>195</v>
      </c>
      <c r="B82" s="16" t="s">
        <v>43</v>
      </c>
    </row>
    <row r="83" spans="1:6" x14ac:dyDescent="0.25">
      <c r="A83" s="16" t="s">
        <v>196</v>
      </c>
      <c r="B83" s="16" t="s">
        <v>44</v>
      </c>
    </row>
    <row r="84" spans="1:6" x14ac:dyDescent="0.25">
      <c r="A84" s="16" t="s">
        <v>197</v>
      </c>
      <c r="B84" s="16" t="s">
        <v>45</v>
      </c>
    </row>
    <row r="85" spans="1:6" x14ac:dyDescent="0.25">
      <c r="A85" s="16" t="s">
        <v>198</v>
      </c>
      <c r="B85" s="16" t="s">
        <v>280</v>
      </c>
    </row>
    <row r="86" spans="1:6" x14ac:dyDescent="0.25">
      <c r="A86" s="16" t="s">
        <v>281</v>
      </c>
      <c r="B86" s="16" t="s">
        <v>282</v>
      </c>
    </row>
    <row r="87" spans="1:6" x14ac:dyDescent="0.25">
      <c r="A87" s="16" t="s">
        <v>199</v>
      </c>
      <c r="B87" s="16" t="s">
        <v>46</v>
      </c>
    </row>
    <row r="88" spans="1:6" x14ac:dyDescent="0.25">
      <c r="A88" s="16" t="s">
        <v>200</v>
      </c>
      <c r="B88" s="16" t="s">
        <v>283</v>
      </c>
    </row>
    <row r="89" spans="1:6" x14ac:dyDescent="0.25">
      <c r="A89" s="16" t="s">
        <v>201</v>
      </c>
      <c r="B89" s="16" t="s">
        <v>284</v>
      </c>
    </row>
    <row r="90" spans="1:6" x14ac:dyDescent="0.25">
      <c r="A90" s="16" t="s">
        <v>285</v>
      </c>
      <c r="B90" s="16" t="s">
        <v>286</v>
      </c>
    </row>
    <row r="91" spans="1:6" x14ac:dyDescent="0.25">
      <c r="A91" s="16" t="s">
        <v>287</v>
      </c>
      <c r="B91" s="16" t="s">
        <v>288</v>
      </c>
    </row>
    <row r="92" spans="1:6" x14ac:dyDescent="0.25">
      <c r="A92" s="16" t="s">
        <v>344</v>
      </c>
      <c r="B92" s="16" t="s">
        <v>289</v>
      </c>
    </row>
    <row r="93" spans="1:6" x14ac:dyDescent="0.25">
      <c r="A93" s="19" t="s">
        <v>333</v>
      </c>
      <c r="B93" s="19" t="s">
        <v>290</v>
      </c>
    </row>
    <row r="94" spans="1:6" x14ac:dyDescent="0.25">
      <c r="A94" s="19" t="s">
        <v>334</v>
      </c>
      <c r="B94" s="19" t="s">
        <v>291</v>
      </c>
    </row>
    <row r="95" spans="1:6" x14ac:dyDescent="0.25">
      <c r="A95" s="19" t="s">
        <v>345</v>
      </c>
      <c r="B95" s="19" t="s">
        <v>292</v>
      </c>
    </row>
    <row r="96" spans="1:6" s="3" customFormat="1" x14ac:dyDescent="0.25">
      <c r="A96" s="19" t="s">
        <v>346</v>
      </c>
      <c r="B96" s="19" t="s">
        <v>293</v>
      </c>
      <c r="E96" s="1"/>
      <c r="F96" s="1"/>
    </row>
    <row r="97" spans="1:2" x14ac:dyDescent="0.25">
      <c r="A97" s="19" t="s">
        <v>356</v>
      </c>
      <c r="B97" s="19" t="s">
        <v>294</v>
      </c>
    </row>
    <row r="98" spans="1:2" x14ac:dyDescent="0.25">
      <c r="A98" s="19" t="s">
        <v>357</v>
      </c>
      <c r="B98" s="19" t="s">
        <v>295</v>
      </c>
    </row>
    <row r="99" spans="1:2" x14ac:dyDescent="0.25">
      <c r="A99" s="19" t="s">
        <v>158</v>
      </c>
      <c r="B99" s="19" t="s">
        <v>296</v>
      </c>
    </row>
    <row r="100" spans="1:2" x14ac:dyDescent="0.25">
      <c r="A100" s="19" t="s">
        <v>180</v>
      </c>
      <c r="B100" s="19" t="s">
        <v>297</v>
      </c>
    </row>
    <row r="101" spans="1:2" x14ac:dyDescent="0.25">
      <c r="A101" s="19" t="s">
        <v>181</v>
      </c>
      <c r="B101" s="19" t="s">
        <v>298</v>
      </c>
    </row>
    <row r="102" spans="1:2" x14ac:dyDescent="0.25">
      <c r="A102" s="19" t="s">
        <v>358</v>
      </c>
      <c r="B102" s="19" t="s">
        <v>299</v>
      </c>
    </row>
    <row r="103" spans="1:2" x14ac:dyDescent="0.25">
      <c r="A103" s="19" t="s">
        <v>191</v>
      </c>
      <c r="B103" s="19" t="s">
        <v>300</v>
      </c>
    </row>
    <row r="104" spans="1:2" x14ac:dyDescent="0.25">
      <c r="A104" s="19" t="s">
        <v>192</v>
      </c>
      <c r="B104" s="19" t="s">
        <v>301</v>
      </c>
    </row>
    <row r="105" spans="1:2" x14ac:dyDescent="0.25">
      <c r="A105" s="19" t="s">
        <v>193</v>
      </c>
      <c r="B105" s="19" t="s">
        <v>302</v>
      </c>
    </row>
    <row r="106" spans="1:2" x14ac:dyDescent="0.25">
      <c r="A106" s="19" t="s">
        <v>194</v>
      </c>
      <c r="B106" s="19" t="s">
        <v>303</v>
      </c>
    </row>
    <row r="107" spans="1:2" x14ac:dyDescent="0.25">
      <c r="A107" s="19" t="s">
        <v>304</v>
      </c>
      <c r="B107" s="19" t="s">
        <v>305</v>
      </c>
    </row>
    <row r="108" spans="1:2" x14ac:dyDescent="0.25">
      <c r="A108" s="19" t="s">
        <v>306</v>
      </c>
      <c r="B108" s="19" t="s">
        <v>307</v>
      </c>
    </row>
    <row r="109" spans="1:2" x14ac:dyDescent="0.25">
      <c r="A109" s="19" t="s">
        <v>202</v>
      </c>
      <c r="B109" s="19" t="s">
        <v>308</v>
      </c>
    </row>
    <row r="110" spans="1:2" x14ac:dyDescent="0.25">
      <c r="A110" s="19" t="s">
        <v>203</v>
      </c>
      <c r="B110" s="19" t="s">
        <v>309</v>
      </c>
    </row>
    <row r="111" spans="1:2" x14ac:dyDescent="0.25">
      <c r="A111" s="19" t="s">
        <v>204</v>
      </c>
      <c r="B111" s="19" t="s">
        <v>310</v>
      </c>
    </row>
    <row r="112" spans="1:2" x14ac:dyDescent="0.25">
      <c r="A112" s="19" t="s">
        <v>205</v>
      </c>
      <c r="B112" s="19" t="s">
        <v>311</v>
      </c>
    </row>
    <row r="113" spans="1:2" x14ac:dyDescent="0.25">
      <c r="A113" s="19" t="s">
        <v>312</v>
      </c>
      <c r="B113" s="19" t="s">
        <v>313</v>
      </c>
    </row>
    <row r="114" spans="1:2" x14ac:dyDescent="0.25">
      <c r="A114" s="19" t="s">
        <v>206</v>
      </c>
      <c r="B114" s="19" t="s">
        <v>314</v>
      </c>
    </row>
    <row r="115" spans="1:2" x14ac:dyDescent="0.25">
      <c r="A115" s="19" t="s">
        <v>315</v>
      </c>
      <c r="B115" s="19" t="s">
        <v>316</v>
      </c>
    </row>
    <row r="116" spans="1:2" x14ac:dyDescent="0.25">
      <c r="A116" s="19" t="s">
        <v>317</v>
      </c>
      <c r="B116" s="19" t="s">
        <v>318</v>
      </c>
    </row>
    <row r="117" spans="1:2" x14ac:dyDescent="0.25">
      <c r="A117" s="19" t="s">
        <v>396</v>
      </c>
      <c r="B117" s="43" t="s">
        <v>397</v>
      </c>
    </row>
    <row r="118" spans="1:2" x14ac:dyDescent="0.25">
      <c r="A118" s="19" t="s">
        <v>398</v>
      </c>
      <c r="B118" s="43" t="s">
        <v>399</v>
      </c>
    </row>
    <row r="119" spans="1:2" x14ac:dyDescent="0.25">
      <c r="A119" s="19" t="s">
        <v>400</v>
      </c>
      <c r="B119" s="43" t="s">
        <v>401</v>
      </c>
    </row>
    <row r="120" spans="1:2" x14ac:dyDescent="0.25">
      <c r="A120" s="19" t="s">
        <v>319</v>
      </c>
      <c r="B120" s="19" t="s">
        <v>320</v>
      </c>
    </row>
    <row r="121" spans="1:2" x14ac:dyDescent="0.25">
      <c r="A121" s="19" t="s">
        <v>207</v>
      </c>
      <c r="B121" s="19" t="s">
        <v>321</v>
      </c>
    </row>
    <row r="122" spans="1:2" x14ac:dyDescent="0.25">
      <c r="A122" s="19" t="s">
        <v>211</v>
      </c>
      <c r="B122" s="19" t="s">
        <v>322</v>
      </c>
    </row>
    <row r="123" spans="1:2" x14ac:dyDescent="0.25">
      <c r="A123" s="19" t="s">
        <v>208</v>
      </c>
      <c r="B123" s="19" t="s">
        <v>323</v>
      </c>
    </row>
    <row r="124" spans="1:2" x14ac:dyDescent="0.25">
      <c r="A124" s="19" t="s">
        <v>405</v>
      </c>
      <c r="B124" s="19" t="s">
        <v>407</v>
      </c>
    </row>
    <row r="125" spans="1:2" x14ac:dyDescent="0.25">
      <c r="A125" s="19" t="s">
        <v>406</v>
      </c>
      <c r="B125" s="19" t="s">
        <v>408</v>
      </c>
    </row>
    <row r="126" spans="1:2" x14ac:dyDescent="0.25">
      <c r="A126" s="19" t="s">
        <v>422</v>
      </c>
      <c r="B126" s="43" t="s">
        <v>423</v>
      </c>
    </row>
    <row r="127" spans="1:2" x14ac:dyDescent="0.25">
      <c r="A127" s="19" t="s">
        <v>424</v>
      </c>
      <c r="B127" s="43" t="s">
        <v>425</v>
      </c>
    </row>
    <row r="128" spans="1:2" x14ac:dyDescent="0.25">
      <c r="A128" s="19" t="s">
        <v>426</v>
      </c>
      <c r="B128" s="43" t="s">
        <v>427</v>
      </c>
    </row>
    <row r="129" spans="1:2" x14ac:dyDescent="0.25">
      <c r="A129" s="19" t="s">
        <v>428</v>
      </c>
      <c r="B129" s="43" t="s">
        <v>429</v>
      </c>
    </row>
    <row r="130" spans="1:2" x14ac:dyDescent="0.25">
      <c r="A130" s="19" t="s">
        <v>430</v>
      </c>
      <c r="B130" s="43" t="s">
        <v>431</v>
      </c>
    </row>
    <row r="131" spans="1:2" x14ac:dyDescent="0.25">
      <c r="A131" s="19" t="s">
        <v>432</v>
      </c>
      <c r="B131" s="43" t="s">
        <v>433</v>
      </c>
    </row>
    <row r="132" spans="1:2" x14ac:dyDescent="0.25">
      <c r="A132" s="19" t="s">
        <v>209</v>
      </c>
      <c r="B132" s="19" t="s">
        <v>324</v>
      </c>
    </row>
    <row r="133" spans="1:2" x14ac:dyDescent="0.25">
      <c r="A133" s="19" t="s">
        <v>210</v>
      </c>
      <c r="B133" s="19" t="s">
        <v>325</v>
      </c>
    </row>
    <row r="134" spans="1:2" x14ac:dyDescent="0.25">
      <c r="A134" s="19" t="s">
        <v>409</v>
      </c>
      <c r="B134" s="19" t="s">
        <v>410</v>
      </c>
    </row>
    <row r="135" spans="1:2" x14ac:dyDescent="0.25">
      <c r="A135" s="19" t="s">
        <v>411</v>
      </c>
      <c r="B135" s="19" t="s">
        <v>414</v>
      </c>
    </row>
    <row r="136" spans="1:2" x14ac:dyDescent="0.25">
      <c r="A136" s="19" t="s">
        <v>412</v>
      </c>
      <c r="B136" s="19" t="s">
        <v>413</v>
      </c>
    </row>
    <row r="137" spans="1:2" x14ac:dyDescent="0.25">
      <c r="A137" s="19" t="s">
        <v>402</v>
      </c>
      <c r="B137" s="19" t="s">
        <v>415</v>
      </c>
    </row>
    <row r="138" spans="1:2" x14ac:dyDescent="0.25">
      <c r="A138" s="19" t="s">
        <v>403</v>
      </c>
      <c r="B138" s="19" t="s">
        <v>416</v>
      </c>
    </row>
    <row r="139" spans="1:2" x14ac:dyDescent="0.25">
      <c r="A139" s="19" t="s">
        <v>404</v>
      </c>
      <c r="B139" s="19" t="s">
        <v>417</v>
      </c>
    </row>
    <row r="140" spans="1:2" x14ac:dyDescent="0.25">
      <c r="A140" s="19" t="s">
        <v>326</v>
      </c>
      <c r="B140" s="19" t="s">
        <v>25</v>
      </c>
    </row>
    <row r="141" spans="1:2" x14ac:dyDescent="0.25">
      <c r="A141" s="19" t="s">
        <v>187</v>
      </c>
      <c r="B141" s="19" t="s">
        <v>51</v>
      </c>
    </row>
    <row r="142" spans="1:2" x14ac:dyDescent="0.25">
      <c r="A142" s="19" t="s">
        <v>188</v>
      </c>
      <c r="B142" s="19" t="s">
        <v>48</v>
      </c>
    </row>
    <row r="143" spans="1:2" x14ac:dyDescent="0.25">
      <c r="A143" s="19" t="s">
        <v>189</v>
      </c>
      <c r="B143" s="19" t="s">
        <v>49</v>
      </c>
    </row>
    <row r="144" spans="1:2" x14ac:dyDescent="0.25">
      <c r="A144" s="19" t="s">
        <v>190</v>
      </c>
      <c r="B144" s="19" t="s">
        <v>50</v>
      </c>
    </row>
    <row r="145" spans="1:2" x14ac:dyDescent="0.25">
      <c r="A145" s="19" t="s">
        <v>327</v>
      </c>
      <c r="B145" s="19" t="s">
        <v>328</v>
      </c>
    </row>
    <row r="146" spans="1:2" x14ac:dyDescent="0.25">
      <c r="A146" s="19" t="s">
        <v>329</v>
      </c>
      <c r="B146" s="19" t="s">
        <v>330</v>
      </c>
    </row>
    <row r="147" spans="1:2" x14ac:dyDescent="0.25">
      <c r="A147" s="39" t="s">
        <v>359</v>
      </c>
      <c r="B147" s="39" t="s">
        <v>347</v>
      </c>
    </row>
    <row r="148" spans="1:2" x14ac:dyDescent="0.25">
      <c r="A148" s="19" t="s">
        <v>439</v>
      </c>
      <c r="B148" s="43" t="s">
        <v>440</v>
      </c>
    </row>
    <row r="149" spans="1:2" x14ac:dyDescent="0.25">
      <c r="A149" s="19" t="s">
        <v>441</v>
      </c>
      <c r="B149" s="43" t="s">
        <v>442</v>
      </c>
    </row>
    <row r="150" spans="1:2" x14ac:dyDescent="0.25">
      <c r="A150" s="57" t="s">
        <v>464</v>
      </c>
      <c r="B150" s="58" t="s">
        <v>465</v>
      </c>
    </row>
    <row r="151" spans="1:2" x14ac:dyDescent="0.25">
      <c r="A151" s="57" t="s">
        <v>466</v>
      </c>
      <c r="B151" s="58" t="s">
        <v>467</v>
      </c>
    </row>
    <row r="152" spans="1:2" x14ac:dyDescent="0.25">
      <c r="A152" s="57" t="s">
        <v>468</v>
      </c>
      <c r="B152" s="58" t="s">
        <v>150</v>
      </c>
    </row>
    <row r="153" spans="1:2" x14ac:dyDescent="0.25">
      <c r="A153" s="57" t="s">
        <v>469</v>
      </c>
      <c r="B153" s="58" t="s">
        <v>470</v>
      </c>
    </row>
    <row r="154" spans="1:2" x14ac:dyDescent="0.25">
      <c r="A154" s="57" t="s">
        <v>471</v>
      </c>
      <c r="B154" s="58" t="s">
        <v>472</v>
      </c>
    </row>
    <row r="155" spans="1:2" x14ac:dyDescent="0.25">
      <c r="A155" s="59" t="s">
        <v>473</v>
      </c>
      <c r="B155" s="58" t="s">
        <v>474</v>
      </c>
    </row>
    <row r="156" spans="1:2" x14ac:dyDescent="0.25">
      <c r="A156" s="59" t="s">
        <v>475</v>
      </c>
      <c r="B156" s="58" t="s">
        <v>476</v>
      </c>
    </row>
    <row r="157" spans="1:2" x14ac:dyDescent="0.25">
      <c r="A157" s="59" t="s">
        <v>477</v>
      </c>
      <c r="B157" s="58" t="s">
        <v>478</v>
      </c>
    </row>
    <row r="158" spans="1:2" x14ac:dyDescent="0.25">
      <c r="A158" s="59" t="s">
        <v>479</v>
      </c>
      <c r="B158" s="58" t="s">
        <v>480</v>
      </c>
    </row>
    <row r="159" spans="1:2" x14ac:dyDescent="0.25">
      <c r="A159" s="59" t="s">
        <v>481</v>
      </c>
      <c r="B159" s="58" t="s">
        <v>452</v>
      </c>
    </row>
    <row r="160" spans="1:2" x14ac:dyDescent="0.25">
      <c r="A160" s="59" t="s">
        <v>482</v>
      </c>
      <c r="B160" s="60" t="s">
        <v>453</v>
      </c>
    </row>
    <row r="161" spans="1:2" x14ac:dyDescent="0.25">
      <c r="A161" s="59" t="s">
        <v>483</v>
      </c>
      <c r="B161" s="58" t="s">
        <v>454</v>
      </c>
    </row>
    <row r="162" spans="1:2" x14ac:dyDescent="0.25">
      <c r="A162" s="19" t="s">
        <v>331</v>
      </c>
      <c r="B162" s="19" t="s">
        <v>331</v>
      </c>
    </row>
  </sheetData>
  <phoneticPr fontId="8"/>
  <pageMargins left="0.39370078740157477" right="0.39370078740157477" top="0.39370078740157477" bottom="0.39370078740157477" header="0.11811023622047243" footer="0.11811023622047243"/>
  <pageSetup paperSize="9" scale="60" orientation="portrait" horizontalDpi="300" verticalDpi="300" r:id="rId1"/>
  <headerFooter alignWithMargins="0">
    <oddHeader>&amp;C&amp;9表A-7 対応表</oddHeader>
    <oddFooter>&amp;C&amp;9&amp;P/&amp;N-1&amp;L&amp;9I.I IOT Device Functions&amp;R&amp;9DDF-IOT-Sepang-APX-K1.11.3.xls</oddFooter>
  </headerFooter>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CE0DF8E17E6CCB4D97DFBD9925610EF7" ma:contentTypeVersion="2" ma:contentTypeDescription="新しいドキュメントを作成します。" ma:contentTypeScope="" ma:versionID="5ca758d6117d6b5cd3406b5ac1657032">
  <xsd:schema xmlns:xsd="http://www.w3.org/2001/XMLSchema" xmlns:xs="http://www.w3.org/2001/XMLSchema" xmlns:p="http://schemas.microsoft.com/office/2006/metadata/properties" xmlns:ns3="8ea9e7e1-b47a-457e-be3e-05dd7f6a735f" targetNamespace="http://schemas.microsoft.com/office/2006/metadata/properties" ma:root="true" ma:fieldsID="b00797bc369955121372556ad5e03c6c" ns3:_="">
    <xsd:import namespace="8ea9e7e1-b47a-457e-be3e-05dd7f6a735f"/>
    <xsd:element name="properties">
      <xsd:complexType>
        <xsd:sequence>
          <xsd:element name="documentManagement">
            <xsd:complexType>
              <xsd:all>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ea9e7e1-b47a-457e-be3e-05dd7f6a735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A5E3234-39B8-43F9-A269-F2C78E03ABB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ea9e7e1-b47a-457e-be3e-05dd7f6a735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FAB54B8-8936-48DD-9F4F-53767C4E7530}">
  <ds:schemaRefs>
    <ds:schemaRef ds:uri="http://schemas.microsoft.com/sharepoint/v3/contenttype/forms"/>
  </ds:schemaRefs>
</ds:datastoreItem>
</file>

<file path=customXml/itemProps3.xml><?xml version="1.0" encoding="utf-8"?>
<ds:datastoreItem xmlns:ds="http://schemas.openxmlformats.org/officeDocument/2006/customXml" ds:itemID="{E454B1D2-DE79-44C0-8B45-E48C7E9FC007}">
  <ds:schemaRefs>
    <ds:schemaRef ds:uri="http://schemas.microsoft.com/office/2006/documentManagement/types"/>
    <ds:schemaRef ds:uri="http://www.w3.org/XML/1998/namespace"/>
    <ds:schemaRef ds:uri="http://schemas.microsoft.com/office/infopath/2007/PartnerControls"/>
    <ds:schemaRef ds:uri="http://purl.org/dc/elements/1.1/"/>
    <ds:schemaRef ds:uri="8ea9e7e1-b47a-457e-be3e-05dd7f6a735f"/>
    <ds:schemaRef ds:uri="http://schemas.microsoft.com/office/2006/metadata/properties"/>
    <ds:schemaRef ds:uri="http://purl.org/dc/terms/"/>
    <ds:schemaRef ds:uri="http://schemas.openxmlformats.org/package/2006/metadata/core-properties"/>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15</vt:i4>
      </vt:variant>
      <vt:variant>
        <vt:lpstr>名前付き一覧</vt:lpstr>
      </vt:variant>
      <vt:variant>
        <vt:i4>5</vt:i4>
      </vt:variant>
    </vt:vector>
  </HeadingPairs>
  <TitlesOfParts>
    <vt:vector size="20" baseType="lpstr">
      <vt:lpstr>表紙</vt:lpstr>
      <vt:lpstr>目次</vt:lpstr>
      <vt:lpstr>2.1.	IOTの種類</vt:lpstr>
      <vt:lpstr>2.2.2. 標準構成とオプション(1)</vt:lpstr>
      <vt:lpstr>2.2.2. 標準構成とオプション(2)</vt:lpstr>
      <vt:lpstr>2.2.3. トレイおよびオプション装着検知</vt:lpstr>
      <vt:lpstr>2.2.4. オプションの故障と機能制限</vt:lpstr>
      <vt:lpstr>2.5 機能一覧</vt:lpstr>
      <vt:lpstr>3.4.1. 排出先指定</vt:lpstr>
      <vt:lpstr>3.4.4. Staple指定</vt:lpstr>
      <vt:lpstr>3.4.8. 中綴じ指定</vt:lpstr>
      <vt:lpstr>3.6.4. 用紙トレイの状態</vt:lpstr>
      <vt:lpstr> 3.6.5. 排出トレイ、出力装置の状態</vt:lpstr>
      <vt:lpstr>変更履歴</vt:lpstr>
      <vt:lpstr>対応表</vt:lpstr>
      <vt:lpstr>表紙!Print_Area</vt:lpstr>
      <vt:lpstr>対応表サイズ範囲</vt:lpstr>
      <vt:lpstr>対応表紙質範囲</vt:lpstr>
      <vt:lpstr>対応表方向範囲</vt:lpstr>
      <vt:lpstr>変更履歴bgn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fxat MATSUSHITA KYOKO</dc:creator>
  <cp:lastModifiedBy>fx NOMURA HIDEKI</cp:lastModifiedBy>
  <cp:lastPrinted>2014-07-01T06:06:02Z</cp:lastPrinted>
  <dcterms:created xsi:type="dcterms:W3CDTF">1997-01-08T22:48:59Z</dcterms:created>
  <dcterms:modified xsi:type="dcterms:W3CDTF">2020-03-17T12:03:14Z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0x010100CE0DF8E17E6CCB4D97DFBD9925610EF7</vt:lpwstr>
  </property>
</Properties>
</file>