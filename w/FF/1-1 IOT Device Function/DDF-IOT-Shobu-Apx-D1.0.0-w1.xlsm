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X:\nomura_work\IOTFF\shoubu\"/>
    </mc:Choice>
  </mc:AlternateContent>
  <xr:revisionPtr revIDLastSave="0" documentId="13_ncr:1_{01323E0A-DC5D-42CE-90BE-BD573660810E}" xr6:coauthVersionLast="36" xr6:coauthVersionMax="36" xr10:uidLastSave="{00000000-0000-0000-0000-000000000000}"/>
  <bookViews>
    <workbookView xWindow="0" yWindow="0" windowWidth="28800" windowHeight="13695" tabRatio="550" firstSheet="3" activeTab="5" xr2:uid="{00000000-000D-0000-FFFF-FFFF00000000}"/>
  </bookViews>
  <sheets>
    <sheet name="表紙" sheetId="1" r:id="rId1"/>
    <sheet name="用紙サイズ" sheetId="2" r:id="rId2"/>
    <sheet name="用紙種類" sheetId="3" r:id="rId3"/>
    <sheet name="画質制御分類" sheetId="18" r:id="rId4"/>
    <sheet name="用紙種類優先順位" sheetId="20" r:id="rId5"/>
    <sheet name="排出先機能" sheetId="13" r:id="rId6"/>
    <sheet name="坪量クラス分類" sheetId="22" r:id="rId7"/>
    <sheet name="変更履歴" sheetId="7" r:id="rId8"/>
    <sheet name="対応表" sheetId="19" state="hidden" r:id="rId9"/>
  </sheets>
  <functionGroups builtInGroupCount="19"/>
  <definedNames>
    <definedName name="_xlnm._FilterDatabase" localSheetId="3" hidden="1">画質制御分類!$A$1:$BK$115</definedName>
    <definedName name="_xlnm._FilterDatabase" localSheetId="1" hidden="1">用紙サイズ!$B$1:$B$90</definedName>
    <definedName name="_xlnm._FilterDatabase" localSheetId="2" hidden="1">用紙種類!$A$1:$BY$125</definedName>
    <definedName name="_xlnm._FilterDatabase" localSheetId="4" hidden="1">用紙種類優先順位!$A$1:$S$115</definedName>
    <definedName name="_xlnm.Print_Area" localSheetId="3">画質制御分類!$A$1:$BK$115</definedName>
    <definedName name="_xlnm.Print_Area" localSheetId="5">排出先機能!$A$1:$L$22</definedName>
    <definedName name="_xlnm.Print_Area" localSheetId="0">表紙!$A$1:$C$57</definedName>
    <definedName name="_xlnm.Print_Area" localSheetId="1">用紙サイズ!$A$1:$CM$88</definedName>
    <definedName name="_xlnm.Print_Area" localSheetId="2">用紙種類!$B$1:$BO$125</definedName>
    <definedName name="_xlnm.Print_Area" localSheetId="4">用紙種類優先順位!$A$1:$S$115</definedName>
    <definedName name="_xlnm.Print_Titles" localSheetId="3">画質制御分類!$A:$A,画質制御分類!$1:$3</definedName>
    <definedName name="_xlnm.Print_Titles" localSheetId="1">用紙サイズ!$B:$E,用紙サイズ!$1:$3</definedName>
    <definedName name="_xlnm.Print_Titles" localSheetId="2">用紙種類!$B:$E,用紙種類!$1:$4</definedName>
    <definedName name="_xlnm.Print_Titles" localSheetId="4">用紙種類優先順位!$A:$A,用紙種類優先順位!$1:$3</definedName>
    <definedName name="紙質bgn">用紙種類!$F$5</definedName>
    <definedName name="紙質cls">用紙種類!$A$5</definedName>
    <definedName name="紙質nam">用紙種類!$B$5</definedName>
    <definedName name="紙質sym">用紙種類!$F$4</definedName>
    <definedName name="制御分類bgn">画質制御分類!$D$4</definedName>
    <definedName name="制御分類img">画質制御分類!$D$2</definedName>
    <definedName name="制御分類nam">画質制御分類!$A$4</definedName>
    <definedName name="制御分類変更可否bgn">画質制御分類!$C$4</definedName>
    <definedName name="対応表サイズ範囲">対応表!$E$2:$E$62</definedName>
    <definedName name="対応表紙質範囲">対応表!$A$2:$A$119</definedName>
    <definedName name="対応表方向範囲">対応表!$H$2:$H$3</definedName>
    <definedName name="坪量クラス行">坪量クラス分類!$A$3</definedName>
    <definedName name="坪量クラス表中身">坪量クラス分類!$B$3</definedName>
    <definedName name="坪量クラス列">坪量クラス分類!$B$1</definedName>
    <definedName name="定型bgn">用紙サイズ!$F$5</definedName>
    <definedName name="定型cls">用紙サイズ!$A$5</definedName>
    <definedName name="定型dir">用紙サイズ!$E$5</definedName>
    <definedName name="定型nam">用紙サイズ!$B$5</definedName>
    <definedName name="定型sym">用紙サイズ!$F$4</definedName>
    <definedName name="変更履歴bgn">変更履歴!#REF!</definedName>
    <definedName name="優先順位bgn">用紙種類優先順位!$D$4</definedName>
    <definedName name="優先順位nam">用紙種類優先順位!$A$4</definedName>
    <definedName name="優先順位sym">用紙種類優先順位!$D$3</definedName>
  </definedNames>
  <calcPr calcId="191029" calcMode="manual"/>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O9" i="3" l="1"/>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O53" i="3"/>
  <c r="AO54" i="3"/>
  <c r="AO55" i="3"/>
  <c r="AO56" i="3"/>
  <c r="AO57" i="3"/>
  <c r="AO58" i="3"/>
  <c r="AO64" i="3"/>
  <c r="AO65" i="3"/>
  <c r="AO66" i="3"/>
  <c r="AO67" i="3"/>
  <c r="AO68" i="3"/>
  <c r="AO69" i="3"/>
  <c r="AO70" i="3"/>
  <c r="AO71" i="3"/>
  <c r="AO72" i="3"/>
  <c r="AO73" i="3"/>
  <c r="AO74" i="3"/>
  <c r="AO75" i="3"/>
  <c r="AO76" i="3"/>
  <c r="AO77" i="3"/>
  <c r="AO78" i="3"/>
  <c r="AO79" i="3"/>
  <c r="AO80" i="3"/>
  <c r="AO81" i="3"/>
  <c r="AO82" i="3"/>
  <c r="AO83" i="3"/>
  <c r="AO84" i="3"/>
  <c r="AO85" i="3"/>
  <c r="AO86" i="3"/>
  <c r="AO87" i="3"/>
  <c r="AO88" i="3"/>
  <c r="AO89" i="3"/>
  <c r="AO90" i="3"/>
  <c r="AO91" i="3"/>
  <c r="AO92" i="3"/>
  <c r="AO93" i="3"/>
  <c r="AO94" i="3"/>
  <c r="AO95" i="3"/>
  <c r="AO96" i="3"/>
  <c r="AO97" i="3"/>
  <c r="AO98" i="3"/>
  <c r="AO99" i="3"/>
  <c r="AO100" i="3"/>
  <c r="AO101" i="3"/>
  <c r="AO102" i="3"/>
  <c r="AO106" i="3"/>
  <c r="AO107" i="3"/>
  <c r="AO108" i="3"/>
  <c r="AO109" i="3"/>
  <c r="AO110" i="3"/>
  <c r="AO111" i="3"/>
  <c r="AO112" i="3"/>
  <c r="AO113" i="3"/>
  <c r="AO114" i="3"/>
  <c r="AO115" i="3"/>
  <c r="AO116" i="3"/>
  <c r="AO117" i="3"/>
  <c r="AO118" i="3"/>
  <c r="AO119" i="3"/>
  <c r="AO120" i="3"/>
  <c r="AO121" i="3"/>
  <c r="AO122" i="3"/>
  <c r="AO123" i="3"/>
  <c r="AO124" i="3"/>
  <c r="AU107" i="3" l="1"/>
  <c r="AU108" i="3"/>
  <c r="AU109" i="3"/>
  <c r="AU110" i="3"/>
  <c r="AU111" i="3"/>
  <c r="AU112" i="3"/>
  <c r="AU106" i="3"/>
  <c r="BC7" i="3" l="1"/>
  <c r="BC8" i="3"/>
  <c r="BC9" i="3"/>
  <c r="BC11" i="3"/>
  <c r="BC13" i="3"/>
  <c r="BC17" i="3"/>
  <c r="BC19" i="3"/>
  <c r="BC20" i="3"/>
  <c r="BC21" i="3"/>
  <c r="BC23" i="3"/>
  <c r="BC25" i="3"/>
  <c r="BC29" i="3"/>
  <c r="BC31" i="3"/>
  <c r="BC32" i="3"/>
  <c r="BC33" i="3"/>
  <c r="BC35" i="3"/>
  <c r="BC37" i="3"/>
  <c r="BC41" i="3"/>
  <c r="BC43" i="3"/>
  <c r="BC44" i="3"/>
  <c r="BC45" i="3"/>
  <c r="BC47" i="3"/>
  <c r="BC49" i="3"/>
  <c r="BB53" i="3"/>
  <c r="BC53" i="3"/>
  <c r="BC55" i="3"/>
  <c r="BC56" i="3"/>
  <c r="BC57" i="3"/>
  <c r="BC65" i="3"/>
  <c r="BC67" i="3"/>
  <c r="BC68" i="3"/>
  <c r="BC69" i="3"/>
  <c r="BC71" i="3"/>
  <c r="BC73" i="3"/>
  <c r="BC77" i="3"/>
  <c r="BC79" i="3"/>
  <c r="BC80" i="3"/>
  <c r="BC81" i="3"/>
  <c r="BC83" i="3"/>
  <c r="BC85" i="3"/>
  <c r="BC89" i="3"/>
  <c r="BC91" i="3"/>
  <c r="BC92" i="3"/>
  <c r="BB93" i="3"/>
  <c r="BC93" i="3"/>
  <c r="BC95" i="3"/>
  <c r="BC97" i="3"/>
  <c r="BC101" i="3"/>
  <c r="BC106" i="3"/>
  <c r="BC107" i="3"/>
  <c r="BC108" i="3"/>
  <c r="BC112" i="3"/>
  <c r="BC116" i="3"/>
  <c r="BC118" i="3"/>
  <c r="BC119" i="3"/>
  <c r="BC120" i="3"/>
  <c r="BC124" i="3"/>
  <c r="BN95" i="3"/>
  <c r="BN96" i="3"/>
  <c r="BN97" i="3"/>
  <c r="BN98" i="3"/>
  <c r="BL9" i="3"/>
  <c r="BB9" i="3" s="1"/>
  <c r="BL10" i="3"/>
  <c r="BL11" i="3"/>
  <c r="BL12" i="3"/>
  <c r="BC12" i="3" s="1"/>
  <c r="BL13" i="3"/>
  <c r="BL14" i="3"/>
  <c r="BL15" i="3"/>
  <c r="BL16" i="3"/>
  <c r="BL17" i="3"/>
  <c r="BL18" i="3"/>
  <c r="BL19" i="3"/>
  <c r="BL20" i="3"/>
  <c r="BL21" i="3"/>
  <c r="BB21" i="3" s="1"/>
  <c r="BL22" i="3"/>
  <c r="BL23" i="3"/>
  <c r="BL24" i="3"/>
  <c r="BC24" i="3" s="1"/>
  <c r="BL25" i="3"/>
  <c r="BL26" i="3"/>
  <c r="BL27" i="3"/>
  <c r="BL28" i="3"/>
  <c r="BL29" i="3"/>
  <c r="BL30" i="3"/>
  <c r="BL31" i="3"/>
  <c r="BL32" i="3"/>
  <c r="BL33" i="3"/>
  <c r="BB33" i="3" s="1"/>
  <c r="BL34" i="3"/>
  <c r="BL35" i="3"/>
  <c r="BL36" i="3"/>
  <c r="BL37" i="3"/>
  <c r="BL38" i="3"/>
  <c r="BL39" i="3"/>
  <c r="BL40" i="3"/>
  <c r="BL41" i="3"/>
  <c r="BL42" i="3"/>
  <c r="BL43" i="3"/>
  <c r="BL44" i="3"/>
  <c r="BL45" i="3"/>
  <c r="BL46" i="3"/>
  <c r="BL47" i="3"/>
  <c r="BL48" i="3"/>
  <c r="BC48" i="3" s="1"/>
  <c r="BL49" i="3"/>
  <c r="BL50" i="3"/>
  <c r="BL51" i="3"/>
  <c r="BL52" i="3"/>
  <c r="BL53" i="3"/>
  <c r="BL54" i="3"/>
  <c r="BL55" i="3"/>
  <c r="BL56" i="3"/>
  <c r="BL57" i="3"/>
  <c r="BB57" i="3" s="1"/>
  <c r="BL58" i="3"/>
  <c r="BL64" i="3"/>
  <c r="BL65" i="3"/>
  <c r="BL66" i="3"/>
  <c r="BL67" i="3"/>
  <c r="BL68" i="3"/>
  <c r="BL69" i="3"/>
  <c r="BB69" i="3" s="1"/>
  <c r="BL70" i="3"/>
  <c r="BL71" i="3"/>
  <c r="BL72" i="3"/>
  <c r="BC72" i="3" s="1"/>
  <c r="BL73" i="3"/>
  <c r="BL74" i="3"/>
  <c r="BL75" i="3"/>
  <c r="BL76" i="3"/>
  <c r="BL77" i="3"/>
  <c r="BL78" i="3"/>
  <c r="BL79" i="3"/>
  <c r="BL80" i="3"/>
  <c r="BL81" i="3"/>
  <c r="BB81" i="3" s="1"/>
  <c r="BL82" i="3"/>
  <c r="BL83" i="3"/>
  <c r="BL84" i="3"/>
  <c r="BC84" i="3" s="1"/>
  <c r="BL85" i="3"/>
  <c r="BL86" i="3"/>
  <c r="BL87" i="3"/>
  <c r="BL88" i="3"/>
  <c r="BL89" i="3"/>
  <c r="BL90" i="3"/>
  <c r="BL91" i="3"/>
  <c r="BL92" i="3"/>
  <c r="BL93" i="3"/>
  <c r="BL94" i="3"/>
  <c r="BL95" i="3"/>
  <c r="BL96" i="3"/>
  <c r="BC96" i="3" s="1"/>
  <c r="BL97" i="3"/>
  <c r="BL98" i="3"/>
  <c r="BL99" i="3"/>
  <c r="BL100" i="3"/>
  <c r="BL101" i="3"/>
  <c r="BL102" i="3"/>
  <c r="BL106" i="3"/>
  <c r="BL107" i="3"/>
  <c r="BL108" i="3"/>
  <c r="BB108" i="3" s="1"/>
  <c r="BL109" i="3"/>
  <c r="BL110" i="3"/>
  <c r="BC110" i="3" s="1"/>
  <c r="BL111" i="3"/>
  <c r="BC111" i="3" s="1"/>
  <c r="BL112" i="3"/>
  <c r="BL113" i="3"/>
  <c r="BL114" i="3"/>
  <c r="BL115" i="3"/>
  <c r="BL116" i="3"/>
  <c r="BL117" i="3"/>
  <c r="BL118" i="3"/>
  <c r="BL119" i="3"/>
  <c r="BL120" i="3"/>
  <c r="BB120" i="3" s="1"/>
  <c r="BL121" i="3"/>
  <c r="BL122" i="3"/>
  <c r="BC122" i="3" s="1"/>
  <c r="BL123" i="3"/>
  <c r="BC123" i="3" s="1"/>
  <c r="BL124" i="3"/>
  <c r="BL8" i="3"/>
  <c r="BL6" i="3"/>
  <c r="BL5" i="3"/>
  <c r="BK9" i="3"/>
  <c r="BK10" i="3"/>
  <c r="BC10" i="3" s="1"/>
  <c r="BK11" i="3"/>
  <c r="BK12" i="3"/>
  <c r="BK13" i="3"/>
  <c r="BB13" i="3" s="1"/>
  <c r="BK14" i="3"/>
  <c r="BC14" i="3" s="1"/>
  <c r="BK15" i="3"/>
  <c r="BC15" i="3" s="1"/>
  <c r="BK16" i="3"/>
  <c r="BC16" i="3" s="1"/>
  <c r="BK17" i="3"/>
  <c r="BK18" i="3"/>
  <c r="BC18" i="3" s="1"/>
  <c r="BK19" i="3"/>
  <c r="BK20" i="3"/>
  <c r="BK21" i="3"/>
  <c r="BK22" i="3"/>
  <c r="BC22" i="3" s="1"/>
  <c r="BK23" i="3"/>
  <c r="BK24" i="3"/>
  <c r="BK25" i="3"/>
  <c r="BB25" i="3" s="1"/>
  <c r="BK26" i="3"/>
  <c r="BC26" i="3" s="1"/>
  <c r="BK27" i="3"/>
  <c r="BC27" i="3" s="1"/>
  <c r="BK28" i="3"/>
  <c r="BC28" i="3" s="1"/>
  <c r="BK29" i="3"/>
  <c r="BK30" i="3"/>
  <c r="BC30" i="3" s="1"/>
  <c r="BK31" i="3"/>
  <c r="BK32" i="3"/>
  <c r="BK33" i="3"/>
  <c r="BK34" i="3"/>
  <c r="BC34" i="3" s="1"/>
  <c r="BK35" i="3"/>
  <c r="BK37" i="3"/>
  <c r="BB37" i="3" s="1"/>
  <c r="BK38" i="3"/>
  <c r="BC38" i="3" s="1"/>
  <c r="BK39" i="3"/>
  <c r="BC39" i="3" s="1"/>
  <c r="BK40" i="3"/>
  <c r="BC40" i="3" s="1"/>
  <c r="BK41" i="3"/>
  <c r="BK42" i="3"/>
  <c r="BC42" i="3" s="1"/>
  <c r="BK43" i="3"/>
  <c r="BK44" i="3"/>
  <c r="BK45" i="3"/>
  <c r="BK46" i="3"/>
  <c r="BC46" i="3" s="1"/>
  <c r="BK47" i="3"/>
  <c r="BK48" i="3"/>
  <c r="BK49" i="3"/>
  <c r="BK50" i="3"/>
  <c r="BC50" i="3" s="1"/>
  <c r="BK51" i="3"/>
  <c r="BC51" i="3" s="1"/>
  <c r="BK52" i="3"/>
  <c r="BC52" i="3" s="1"/>
  <c r="BK53" i="3"/>
  <c r="BK54" i="3"/>
  <c r="BC54" i="3" s="1"/>
  <c r="BK55" i="3"/>
  <c r="BK56" i="3"/>
  <c r="BK57" i="3"/>
  <c r="BK58" i="3"/>
  <c r="BC58" i="3" s="1"/>
  <c r="BK59" i="3"/>
  <c r="BK60" i="3"/>
  <c r="BK61" i="3"/>
  <c r="BK62" i="3"/>
  <c r="BK63" i="3"/>
  <c r="BK64" i="3"/>
  <c r="BC64" i="3" s="1"/>
  <c r="BK65" i="3"/>
  <c r="BK66" i="3"/>
  <c r="BC66" i="3" s="1"/>
  <c r="BK67" i="3"/>
  <c r="BK68" i="3"/>
  <c r="BK69" i="3"/>
  <c r="BK70" i="3"/>
  <c r="BC70" i="3" s="1"/>
  <c r="BK71" i="3"/>
  <c r="BK72" i="3"/>
  <c r="BK73" i="3"/>
  <c r="BB73" i="3" s="1"/>
  <c r="BK74" i="3"/>
  <c r="BC74" i="3" s="1"/>
  <c r="BK75" i="3"/>
  <c r="BC75" i="3" s="1"/>
  <c r="BK76" i="3"/>
  <c r="BC76" i="3" s="1"/>
  <c r="BK77" i="3"/>
  <c r="BK78" i="3"/>
  <c r="BC78" i="3" s="1"/>
  <c r="BK79" i="3"/>
  <c r="BK80" i="3"/>
  <c r="BK81" i="3"/>
  <c r="BK82" i="3"/>
  <c r="BC82" i="3" s="1"/>
  <c r="BK83" i="3"/>
  <c r="BK84" i="3"/>
  <c r="BK85" i="3"/>
  <c r="BB85" i="3" s="1"/>
  <c r="BK86" i="3"/>
  <c r="BC86" i="3" s="1"/>
  <c r="BK87" i="3"/>
  <c r="BC87" i="3" s="1"/>
  <c r="BK88" i="3"/>
  <c r="BC88" i="3" s="1"/>
  <c r="BK89" i="3"/>
  <c r="BK90" i="3"/>
  <c r="BC90" i="3" s="1"/>
  <c r="BK91" i="3"/>
  <c r="BK92" i="3"/>
  <c r="BK93" i="3"/>
  <c r="BK94" i="3"/>
  <c r="BC94" i="3" s="1"/>
  <c r="BK95" i="3"/>
  <c r="BK96" i="3"/>
  <c r="BK97" i="3"/>
  <c r="BB97" i="3" s="1"/>
  <c r="BK98" i="3"/>
  <c r="BC98" i="3" s="1"/>
  <c r="BK99" i="3"/>
  <c r="BC99" i="3" s="1"/>
  <c r="BK100" i="3"/>
  <c r="BC100" i="3" s="1"/>
  <c r="BK101" i="3"/>
  <c r="BK102" i="3"/>
  <c r="BC102" i="3" s="1"/>
  <c r="BK106" i="3"/>
  <c r="BK107" i="3"/>
  <c r="BK108" i="3"/>
  <c r="BK109" i="3"/>
  <c r="BC109" i="3" s="1"/>
  <c r="BK110" i="3"/>
  <c r="BK111" i="3"/>
  <c r="BK112" i="3"/>
  <c r="BB112" i="3" s="1"/>
  <c r="BK113" i="3"/>
  <c r="BC113" i="3" s="1"/>
  <c r="BK114" i="3"/>
  <c r="BC114" i="3" s="1"/>
  <c r="BK115" i="3"/>
  <c r="BC115" i="3" s="1"/>
  <c r="BK116" i="3"/>
  <c r="BK117" i="3"/>
  <c r="BC117" i="3" s="1"/>
  <c r="BK118" i="3"/>
  <c r="BK119" i="3"/>
  <c r="BK120" i="3"/>
  <c r="BK121" i="3"/>
  <c r="BC121" i="3" s="1"/>
  <c r="BK122" i="3"/>
  <c r="BK123" i="3"/>
  <c r="BK124" i="3"/>
  <c r="BB124" i="3" s="1"/>
  <c r="BK8" i="3"/>
  <c r="BK6" i="3"/>
  <c r="BC6" i="3" s="1"/>
  <c r="BK5" i="3"/>
  <c r="BC5" i="3" s="1"/>
  <c r="BJ9" i="3"/>
  <c r="BJ10" i="3"/>
  <c r="BJ11" i="3"/>
  <c r="BJ12" i="3"/>
  <c r="BJ13" i="3"/>
  <c r="BJ14" i="3"/>
  <c r="BJ15" i="3"/>
  <c r="BJ16" i="3"/>
  <c r="BJ17" i="3"/>
  <c r="BJ18" i="3"/>
  <c r="BJ19" i="3"/>
  <c r="BJ20" i="3"/>
  <c r="BJ21" i="3"/>
  <c r="BJ22" i="3"/>
  <c r="BJ23" i="3"/>
  <c r="BJ24" i="3"/>
  <c r="BJ25" i="3"/>
  <c r="BJ26" i="3"/>
  <c r="BJ27" i="3"/>
  <c r="BJ28" i="3"/>
  <c r="BJ29" i="3"/>
  <c r="BJ30" i="3"/>
  <c r="BJ31" i="3"/>
  <c r="BJ32" i="3"/>
  <c r="BJ33" i="3"/>
  <c r="BJ34" i="3"/>
  <c r="BJ35" i="3"/>
  <c r="BJ36" i="3"/>
  <c r="BJ37" i="3"/>
  <c r="BJ38" i="3"/>
  <c r="BJ39" i="3"/>
  <c r="BJ40" i="3"/>
  <c r="BJ41" i="3"/>
  <c r="BJ42" i="3"/>
  <c r="BJ43" i="3"/>
  <c r="BJ44" i="3"/>
  <c r="BJ45" i="3"/>
  <c r="BJ46" i="3"/>
  <c r="BJ47" i="3"/>
  <c r="BJ48" i="3"/>
  <c r="BJ49" i="3"/>
  <c r="BJ50" i="3"/>
  <c r="BJ51" i="3"/>
  <c r="BJ52" i="3"/>
  <c r="BJ53" i="3"/>
  <c r="BJ54" i="3"/>
  <c r="BJ55" i="3"/>
  <c r="BJ56" i="3"/>
  <c r="BJ57" i="3"/>
  <c r="BJ58" i="3"/>
  <c r="BJ59" i="3"/>
  <c r="BJ60" i="3"/>
  <c r="BJ61" i="3"/>
  <c r="BJ62" i="3"/>
  <c r="BJ63" i="3"/>
  <c r="BJ64" i="3"/>
  <c r="BJ65" i="3"/>
  <c r="BJ66" i="3"/>
  <c r="BJ67" i="3"/>
  <c r="BJ68" i="3"/>
  <c r="BJ69" i="3"/>
  <c r="BJ70" i="3"/>
  <c r="BJ71" i="3"/>
  <c r="BJ72" i="3"/>
  <c r="BJ73" i="3"/>
  <c r="BJ74" i="3"/>
  <c r="BJ75" i="3"/>
  <c r="BJ76" i="3"/>
  <c r="BJ77" i="3"/>
  <c r="BJ78" i="3"/>
  <c r="BJ79" i="3"/>
  <c r="BJ80" i="3"/>
  <c r="BJ81" i="3"/>
  <c r="BJ82" i="3"/>
  <c r="BJ83" i="3"/>
  <c r="BJ84" i="3"/>
  <c r="BJ85" i="3"/>
  <c r="BJ86" i="3"/>
  <c r="BJ87" i="3"/>
  <c r="BJ88" i="3"/>
  <c r="BJ89" i="3"/>
  <c r="BJ90" i="3"/>
  <c r="BJ91" i="3"/>
  <c r="BJ92" i="3"/>
  <c r="BJ93" i="3"/>
  <c r="BJ94" i="3"/>
  <c r="BJ95" i="3"/>
  <c r="BJ96" i="3"/>
  <c r="BJ97" i="3"/>
  <c r="BJ98" i="3"/>
  <c r="BJ99" i="3"/>
  <c r="BJ100" i="3"/>
  <c r="BJ101" i="3"/>
  <c r="BJ102" i="3"/>
  <c r="BJ103" i="3"/>
  <c r="BJ104" i="3"/>
  <c r="BJ105" i="3"/>
  <c r="BJ106" i="3"/>
  <c r="BJ107" i="3"/>
  <c r="BJ108" i="3"/>
  <c r="BJ109" i="3"/>
  <c r="BJ110" i="3"/>
  <c r="BJ111" i="3"/>
  <c r="BJ112" i="3"/>
  <c r="BJ113" i="3"/>
  <c r="BJ114" i="3"/>
  <c r="BJ115" i="3"/>
  <c r="BJ116" i="3"/>
  <c r="BJ117" i="3"/>
  <c r="BJ118" i="3"/>
  <c r="BJ119" i="3"/>
  <c r="BJ120" i="3"/>
  <c r="BJ121" i="3"/>
  <c r="BJ122" i="3"/>
  <c r="BJ123" i="3"/>
  <c r="BJ124" i="3"/>
  <c r="BJ8" i="3"/>
  <c r="BJ6" i="3"/>
  <c r="BJ5" i="3"/>
  <c r="BI24" i="3"/>
  <c r="BI25" i="3"/>
  <c r="BI26" i="3"/>
  <c r="BI27" i="3"/>
  <c r="BI28" i="3"/>
  <c r="BI29" i="3"/>
  <c r="BI30" i="3"/>
  <c r="BI31" i="3"/>
  <c r="BI32" i="3"/>
  <c r="BI33" i="3"/>
  <c r="BI34" i="3"/>
  <c r="BI35" i="3"/>
  <c r="BI36" i="3"/>
  <c r="BI37" i="3"/>
  <c r="BI38" i="3"/>
  <c r="BI39" i="3"/>
  <c r="BI40" i="3"/>
  <c r="BI41" i="3"/>
  <c r="BI42" i="3"/>
  <c r="BI43" i="3"/>
  <c r="BI44" i="3"/>
  <c r="BI45" i="3"/>
  <c r="BI46" i="3"/>
  <c r="BI47" i="3"/>
  <c r="BI48" i="3"/>
  <c r="BI49" i="3"/>
  <c r="BI50" i="3"/>
  <c r="BI51" i="3"/>
  <c r="BI52" i="3"/>
  <c r="BI53" i="3"/>
  <c r="BI54" i="3"/>
  <c r="BI55" i="3"/>
  <c r="BI56" i="3"/>
  <c r="BI57" i="3"/>
  <c r="BI58" i="3"/>
  <c r="BI59" i="3"/>
  <c r="BI60" i="3"/>
  <c r="BI61" i="3"/>
  <c r="BI62" i="3"/>
  <c r="BI63" i="3"/>
  <c r="BI64" i="3"/>
  <c r="BI65" i="3"/>
  <c r="BI66" i="3"/>
  <c r="BI67" i="3"/>
  <c r="BI68" i="3"/>
  <c r="BI69" i="3"/>
  <c r="BI70" i="3"/>
  <c r="BI71" i="3"/>
  <c r="BI72" i="3"/>
  <c r="BI73" i="3"/>
  <c r="BI74" i="3"/>
  <c r="BI75" i="3"/>
  <c r="BI76" i="3"/>
  <c r="BI77" i="3"/>
  <c r="BI78" i="3"/>
  <c r="BI79" i="3"/>
  <c r="BI80" i="3"/>
  <c r="BI81" i="3"/>
  <c r="BI82" i="3"/>
  <c r="BI83" i="3"/>
  <c r="BI84" i="3"/>
  <c r="BI85" i="3"/>
  <c r="BI86" i="3"/>
  <c r="BI87" i="3"/>
  <c r="BI88" i="3"/>
  <c r="BI89" i="3"/>
  <c r="BI90" i="3"/>
  <c r="BI91" i="3"/>
  <c r="BI92" i="3"/>
  <c r="BI93" i="3"/>
  <c r="BI94" i="3"/>
  <c r="BI95" i="3"/>
  <c r="BI96" i="3"/>
  <c r="BI97" i="3"/>
  <c r="BI98" i="3"/>
  <c r="BI99" i="3"/>
  <c r="BI100" i="3"/>
  <c r="BI101" i="3"/>
  <c r="BI102" i="3"/>
  <c r="BI106" i="3"/>
  <c r="BI107" i="3"/>
  <c r="BI108" i="3"/>
  <c r="BI109" i="3"/>
  <c r="BI110" i="3"/>
  <c r="BI111" i="3"/>
  <c r="BI112" i="3"/>
  <c r="BI113" i="3"/>
  <c r="BI114" i="3"/>
  <c r="BI115" i="3"/>
  <c r="BI116" i="3"/>
  <c r="BI117" i="3"/>
  <c r="BI118" i="3"/>
  <c r="BI119" i="3"/>
  <c r="BI120" i="3"/>
  <c r="BI121" i="3"/>
  <c r="BI122" i="3"/>
  <c r="BI123" i="3"/>
  <c r="BI124" i="3"/>
  <c r="BI9" i="3"/>
  <c r="BI10" i="3"/>
  <c r="BI11" i="3"/>
  <c r="BI12" i="3"/>
  <c r="BI13" i="3"/>
  <c r="BI14" i="3"/>
  <c r="BI15" i="3"/>
  <c r="BI16" i="3"/>
  <c r="BI17" i="3"/>
  <c r="BI18" i="3"/>
  <c r="BI19" i="3"/>
  <c r="BI20" i="3"/>
  <c r="BI21" i="3"/>
  <c r="BI22" i="3"/>
  <c r="BI23" i="3"/>
  <c r="BI8" i="3"/>
  <c r="BI6" i="3"/>
  <c r="BI5" i="3"/>
  <c r="BH7" i="3"/>
  <c r="BA7" i="3" s="1"/>
  <c r="BH8" i="3"/>
  <c r="BA8" i="3" s="1"/>
  <c r="BH9" i="3"/>
  <c r="BA9" i="3" s="1"/>
  <c r="BH10" i="3"/>
  <c r="BA10" i="3" s="1"/>
  <c r="BH11" i="3"/>
  <c r="BA11" i="3" s="1"/>
  <c r="BH12" i="3"/>
  <c r="BA12" i="3" s="1"/>
  <c r="BH13" i="3"/>
  <c r="BA13" i="3" s="1"/>
  <c r="BH14" i="3"/>
  <c r="BA14" i="3" s="1"/>
  <c r="BH15" i="3"/>
  <c r="BA15" i="3" s="1"/>
  <c r="BH16" i="3"/>
  <c r="BA16" i="3" s="1"/>
  <c r="BH17" i="3"/>
  <c r="BA17" i="3" s="1"/>
  <c r="BH18" i="3"/>
  <c r="BA18" i="3" s="1"/>
  <c r="BH19" i="3"/>
  <c r="BA19" i="3" s="1"/>
  <c r="BH20" i="3"/>
  <c r="BA20" i="3" s="1"/>
  <c r="BH21" i="3"/>
  <c r="BA21" i="3" s="1"/>
  <c r="BH22" i="3"/>
  <c r="BA22" i="3" s="1"/>
  <c r="BH23" i="3"/>
  <c r="BA23" i="3" s="1"/>
  <c r="BH24" i="3"/>
  <c r="BA24" i="3" s="1"/>
  <c r="BH25" i="3"/>
  <c r="BA25" i="3" s="1"/>
  <c r="BH26" i="3"/>
  <c r="BA26" i="3" s="1"/>
  <c r="BH27" i="3"/>
  <c r="BA27" i="3" s="1"/>
  <c r="BH28" i="3"/>
  <c r="BA28" i="3" s="1"/>
  <c r="BH29" i="3"/>
  <c r="BA29" i="3" s="1"/>
  <c r="BH30" i="3"/>
  <c r="BA30" i="3" s="1"/>
  <c r="BH31" i="3"/>
  <c r="BA31" i="3" s="1"/>
  <c r="BH32" i="3"/>
  <c r="BA32" i="3" s="1"/>
  <c r="BH33" i="3"/>
  <c r="BA33" i="3" s="1"/>
  <c r="BH34" i="3"/>
  <c r="BA34" i="3" s="1"/>
  <c r="BH35" i="3"/>
  <c r="BA35" i="3" s="1"/>
  <c r="BH36" i="3"/>
  <c r="BH37" i="3"/>
  <c r="BA37" i="3" s="1"/>
  <c r="BH38" i="3"/>
  <c r="BA38" i="3" s="1"/>
  <c r="BH39" i="3"/>
  <c r="BA39" i="3" s="1"/>
  <c r="BH40" i="3"/>
  <c r="BA40" i="3" s="1"/>
  <c r="BH41" i="3"/>
  <c r="BA41" i="3" s="1"/>
  <c r="BH42" i="3"/>
  <c r="BA42" i="3" s="1"/>
  <c r="BH43" i="3"/>
  <c r="BA43" i="3" s="1"/>
  <c r="BH46" i="3"/>
  <c r="BA46" i="3" s="1"/>
  <c r="BH47" i="3"/>
  <c r="BA47" i="3" s="1"/>
  <c r="BH48" i="3"/>
  <c r="BA48" i="3" s="1"/>
  <c r="BH49" i="3"/>
  <c r="BA49" i="3" s="1"/>
  <c r="BH50" i="3"/>
  <c r="BA50" i="3" s="1"/>
  <c r="BH51" i="3"/>
  <c r="BA51" i="3" s="1"/>
  <c r="BH52" i="3"/>
  <c r="BA52" i="3" s="1"/>
  <c r="BH53" i="3"/>
  <c r="BA53" i="3" s="1"/>
  <c r="BH54" i="3"/>
  <c r="BA54" i="3" s="1"/>
  <c r="BH55" i="3"/>
  <c r="BA55" i="3" s="1"/>
  <c r="BH56" i="3"/>
  <c r="BA56" i="3" s="1"/>
  <c r="BH57" i="3"/>
  <c r="BA57" i="3" s="1"/>
  <c r="BH58" i="3"/>
  <c r="BA58" i="3" s="1"/>
  <c r="BH64" i="3"/>
  <c r="BA64" i="3" s="1"/>
  <c r="BH65" i="3"/>
  <c r="BA65" i="3" s="1"/>
  <c r="BH66" i="3"/>
  <c r="BA66" i="3" s="1"/>
  <c r="BH67" i="3"/>
  <c r="BA67" i="3" s="1"/>
  <c r="BH68" i="3"/>
  <c r="BA68" i="3" s="1"/>
  <c r="BH69" i="3"/>
  <c r="BA69" i="3" s="1"/>
  <c r="BH70" i="3"/>
  <c r="BA70" i="3" s="1"/>
  <c r="BH71" i="3"/>
  <c r="BA71" i="3" s="1"/>
  <c r="BH72" i="3"/>
  <c r="BA72" i="3" s="1"/>
  <c r="BH73" i="3"/>
  <c r="BA73" i="3" s="1"/>
  <c r="BH74" i="3"/>
  <c r="BA74" i="3" s="1"/>
  <c r="BH75" i="3"/>
  <c r="BA75" i="3" s="1"/>
  <c r="BH76" i="3"/>
  <c r="BA76" i="3" s="1"/>
  <c r="BH77" i="3"/>
  <c r="BA77" i="3" s="1"/>
  <c r="BH78" i="3"/>
  <c r="BA78" i="3" s="1"/>
  <c r="BH79" i="3"/>
  <c r="BA79" i="3" s="1"/>
  <c r="BH80" i="3"/>
  <c r="BA80" i="3" s="1"/>
  <c r="BH81" i="3"/>
  <c r="BA81" i="3" s="1"/>
  <c r="BH82" i="3"/>
  <c r="BA82" i="3" s="1"/>
  <c r="BH83" i="3"/>
  <c r="BA83" i="3" s="1"/>
  <c r="BH84" i="3"/>
  <c r="BA84" i="3" s="1"/>
  <c r="BH85" i="3"/>
  <c r="BA85" i="3" s="1"/>
  <c r="BH86" i="3"/>
  <c r="BA86" i="3" s="1"/>
  <c r="BH87" i="3"/>
  <c r="BA87" i="3" s="1"/>
  <c r="BH88" i="3"/>
  <c r="BA88" i="3" s="1"/>
  <c r="BH89" i="3"/>
  <c r="BA89" i="3" s="1"/>
  <c r="BH90" i="3"/>
  <c r="BA90" i="3" s="1"/>
  <c r="BH91" i="3"/>
  <c r="BA91" i="3" s="1"/>
  <c r="BH92" i="3"/>
  <c r="BA92" i="3" s="1"/>
  <c r="BH93" i="3"/>
  <c r="BA93" i="3" s="1"/>
  <c r="BH94" i="3"/>
  <c r="BA94" i="3" s="1"/>
  <c r="BH95" i="3"/>
  <c r="BA95" i="3" s="1"/>
  <c r="BH96" i="3"/>
  <c r="BA96" i="3" s="1"/>
  <c r="BH97" i="3"/>
  <c r="BA97" i="3" s="1"/>
  <c r="BH98" i="3"/>
  <c r="BA98" i="3" s="1"/>
  <c r="BH99" i="3"/>
  <c r="BA99" i="3" s="1"/>
  <c r="BH100" i="3"/>
  <c r="BA100" i="3" s="1"/>
  <c r="BH101" i="3"/>
  <c r="BA101" i="3" s="1"/>
  <c r="BH102" i="3"/>
  <c r="BA102" i="3" s="1"/>
  <c r="BH106" i="3"/>
  <c r="BA106" i="3" s="1"/>
  <c r="BH107" i="3"/>
  <c r="BA107" i="3" s="1"/>
  <c r="BH108" i="3"/>
  <c r="BA108" i="3" s="1"/>
  <c r="BH109" i="3"/>
  <c r="BA109" i="3" s="1"/>
  <c r="BH110" i="3"/>
  <c r="BA110" i="3" s="1"/>
  <c r="BH111" i="3"/>
  <c r="BA111" i="3" s="1"/>
  <c r="BH112" i="3"/>
  <c r="BA112" i="3" s="1"/>
  <c r="BH113" i="3"/>
  <c r="BA113" i="3" s="1"/>
  <c r="BH114" i="3"/>
  <c r="BA114" i="3" s="1"/>
  <c r="BH115" i="3"/>
  <c r="BA115" i="3" s="1"/>
  <c r="BH116" i="3"/>
  <c r="BA116" i="3" s="1"/>
  <c r="BH117" i="3"/>
  <c r="BA117" i="3" s="1"/>
  <c r="BH118" i="3"/>
  <c r="BA118" i="3" s="1"/>
  <c r="BH119" i="3"/>
  <c r="BA119" i="3" s="1"/>
  <c r="BH120" i="3"/>
  <c r="BA120" i="3" s="1"/>
  <c r="BH121" i="3"/>
  <c r="BA121" i="3" s="1"/>
  <c r="BH122" i="3"/>
  <c r="BA122" i="3" s="1"/>
  <c r="BH123" i="3"/>
  <c r="BA123" i="3" s="1"/>
  <c r="BH124" i="3"/>
  <c r="BA124" i="3" s="1"/>
  <c r="BH6" i="3"/>
  <c r="BA6" i="3" s="1"/>
  <c r="BH5" i="3"/>
  <c r="BB5" i="3" s="1"/>
  <c r="BB116" i="3" l="1"/>
  <c r="BB101" i="3"/>
  <c r="BB89" i="3"/>
  <c r="BB77" i="3"/>
  <c r="BB65" i="3"/>
  <c r="BB49" i="3"/>
  <c r="BB41" i="3"/>
  <c r="BB29" i="3"/>
  <c r="BB17" i="3"/>
  <c r="BB123" i="3"/>
  <c r="BB119" i="3"/>
  <c r="BB115" i="3"/>
  <c r="BB111" i="3"/>
  <c r="BB107" i="3"/>
  <c r="BB100" i="3"/>
  <c r="BB96" i="3"/>
  <c r="BB92" i="3"/>
  <c r="BB88" i="3"/>
  <c r="BB84" i="3"/>
  <c r="BB80" i="3"/>
  <c r="BB76" i="3"/>
  <c r="BB72" i="3"/>
  <c r="BB68" i="3"/>
  <c r="BB64" i="3"/>
  <c r="BB56" i="3"/>
  <c r="BB52" i="3"/>
  <c r="BB48" i="3"/>
  <c r="BB40" i="3"/>
  <c r="BB32" i="3"/>
  <c r="BB28" i="3"/>
  <c r="BB24" i="3"/>
  <c r="BB20" i="3"/>
  <c r="BB16" i="3"/>
  <c r="BB12" i="3"/>
  <c r="BB8" i="3"/>
  <c r="BB122" i="3"/>
  <c r="BB118" i="3"/>
  <c r="BB114" i="3"/>
  <c r="BB110" i="3"/>
  <c r="BB106" i="3"/>
  <c r="BB99" i="3"/>
  <c r="BB95" i="3"/>
  <c r="BB91" i="3"/>
  <c r="BB87" i="3"/>
  <c r="BB83" i="3"/>
  <c r="BB79" i="3"/>
  <c r="BB75" i="3"/>
  <c r="BB71" i="3"/>
  <c r="BB67" i="3"/>
  <c r="BB55" i="3"/>
  <c r="BB51" i="3"/>
  <c r="BB47" i="3"/>
  <c r="BB43" i="3"/>
  <c r="BB39" i="3"/>
  <c r="BB35" i="3"/>
  <c r="BB31" i="3"/>
  <c r="BB27" i="3"/>
  <c r="BB23" i="3"/>
  <c r="BB19" i="3"/>
  <c r="BB15" i="3"/>
  <c r="BB11" i="3"/>
  <c r="BB7" i="3"/>
  <c r="BA5" i="3"/>
  <c r="BB121" i="3"/>
  <c r="BB117" i="3"/>
  <c r="BB113" i="3"/>
  <c r="BB109" i="3"/>
  <c r="BB102" i="3"/>
  <c r="BB98" i="3"/>
  <c r="BB94" i="3"/>
  <c r="BB90" i="3"/>
  <c r="BB86" i="3"/>
  <c r="BB82" i="3"/>
  <c r="BB78" i="3"/>
  <c r="BB74" i="3"/>
  <c r="BB70" i="3"/>
  <c r="BB66" i="3"/>
  <c r="BB58" i="3"/>
  <c r="BB54" i="3"/>
  <c r="BB50" i="3"/>
  <c r="BB46" i="3"/>
  <c r="BB42" i="3"/>
  <c r="BB38" i="3"/>
  <c r="BB34" i="3"/>
  <c r="BB30" i="3"/>
  <c r="BB26" i="3"/>
  <c r="BB22" i="3"/>
  <c r="BB18" i="3"/>
  <c r="BB14" i="3"/>
  <c r="BB10" i="3"/>
  <c r="BB6" i="3"/>
  <c r="BM124" i="3"/>
  <c r="BM111" i="3"/>
  <c r="BM110" i="3"/>
  <c r="BM109" i="3"/>
  <c r="BM108" i="3"/>
  <c r="BM107" i="3"/>
  <c r="BM106" i="3"/>
  <c r="BM105" i="3"/>
  <c r="BM104" i="3"/>
  <c r="BM103" i="3"/>
  <c r="BM102" i="3"/>
  <c r="BM101" i="3"/>
  <c r="BM100" i="3"/>
  <c r="BM98" i="3"/>
  <c r="BF98" i="3"/>
  <c r="BE98" i="3"/>
  <c r="BM97" i="3"/>
  <c r="BD97" i="3"/>
  <c r="BM96" i="3"/>
  <c r="BF96" i="3"/>
  <c r="BM95" i="3"/>
  <c r="BM93" i="3"/>
  <c r="BM92" i="3"/>
  <c r="BM91" i="3"/>
  <c r="BM90" i="3"/>
  <c r="BM89" i="3"/>
  <c r="BM88" i="3"/>
  <c r="BM87" i="3"/>
  <c r="BM86" i="3"/>
  <c r="BM85" i="3"/>
  <c r="BM84" i="3"/>
  <c r="BM56" i="3"/>
  <c r="BM55" i="3"/>
  <c r="BM54" i="3"/>
  <c r="BM53" i="3"/>
  <c r="BM52" i="3"/>
  <c r="BM51" i="3"/>
  <c r="BM50" i="3"/>
  <c r="BM49" i="3"/>
  <c r="BM48" i="3"/>
  <c r="BM47" i="3"/>
  <c r="BM45" i="3"/>
  <c r="BM44" i="3"/>
  <c r="BM38" i="3"/>
  <c r="BM36" i="3"/>
  <c r="BM35" i="3"/>
  <c r="BM34" i="3"/>
  <c r="BM33" i="3"/>
  <c r="BM32" i="3"/>
  <c r="BM31" i="3"/>
  <c r="BM30" i="3"/>
  <c r="BM29" i="3"/>
  <c r="BM28" i="3"/>
  <c r="BM27" i="3"/>
  <c r="BM26" i="3"/>
  <c r="BF7" i="3"/>
  <c r="BE7" i="3"/>
  <c r="BD7" i="3"/>
  <c r="BE95" i="3" l="1"/>
  <c r="BF95" i="3"/>
  <c r="BD98" i="3"/>
  <c r="BD96" i="3"/>
  <c r="BE96" i="3"/>
  <c r="BE97" i="3"/>
  <c r="BD95" i="3"/>
  <c r="BF97" i="3"/>
  <c r="AT36" i="3" l="1"/>
  <c r="BK36" i="3" s="1"/>
  <c r="W105" i="3"/>
  <c r="W104" i="3"/>
  <c r="W103" i="3"/>
  <c r="W63" i="3"/>
  <c r="W62" i="3"/>
  <c r="W61" i="3"/>
  <c r="W60" i="3"/>
  <c r="W59" i="3"/>
  <c r="BC36" i="3" l="1"/>
  <c r="BA36" i="3"/>
  <c r="BB36" i="3"/>
  <c r="AU120" i="3"/>
  <c r="BM120" i="3" s="1"/>
  <c r="AU121" i="3"/>
  <c r="BM121" i="3" s="1"/>
  <c r="AU122" i="3"/>
  <c r="BM122" i="3" s="1"/>
  <c r="AU123" i="3"/>
  <c r="BM123" i="3" s="1"/>
  <c r="AU114" i="3"/>
  <c r="BM114" i="3" s="1"/>
  <c r="AU115" i="3"/>
  <c r="BM115" i="3" s="1"/>
  <c r="AU116" i="3"/>
  <c r="BM116" i="3" s="1"/>
  <c r="AU117" i="3"/>
  <c r="BM117" i="3" s="1"/>
  <c r="AU118" i="3"/>
  <c r="BM118" i="3" s="1"/>
  <c r="AU119" i="3"/>
  <c r="BM119" i="3" s="1"/>
  <c r="AU113" i="3"/>
  <c r="BM113" i="3" s="1"/>
  <c r="BM112" i="3"/>
  <c r="AU46" i="3" l="1"/>
  <c r="BM46" i="3" s="1"/>
  <c r="AU43" i="3"/>
  <c r="BM43" i="3" s="1"/>
  <c r="AU42" i="3"/>
  <c r="BM42" i="3" s="1"/>
  <c r="AU25" i="3"/>
  <c r="BM25" i="3" s="1"/>
  <c r="AU24" i="3"/>
  <c r="BM24" i="3" s="1"/>
  <c r="AU23" i="3"/>
  <c r="BM23" i="3" s="1"/>
  <c r="AU21" i="3"/>
  <c r="BM21" i="3" s="1"/>
  <c r="AU18" i="3"/>
  <c r="BM18" i="3" s="1"/>
  <c r="AU17" i="3"/>
  <c r="BM17" i="3" s="1"/>
  <c r="AU16" i="3"/>
  <c r="BM16" i="3" s="1"/>
  <c r="AU15" i="3"/>
  <c r="BM15" i="3" s="1"/>
  <c r="AU14" i="3"/>
  <c r="BM14" i="3" s="1"/>
  <c r="AU41" i="3"/>
  <c r="BM41" i="3" s="1"/>
  <c r="AU40" i="3"/>
  <c r="BM40" i="3" s="1"/>
  <c r="AU39" i="3"/>
  <c r="BM39" i="3" s="1"/>
  <c r="AU37" i="3"/>
  <c r="BM37" i="3" s="1"/>
  <c r="BD16" i="3" l="1"/>
  <c r="BE37" i="3"/>
  <c r="Q44" i="3"/>
  <c r="P44" i="3"/>
  <c r="O44" i="3"/>
  <c r="N44" i="3"/>
  <c r="Q45" i="3"/>
  <c r="P45" i="3"/>
  <c r="O45" i="3"/>
  <c r="N45" i="3"/>
  <c r="BN90" i="3"/>
  <c r="BN91" i="3"/>
  <c r="BN92" i="3"/>
  <c r="BN93" i="3"/>
  <c r="BN24" i="3"/>
  <c r="BF24" i="3" s="1"/>
  <c r="BN25" i="3"/>
  <c r="BD25" i="3" s="1"/>
  <c r="BN107" i="3"/>
  <c r="BN108" i="3"/>
  <c r="BN109" i="3"/>
  <c r="BN110" i="3"/>
  <c r="BN111" i="3"/>
  <c r="BN112" i="3"/>
  <c r="AW74" i="3"/>
  <c r="AU74" i="3"/>
  <c r="BM74" i="3" s="1"/>
  <c r="BN74" i="3"/>
  <c r="AM74" i="3"/>
  <c r="AF74" i="3"/>
  <c r="K74" i="3"/>
  <c r="AW73" i="3"/>
  <c r="AU73" i="3"/>
  <c r="BM73" i="3" s="1"/>
  <c r="BN73" i="3"/>
  <c r="AM73" i="3"/>
  <c r="AF73" i="3"/>
  <c r="K73" i="3"/>
  <c r="AW79" i="3"/>
  <c r="AU79" i="3"/>
  <c r="BM79" i="3" s="1"/>
  <c r="BN79" i="3"/>
  <c r="AM79" i="3"/>
  <c r="AF79" i="3"/>
  <c r="K79" i="3"/>
  <c r="AW78" i="3"/>
  <c r="AU78" i="3"/>
  <c r="BM78" i="3" s="1"/>
  <c r="BN78" i="3"/>
  <c r="AM78" i="3"/>
  <c r="AF78" i="3"/>
  <c r="K78" i="3"/>
  <c r="K5" i="3"/>
  <c r="AF5" i="3"/>
  <c r="AM5" i="3"/>
  <c r="AO5" i="3"/>
  <c r="BN5" i="3" s="1"/>
  <c r="AU5" i="3"/>
  <c r="BM5" i="3" s="1"/>
  <c r="AW5" i="3"/>
  <c r="K6" i="3"/>
  <c r="AF6" i="3"/>
  <c r="AM6" i="3"/>
  <c r="AO6" i="3"/>
  <c r="BN6" i="3" s="1"/>
  <c r="AU6" i="3"/>
  <c r="BM6" i="3" s="1"/>
  <c r="AW6" i="3"/>
  <c r="K7" i="3"/>
  <c r="AF7" i="3"/>
  <c r="AM7" i="3"/>
  <c r="AU7" i="3"/>
  <c r="AW7" i="3"/>
  <c r="K8" i="3"/>
  <c r="AF8" i="3"/>
  <c r="AM8" i="3"/>
  <c r="AO8" i="3"/>
  <c r="BN8" i="3" s="1"/>
  <c r="AU8" i="3"/>
  <c r="BM8" i="3" s="1"/>
  <c r="AW8" i="3"/>
  <c r="K9" i="3"/>
  <c r="AF9" i="3"/>
  <c r="AM9" i="3"/>
  <c r="BN9" i="3"/>
  <c r="AU9" i="3"/>
  <c r="BM9" i="3" s="1"/>
  <c r="AW9" i="3"/>
  <c r="K10" i="3"/>
  <c r="AF10" i="3"/>
  <c r="AM10" i="3"/>
  <c r="BN10" i="3"/>
  <c r="AU10" i="3"/>
  <c r="BM10" i="3" s="1"/>
  <c r="AW10" i="3"/>
  <c r="K11" i="3"/>
  <c r="AF11" i="3"/>
  <c r="AM11" i="3"/>
  <c r="BN11" i="3"/>
  <c r="AU11" i="3"/>
  <c r="BM11" i="3" s="1"/>
  <c r="AW11" i="3"/>
  <c r="K12" i="3"/>
  <c r="AF12" i="3"/>
  <c r="AM12" i="3"/>
  <c r="BN12" i="3"/>
  <c r="AU12" i="3"/>
  <c r="BM12" i="3" s="1"/>
  <c r="AW12" i="3"/>
  <c r="K13" i="3"/>
  <c r="AF13" i="3"/>
  <c r="AM13" i="3"/>
  <c r="BN13" i="3"/>
  <c r="AU13" i="3"/>
  <c r="BM13" i="3" s="1"/>
  <c r="AW13" i="3"/>
  <c r="K14" i="3"/>
  <c r="AF14" i="3"/>
  <c r="AM14" i="3"/>
  <c r="BN14" i="3"/>
  <c r="BF14" i="3" s="1"/>
  <c r="AW14" i="3"/>
  <c r="K15" i="3"/>
  <c r="AF15" i="3"/>
  <c r="AM15" i="3"/>
  <c r="BN15" i="3"/>
  <c r="BD15" i="3" s="1"/>
  <c r="AW15" i="3"/>
  <c r="K16" i="3"/>
  <c r="AF16" i="3"/>
  <c r="AM16" i="3"/>
  <c r="BN16" i="3"/>
  <c r="BE16" i="3" s="1"/>
  <c r="AW16" i="3"/>
  <c r="K17" i="3"/>
  <c r="AF17" i="3"/>
  <c r="AM17" i="3"/>
  <c r="BN17" i="3"/>
  <c r="BF17" i="3" s="1"/>
  <c r="AW17" i="3"/>
  <c r="K18" i="3"/>
  <c r="AF18" i="3"/>
  <c r="AM18" i="3"/>
  <c r="BN18" i="3"/>
  <c r="BF18" i="3" s="1"/>
  <c r="AW18" i="3"/>
  <c r="K19" i="3"/>
  <c r="AF19" i="3"/>
  <c r="AM19" i="3"/>
  <c r="BN19" i="3"/>
  <c r="AU19" i="3"/>
  <c r="BM19" i="3" s="1"/>
  <c r="AW19" i="3"/>
  <c r="K20" i="3"/>
  <c r="AF20" i="3"/>
  <c r="AM20" i="3"/>
  <c r="BN20" i="3"/>
  <c r="AU20" i="3"/>
  <c r="BM20" i="3" s="1"/>
  <c r="AW20" i="3"/>
  <c r="K21" i="3"/>
  <c r="AF21" i="3"/>
  <c r="AM21" i="3"/>
  <c r="BN21" i="3"/>
  <c r="BD21" i="3" s="1"/>
  <c r="AW21" i="3"/>
  <c r="K22" i="3"/>
  <c r="AF22" i="3"/>
  <c r="AM22" i="3"/>
  <c r="BN22" i="3"/>
  <c r="AU22" i="3"/>
  <c r="BM22" i="3" s="1"/>
  <c r="AW22" i="3"/>
  <c r="K23" i="3"/>
  <c r="AF23" i="3"/>
  <c r="AM23" i="3"/>
  <c r="BN23" i="3"/>
  <c r="BE23" i="3" s="1"/>
  <c r="AW23" i="3"/>
  <c r="K24" i="3"/>
  <c r="AF24" i="3"/>
  <c r="AM24" i="3"/>
  <c r="AW24" i="3"/>
  <c r="K25" i="3"/>
  <c r="AF25" i="3"/>
  <c r="AM25" i="3"/>
  <c r="AW25" i="3"/>
  <c r="K26" i="3"/>
  <c r="AF26" i="3"/>
  <c r="AM26" i="3"/>
  <c r="BN26" i="3"/>
  <c r="AW26" i="3"/>
  <c r="K27" i="3"/>
  <c r="AF27" i="3"/>
  <c r="AM27" i="3"/>
  <c r="BN27" i="3"/>
  <c r="AW27" i="3"/>
  <c r="K28" i="3"/>
  <c r="AF28" i="3"/>
  <c r="AM28" i="3"/>
  <c r="BN28" i="3"/>
  <c r="AW28" i="3"/>
  <c r="K29" i="3"/>
  <c r="AF29" i="3"/>
  <c r="AM29" i="3"/>
  <c r="BN29" i="3"/>
  <c r="AW29" i="3"/>
  <c r="K30" i="3"/>
  <c r="AF30" i="3"/>
  <c r="AM30" i="3"/>
  <c r="BN30" i="3"/>
  <c r="AW30" i="3"/>
  <c r="K31" i="3"/>
  <c r="AF31" i="3"/>
  <c r="AM31" i="3"/>
  <c r="BN31" i="3"/>
  <c r="AW31" i="3"/>
  <c r="K32" i="3"/>
  <c r="AF32" i="3"/>
  <c r="AM32" i="3"/>
  <c r="BN32" i="3"/>
  <c r="AW32" i="3"/>
  <c r="AF33" i="3"/>
  <c r="AM33" i="3"/>
  <c r="BN33" i="3"/>
  <c r="AW33" i="3"/>
  <c r="K34" i="3"/>
  <c r="AF34" i="3"/>
  <c r="AM34" i="3"/>
  <c r="BN34" i="3"/>
  <c r="AW34" i="3"/>
  <c r="K35" i="3"/>
  <c r="AF35" i="3"/>
  <c r="AM35" i="3"/>
  <c r="BN35" i="3"/>
  <c r="AW35" i="3"/>
  <c r="X36" i="3"/>
  <c r="AF36" i="3"/>
  <c r="AM36" i="3"/>
  <c r="BN36" i="3"/>
  <c r="AR36" i="3"/>
  <c r="AW36" i="3"/>
  <c r="K37" i="3"/>
  <c r="AF37" i="3"/>
  <c r="AM37" i="3"/>
  <c r="BN37" i="3"/>
  <c r="BF37" i="3" s="1"/>
  <c r="AW37" i="3"/>
  <c r="K38" i="3"/>
  <c r="AF38" i="3"/>
  <c r="AM38" i="3"/>
  <c r="BN38" i="3"/>
  <c r="AW38" i="3"/>
  <c r="K39" i="3"/>
  <c r="AF39" i="3"/>
  <c r="AM39" i="3"/>
  <c r="BN39" i="3"/>
  <c r="BD39" i="3" s="1"/>
  <c r="AW39" i="3"/>
  <c r="K40" i="3"/>
  <c r="AF40" i="3"/>
  <c r="AM40" i="3"/>
  <c r="BN40" i="3"/>
  <c r="BF40" i="3" s="1"/>
  <c r="AW40" i="3"/>
  <c r="K41" i="3"/>
  <c r="AF41" i="3"/>
  <c r="AM41" i="3"/>
  <c r="BN41" i="3"/>
  <c r="BF41" i="3" s="1"/>
  <c r="AW41" i="3"/>
  <c r="K42" i="3"/>
  <c r="AF42" i="3"/>
  <c r="AM42" i="3"/>
  <c r="BN42" i="3"/>
  <c r="BE42" i="3" s="1"/>
  <c r="AW42" i="3"/>
  <c r="K43" i="3"/>
  <c r="AF43" i="3"/>
  <c r="AM43" i="3"/>
  <c r="BN43" i="3"/>
  <c r="BE43" i="3" s="1"/>
  <c r="AW43" i="3"/>
  <c r="K44" i="3"/>
  <c r="R44" i="3"/>
  <c r="BH44" i="3" s="1"/>
  <c r="AF44" i="3"/>
  <c r="AM44" i="3"/>
  <c r="BN44" i="3"/>
  <c r="BF44" i="3" s="1"/>
  <c r="AW44" i="3"/>
  <c r="K45" i="3"/>
  <c r="R45" i="3"/>
  <c r="BH45" i="3" s="1"/>
  <c r="AF45" i="3"/>
  <c r="AM45" i="3"/>
  <c r="BN45" i="3"/>
  <c r="BF45" i="3" s="1"/>
  <c r="AW45" i="3"/>
  <c r="K46" i="3"/>
  <c r="AF46" i="3"/>
  <c r="AM46" i="3"/>
  <c r="BN46" i="3"/>
  <c r="BF46" i="3" s="1"/>
  <c r="AW46" i="3"/>
  <c r="K47" i="3"/>
  <c r="AF47" i="3"/>
  <c r="AM47" i="3"/>
  <c r="BN47" i="3"/>
  <c r="AW47" i="3"/>
  <c r="K48" i="3"/>
  <c r="AF48" i="3"/>
  <c r="AM48" i="3"/>
  <c r="BN48" i="3"/>
  <c r="AW48" i="3"/>
  <c r="K49" i="3"/>
  <c r="AF49" i="3"/>
  <c r="AM49" i="3"/>
  <c r="BN49" i="3"/>
  <c r="AW49" i="3"/>
  <c r="K50" i="3"/>
  <c r="AF50" i="3"/>
  <c r="AM50" i="3"/>
  <c r="BN50" i="3"/>
  <c r="AW50" i="3"/>
  <c r="K51" i="3"/>
  <c r="AF51" i="3"/>
  <c r="AM51" i="3"/>
  <c r="BN51" i="3"/>
  <c r="AW51" i="3"/>
  <c r="K52" i="3"/>
  <c r="AF52" i="3"/>
  <c r="AM52" i="3"/>
  <c r="BN52" i="3"/>
  <c r="AW52" i="3"/>
  <c r="K53" i="3"/>
  <c r="AF53" i="3"/>
  <c r="AM53" i="3"/>
  <c r="BN53" i="3"/>
  <c r="AW53" i="3"/>
  <c r="K54" i="3"/>
  <c r="AF54" i="3"/>
  <c r="AM54" i="3"/>
  <c r="BN54" i="3"/>
  <c r="AW54" i="3"/>
  <c r="K55" i="3"/>
  <c r="AF55" i="3"/>
  <c r="AM55" i="3"/>
  <c r="BN55" i="3"/>
  <c r="AW55" i="3"/>
  <c r="K56" i="3"/>
  <c r="AF56" i="3"/>
  <c r="AM56" i="3"/>
  <c r="BN56" i="3"/>
  <c r="AW56" i="3"/>
  <c r="K57" i="3"/>
  <c r="AF57" i="3"/>
  <c r="AM57" i="3"/>
  <c r="BN57" i="3"/>
  <c r="AU57" i="3"/>
  <c r="BM57" i="3" s="1"/>
  <c r="AW57" i="3"/>
  <c r="K58" i="3"/>
  <c r="AF58" i="3"/>
  <c r="AM58" i="3"/>
  <c r="BN58" i="3"/>
  <c r="AU58" i="3"/>
  <c r="BM58" i="3" s="1"/>
  <c r="AW58" i="3"/>
  <c r="K59" i="3"/>
  <c r="T59" i="3"/>
  <c r="Z59" i="3" s="1"/>
  <c r="AO59" i="3" s="1"/>
  <c r="L59" i="3"/>
  <c r="U59" i="3"/>
  <c r="AA59" i="3" s="1"/>
  <c r="AW59" i="3" s="1"/>
  <c r="R59" i="3"/>
  <c r="S59" i="3"/>
  <c r="Y59" i="3" s="1"/>
  <c r="AB59" i="3"/>
  <c r="K60" i="3"/>
  <c r="T60" i="3" s="1"/>
  <c r="Z60" i="3" s="1"/>
  <c r="L60" i="3"/>
  <c r="U60" i="3" s="1"/>
  <c r="AA60" i="3" s="1"/>
  <c r="AG60" i="3" s="1"/>
  <c r="R60" i="3"/>
  <c r="S60" i="3"/>
  <c r="Y60" i="3" s="1"/>
  <c r="AB60" i="3"/>
  <c r="K61" i="3"/>
  <c r="T61" i="3" s="1"/>
  <c r="Z61" i="3" s="1"/>
  <c r="L61" i="3"/>
  <c r="U61" i="3"/>
  <c r="AA61" i="3" s="1"/>
  <c r="R61" i="3"/>
  <c r="S61" i="3"/>
  <c r="Y61" i="3" s="1"/>
  <c r="AB61" i="3"/>
  <c r="K62" i="3"/>
  <c r="T62" i="3" s="1"/>
  <c r="Z62" i="3" s="1"/>
  <c r="L62" i="3"/>
  <c r="U62" i="3" s="1"/>
  <c r="AA62" i="3" s="1"/>
  <c r="AW62" i="3" s="1"/>
  <c r="R62" i="3"/>
  <c r="S62" i="3"/>
  <c r="Y62" i="3" s="1"/>
  <c r="AB62" i="3"/>
  <c r="K63" i="3"/>
  <c r="T63" i="3" s="1"/>
  <c r="Z63" i="3" s="1"/>
  <c r="AO63" i="3" s="1"/>
  <c r="L63" i="3"/>
  <c r="U63" i="3" s="1"/>
  <c r="AA63" i="3" s="1"/>
  <c r="R63" i="3"/>
  <c r="S63" i="3"/>
  <c r="Y63" i="3" s="1"/>
  <c r="AB63" i="3"/>
  <c r="K64" i="3"/>
  <c r="AF64" i="3"/>
  <c r="AM64" i="3"/>
  <c r="BN64" i="3"/>
  <c r="AU64" i="3"/>
  <c r="BM64" i="3" s="1"/>
  <c r="AW64" i="3"/>
  <c r="K65" i="3"/>
  <c r="AF65" i="3"/>
  <c r="AM65" i="3"/>
  <c r="BN65" i="3"/>
  <c r="AU65" i="3"/>
  <c r="BM65" i="3" s="1"/>
  <c r="AW65" i="3"/>
  <c r="K66" i="3"/>
  <c r="AF66" i="3"/>
  <c r="AM66" i="3"/>
  <c r="BN66" i="3"/>
  <c r="AU66" i="3"/>
  <c r="BM66" i="3" s="1"/>
  <c r="AW66" i="3"/>
  <c r="K67" i="3"/>
  <c r="AF67" i="3"/>
  <c r="AM67" i="3"/>
  <c r="BN67" i="3"/>
  <c r="AU67" i="3"/>
  <c r="BM67" i="3" s="1"/>
  <c r="AW67" i="3"/>
  <c r="K68" i="3"/>
  <c r="AF68" i="3"/>
  <c r="AM68" i="3"/>
  <c r="BN68" i="3"/>
  <c r="AU68" i="3"/>
  <c r="BM68" i="3" s="1"/>
  <c r="AW68" i="3"/>
  <c r="K69" i="3"/>
  <c r="AF69" i="3"/>
  <c r="AM69" i="3"/>
  <c r="BN69" i="3"/>
  <c r="AU69" i="3"/>
  <c r="BM69" i="3" s="1"/>
  <c r="AW69" i="3"/>
  <c r="K70" i="3"/>
  <c r="AF70" i="3"/>
  <c r="AM70" i="3"/>
  <c r="BN70" i="3"/>
  <c r="AU70" i="3"/>
  <c r="BM70" i="3" s="1"/>
  <c r="AW70" i="3"/>
  <c r="K71" i="3"/>
  <c r="AF71" i="3"/>
  <c r="AM71" i="3"/>
  <c r="BN71" i="3"/>
  <c r="AU71" i="3"/>
  <c r="BM71" i="3" s="1"/>
  <c r="AW71" i="3"/>
  <c r="K72" i="3"/>
  <c r="AF72" i="3"/>
  <c r="AM72" i="3"/>
  <c r="BN72" i="3"/>
  <c r="AU72" i="3"/>
  <c r="BM72" i="3" s="1"/>
  <c r="AW72" i="3"/>
  <c r="K75" i="3"/>
  <c r="AF75" i="3"/>
  <c r="AM75" i="3"/>
  <c r="BN75" i="3"/>
  <c r="AU75" i="3"/>
  <c r="BM75" i="3" s="1"/>
  <c r="AW75" i="3"/>
  <c r="K76" i="3"/>
  <c r="AF76" i="3"/>
  <c r="AM76" i="3"/>
  <c r="BN76" i="3"/>
  <c r="AU76" i="3"/>
  <c r="BM76" i="3" s="1"/>
  <c r="AW76" i="3"/>
  <c r="K77" i="3"/>
  <c r="AF77" i="3"/>
  <c r="AM77" i="3"/>
  <c r="BN77" i="3"/>
  <c r="AU77" i="3"/>
  <c r="BM77" i="3" s="1"/>
  <c r="AW77" i="3"/>
  <c r="D80" i="3"/>
  <c r="K80" i="3"/>
  <c r="AF80" i="3"/>
  <c r="AM80" i="3"/>
  <c r="BN80" i="3"/>
  <c r="AU80" i="3"/>
  <c r="BM80" i="3" s="1"/>
  <c r="AW80" i="3"/>
  <c r="K81" i="3"/>
  <c r="AF81" i="3"/>
  <c r="AM81" i="3"/>
  <c r="BN81" i="3"/>
  <c r="AU81" i="3"/>
  <c r="BM81" i="3" s="1"/>
  <c r="AW81" i="3"/>
  <c r="K82" i="3"/>
  <c r="AF82" i="3"/>
  <c r="AM82" i="3"/>
  <c r="BN82" i="3"/>
  <c r="AU82" i="3"/>
  <c r="BM82" i="3" s="1"/>
  <c r="AW82" i="3"/>
  <c r="D83" i="3"/>
  <c r="E83" i="3"/>
  <c r="K83" i="3"/>
  <c r="AF83" i="3"/>
  <c r="AM83" i="3"/>
  <c r="BN83" i="3"/>
  <c r="AU83" i="3"/>
  <c r="BM83" i="3" s="1"/>
  <c r="AW83" i="3"/>
  <c r="K84" i="3"/>
  <c r="AF84" i="3"/>
  <c r="AM84" i="3"/>
  <c r="BN84" i="3"/>
  <c r="AW84" i="3"/>
  <c r="K85" i="3"/>
  <c r="AF85" i="3"/>
  <c r="AM85" i="3"/>
  <c r="BN85" i="3"/>
  <c r="AW85" i="3"/>
  <c r="K86" i="3"/>
  <c r="AF86" i="3"/>
  <c r="AM86" i="3"/>
  <c r="BN86" i="3"/>
  <c r="AW86" i="3"/>
  <c r="K87" i="3"/>
  <c r="AF87" i="3"/>
  <c r="AM87" i="3"/>
  <c r="BN87" i="3"/>
  <c r="AW87" i="3"/>
  <c r="K88" i="3"/>
  <c r="AF88" i="3"/>
  <c r="AM88" i="3"/>
  <c r="BN88" i="3"/>
  <c r="AW88" i="3"/>
  <c r="K89" i="3"/>
  <c r="AF89" i="3"/>
  <c r="AM89" i="3"/>
  <c r="BN89" i="3"/>
  <c r="AW89" i="3"/>
  <c r="D90" i="3"/>
  <c r="K90" i="3"/>
  <c r="AF90" i="3"/>
  <c r="AM90" i="3"/>
  <c r="AW90" i="3"/>
  <c r="K91" i="3"/>
  <c r="AF91" i="3"/>
  <c r="AM91" i="3"/>
  <c r="AW91" i="3"/>
  <c r="E92" i="3"/>
  <c r="K92" i="3"/>
  <c r="AF92" i="3"/>
  <c r="AM92" i="3"/>
  <c r="AW92" i="3"/>
  <c r="D93" i="3"/>
  <c r="E93" i="3"/>
  <c r="K93" i="3"/>
  <c r="AF93" i="3"/>
  <c r="AM93" i="3"/>
  <c r="AW93" i="3"/>
  <c r="K94" i="3"/>
  <c r="AF94" i="3"/>
  <c r="AM94" i="3"/>
  <c r="BN94" i="3"/>
  <c r="AU94" i="3"/>
  <c r="BM94" i="3" s="1"/>
  <c r="AW94" i="3"/>
  <c r="AW95" i="3"/>
  <c r="AW96" i="3"/>
  <c r="AW97" i="3"/>
  <c r="AW98" i="3"/>
  <c r="D99" i="3"/>
  <c r="E99" i="3"/>
  <c r="K99" i="3"/>
  <c r="AF99" i="3"/>
  <c r="AM99" i="3"/>
  <c r="BN99" i="3"/>
  <c r="AU99" i="3"/>
  <c r="BM99" i="3" s="1"/>
  <c r="AW99" i="3"/>
  <c r="K100" i="3"/>
  <c r="AF100" i="3"/>
  <c r="AM100" i="3"/>
  <c r="BN100" i="3"/>
  <c r="AW100" i="3"/>
  <c r="K101" i="3"/>
  <c r="AF101" i="3"/>
  <c r="AM101" i="3"/>
  <c r="BN101" i="3"/>
  <c r="AW101" i="3"/>
  <c r="D102" i="3"/>
  <c r="E102" i="3"/>
  <c r="K102" i="3"/>
  <c r="AF102" i="3"/>
  <c r="AM102" i="3"/>
  <c r="BN102" i="3"/>
  <c r="AW102" i="3"/>
  <c r="K103" i="3"/>
  <c r="T103" i="3" s="1"/>
  <c r="Z103" i="3" s="1"/>
  <c r="AO103" i="3" s="1"/>
  <c r="L103" i="3"/>
  <c r="U103" i="3" s="1"/>
  <c r="AA103" i="3" s="1"/>
  <c r="M103" i="3"/>
  <c r="AB103" i="3" s="1"/>
  <c r="R103" i="3"/>
  <c r="S103" i="3"/>
  <c r="Y103" i="3" s="1"/>
  <c r="K104" i="3"/>
  <c r="T104" i="3" s="1"/>
  <c r="Z104" i="3" s="1"/>
  <c r="L104" i="3"/>
  <c r="U104" i="3" s="1"/>
  <c r="AA104" i="3" s="1"/>
  <c r="M104" i="3"/>
  <c r="AB104" i="3" s="1"/>
  <c r="R104" i="3"/>
  <c r="S104" i="3"/>
  <c r="Y104" i="3" s="1"/>
  <c r="K105" i="3"/>
  <c r="T105" i="3" s="1"/>
  <c r="Z105" i="3" s="1"/>
  <c r="AO105" i="3" s="1"/>
  <c r="L105" i="3"/>
  <c r="U105" i="3" s="1"/>
  <c r="AA105" i="3" s="1"/>
  <c r="AG105" i="3" s="1"/>
  <c r="M105" i="3"/>
  <c r="AB105" i="3" s="1"/>
  <c r="R105" i="3"/>
  <c r="S105" i="3"/>
  <c r="Y105" i="3" s="1"/>
  <c r="D106" i="3"/>
  <c r="E106" i="3"/>
  <c r="K106" i="3"/>
  <c r="AF106" i="3"/>
  <c r="AM106" i="3"/>
  <c r="BN106" i="3"/>
  <c r="AW106" i="3"/>
  <c r="K107" i="3"/>
  <c r="AF107" i="3"/>
  <c r="AM107" i="3"/>
  <c r="AW107" i="3"/>
  <c r="K108" i="3"/>
  <c r="AF108" i="3"/>
  <c r="AM108" i="3"/>
  <c r="AW108" i="3"/>
  <c r="K109" i="3"/>
  <c r="AF109" i="3"/>
  <c r="AM109" i="3"/>
  <c r="AW109" i="3"/>
  <c r="K110" i="3"/>
  <c r="AF110" i="3"/>
  <c r="AM110" i="3"/>
  <c r="AW110" i="3"/>
  <c r="K111" i="3"/>
  <c r="AF111" i="3"/>
  <c r="AM111" i="3"/>
  <c r="AW111" i="3"/>
  <c r="K112" i="3"/>
  <c r="AF112" i="3"/>
  <c r="AM112" i="3"/>
  <c r="AW112" i="3"/>
  <c r="K113" i="3"/>
  <c r="AF113" i="3"/>
  <c r="AM113" i="3"/>
  <c r="BN113" i="3"/>
  <c r="AW113" i="3"/>
  <c r="K114" i="3"/>
  <c r="AF114" i="3"/>
  <c r="AM114" i="3"/>
  <c r="BN114" i="3"/>
  <c r="AW114" i="3"/>
  <c r="K115" i="3"/>
  <c r="AF115" i="3"/>
  <c r="AM115" i="3"/>
  <c r="BN115" i="3"/>
  <c r="AW115" i="3"/>
  <c r="K116" i="3"/>
  <c r="AF116" i="3"/>
  <c r="AM116" i="3"/>
  <c r="BN116" i="3"/>
  <c r="AW116" i="3"/>
  <c r="K117" i="3"/>
  <c r="AF117" i="3"/>
  <c r="AM117" i="3"/>
  <c r="BN117" i="3"/>
  <c r="AW117" i="3"/>
  <c r="K118" i="3"/>
  <c r="AF118" i="3"/>
  <c r="AM118" i="3"/>
  <c r="BN118" i="3"/>
  <c r="AW118" i="3"/>
  <c r="K119" i="3"/>
  <c r="AF119" i="3"/>
  <c r="AM119" i="3"/>
  <c r="BN119" i="3"/>
  <c r="AW119" i="3"/>
  <c r="K120" i="3"/>
  <c r="AF120" i="3"/>
  <c r="AM120" i="3"/>
  <c r="BN120" i="3"/>
  <c r="AW120" i="3"/>
  <c r="K121" i="3"/>
  <c r="AF121" i="3"/>
  <c r="AM121" i="3"/>
  <c r="BN121" i="3"/>
  <c r="AW121" i="3"/>
  <c r="K122" i="3"/>
  <c r="AF122" i="3"/>
  <c r="AM122" i="3"/>
  <c r="BN122" i="3"/>
  <c r="AW122" i="3"/>
  <c r="K123" i="3"/>
  <c r="AF123" i="3"/>
  <c r="AM123" i="3"/>
  <c r="BN123" i="3"/>
  <c r="AW123" i="3"/>
  <c r="K124" i="3"/>
  <c r="AF124" i="3"/>
  <c r="AM124" i="3"/>
  <c r="BN124" i="3"/>
  <c r="AW124" i="3"/>
  <c r="CR1" i="2"/>
  <c r="CS1" i="2"/>
  <c r="CT1" i="2"/>
  <c r="CV1" i="2"/>
  <c r="CW1" i="2"/>
  <c r="CX1" i="2"/>
  <c r="AP5" i="2"/>
  <c r="AQ5" i="2"/>
  <c r="BF5" i="2"/>
  <c r="BP5" i="2"/>
  <c r="CE5" i="2"/>
  <c r="CG5" i="2"/>
  <c r="BF6" i="2"/>
  <c r="AP7" i="2"/>
  <c r="AQ7" i="2"/>
  <c r="BF7" i="2"/>
  <c r="BP7" i="2"/>
  <c r="CE7" i="2"/>
  <c r="CG7" i="2"/>
  <c r="AP8" i="2"/>
  <c r="AQ8" i="2"/>
  <c r="BF8" i="2"/>
  <c r="BP8" i="2"/>
  <c r="CE8" i="2"/>
  <c r="CG8" i="2"/>
  <c r="AP9" i="2"/>
  <c r="AQ9" i="2"/>
  <c r="BF9" i="2"/>
  <c r="BP9" i="2"/>
  <c r="CE9" i="2"/>
  <c r="CG9" i="2"/>
  <c r="AP10" i="2"/>
  <c r="AQ10" i="2"/>
  <c r="BF10" i="2"/>
  <c r="BP10" i="2"/>
  <c r="CE10" i="2"/>
  <c r="CG10" i="2"/>
  <c r="AP11" i="2"/>
  <c r="AQ11" i="2"/>
  <c r="BF11" i="2"/>
  <c r="BP11" i="2"/>
  <c r="CE11" i="2"/>
  <c r="CG11" i="2"/>
  <c r="AP12" i="2"/>
  <c r="AQ12" i="2"/>
  <c r="BF12" i="2"/>
  <c r="BP12" i="2"/>
  <c r="CE12" i="2"/>
  <c r="CG12" i="2"/>
  <c r="AP13" i="2"/>
  <c r="AQ13" i="2"/>
  <c r="BF13" i="2"/>
  <c r="CE13" i="2"/>
  <c r="CG13" i="2"/>
  <c r="AP14" i="2"/>
  <c r="AQ14" i="2"/>
  <c r="BF14" i="2"/>
  <c r="BP14" i="2"/>
  <c r="CE14" i="2"/>
  <c r="CG14" i="2"/>
  <c r="AP15" i="2"/>
  <c r="AQ15" i="2"/>
  <c r="BF15" i="2"/>
  <c r="BP15" i="2"/>
  <c r="CE15" i="2"/>
  <c r="CG15" i="2"/>
  <c r="AP16" i="2"/>
  <c r="AQ16" i="2"/>
  <c r="BF16" i="2"/>
  <c r="BP16" i="2"/>
  <c r="CE16" i="2"/>
  <c r="CG16" i="2"/>
  <c r="AP17" i="2"/>
  <c r="AQ17" i="2"/>
  <c r="BF17" i="2"/>
  <c r="BP17" i="2"/>
  <c r="CE17" i="2"/>
  <c r="CG17" i="2"/>
  <c r="AP18" i="2"/>
  <c r="AQ18" i="2"/>
  <c r="BF18" i="2"/>
  <c r="BP18" i="2"/>
  <c r="CE18" i="2"/>
  <c r="CG18" i="2"/>
  <c r="AP19" i="2"/>
  <c r="AQ19" i="2"/>
  <c r="BF19" i="2"/>
  <c r="BP19" i="2"/>
  <c r="CE19" i="2"/>
  <c r="CG19" i="2"/>
  <c r="AP20" i="2"/>
  <c r="AQ20" i="2"/>
  <c r="BF20" i="2"/>
  <c r="BP20" i="2"/>
  <c r="CE20" i="2"/>
  <c r="CG20" i="2"/>
  <c r="AP21" i="2"/>
  <c r="AQ21" i="2"/>
  <c r="BF21" i="2"/>
  <c r="BP21" i="2"/>
  <c r="CE21" i="2"/>
  <c r="CG21" i="2"/>
  <c r="AP22" i="2"/>
  <c r="AQ22" i="2"/>
  <c r="BF22" i="2"/>
  <c r="BP22" i="2"/>
  <c r="CE22" i="2"/>
  <c r="CG22" i="2"/>
  <c r="AP23" i="2"/>
  <c r="AQ23" i="2"/>
  <c r="BF23" i="2"/>
  <c r="BP23" i="2"/>
  <c r="CE23" i="2"/>
  <c r="CG23" i="2"/>
  <c r="AP24" i="2"/>
  <c r="AQ24" i="2"/>
  <c r="BF24" i="2"/>
  <c r="BP24" i="2"/>
  <c r="CE24" i="2"/>
  <c r="CG24" i="2"/>
  <c r="AP25" i="2"/>
  <c r="AQ25" i="2"/>
  <c r="BF25" i="2"/>
  <c r="BP25" i="2"/>
  <c r="CE25" i="2"/>
  <c r="CG25" i="2"/>
  <c r="AP26" i="2"/>
  <c r="AQ26" i="2"/>
  <c r="BF26" i="2"/>
  <c r="BP26" i="2"/>
  <c r="CE26" i="2"/>
  <c r="CG26" i="2"/>
  <c r="AP27" i="2"/>
  <c r="AQ27" i="2"/>
  <c r="BF27" i="2"/>
  <c r="BP27" i="2"/>
  <c r="CE27" i="2"/>
  <c r="CG27" i="2"/>
  <c r="AP28" i="2"/>
  <c r="AQ28" i="2"/>
  <c r="BF28" i="2"/>
  <c r="BP28" i="2"/>
  <c r="CE28" i="2"/>
  <c r="CG28" i="2"/>
  <c r="AP29" i="2"/>
  <c r="AQ29" i="2"/>
  <c r="BF29" i="2"/>
  <c r="BP29" i="2"/>
  <c r="CE29" i="2"/>
  <c r="CG29" i="2"/>
  <c r="AP30" i="2"/>
  <c r="AQ30" i="2"/>
  <c r="BF30" i="2"/>
  <c r="BP30" i="2"/>
  <c r="CE30" i="2"/>
  <c r="CG30" i="2"/>
  <c r="AP31" i="2"/>
  <c r="AQ31" i="2"/>
  <c r="BF31" i="2"/>
  <c r="AP32" i="2"/>
  <c r="AQ32" i="2"/>
  <c r="BF32" i="2"/>
  <c r="BP32" i="2"/>
  <c r="CE32" i="2"/>
  <c r="CG32" i="2"/>
  <c r="AP33" i="2"/>
  <c r="AQ33" i="2"/>
  <c r="BF33" i="2"/>
  <c r="BP33" i="2"/>
  <c r="CE33" i="2"/>
  <c r="CG33" i="2"/>
  <c r="AP34" i="2"/>
  <c r="AQ34" i="2"/>
  <c r="BF34" i="2"/>
  <c r="BP34" i="2"/>
  <c r="CE34" i="2"/>
  <c r="CG34" i="2"/>
  <c r="AP35" i="2"/>
  <c r="AQ35" i="2"/>
  <c r="BF35" i="2"/>
  <c r="BP35" i="2"/>
  <c r="CE35" i="2"/>
  <c r="CG35" i="2"/>
  <c r="AP36" i="2"/>
  <c r="AQ36" i="2"/>
  <c r="BF36" i="2"/>
  <c r="BP36" i="2"/>
  <c r="CE36" i="2"/>
  <c r="CG36" i="2"/>
  <c r="AP37" i="2"/>
  <c r="AQ37" i="2"/>
  <c r="BF37" i="2"/>
  <c r="BP37" i="2"/>
  <c r="CE37" i="2"/>
  <c r="CG37" i="2"/>
  <c r="AP38" i="2"/>
  <c r="AQ38" i="2"/>
  <c r="BF38" i="2"/>
  <c r="BP38" i="2"/>
  <c r="CE38" i="2"/>
  <c r="CG38" i="2"/>
  <c r="AP39" i="2"/>
  <c r="AQ39" i="2"/>
  <c r="BF39" i="2"/>
  <c r="BP39" i="2"/>
  <c r="CE39" i="2"/>
  <c r="CG39" i="2"/>
  <c r="AP40" i="2"/>
  <c r="AQ40" i="2"/>
  <c r="BF40" i="2"/>
  <c r="BP40" i="2"/>
  <c r="CE40" i="2"/>
  <c r="CG40" i="2"/>
  <c r="AP41" i="2"/>
  <c r="AQ41" i="2"/>
  <c r="BP41" i="2"/>
  <c r="CE41" i="2"/>
  <c r="CG41" i="2"/>
  <c r="AP42" i="2"/>
  <c r="AQ42" i="2"/>
  <c r="BF42" i="2"/>
  <c r="BP42" i="2"/>
  <c r="CE42" i="2"/>
  <c r="CG42" i="2"/>
  <c r="AP43" i="2"/>
  <c r="AQ43" i="2"/>
  <c r="BP43" i="2"/>
  <c r="CE43" i="2"/>
  <c r="CG43" i="2"/>
  <c r="AP44" i="2"/>
  <c r="AQ44" i="2"/>
  <c r="BF44" i="2"/>
  <c r="BP44" i="2"/>
  <c r="CE44" i="2"/>
  <c r="CG44" i="2"/>
  <c r="AP45" i="2"/>
  <c r="AQ45" i="2"/>
  <c r="BF45" i="2"/>
  <c r="BP45" i="2"/>
  <c r="CE45" i="2"/>
  <c r="CG45" i="2"/>
  <c r="AP46" i="2"/>
  <c r="AQ46" i="2"/>
  <c r="BF46" i="2"/>
  <c r="BP46" i="2"/>
  <c r="CE46" i="2"/>
  <c r="CG46" i="2"/>
  <c r="AP47" i="2"/>
  <c r="AQ47" i="2"/>
  <c r="BF47" i="2"/>
  <c r="BP47" i="2"/>
  <c r="CE47" i="2"/>
  <c r="CG47" i="2"/>
  <c r="AP48" i="2"/>
  <c r="AQ48" i="2"/>
  <c r="BF48" i="2"/>
  <c r="BP48" i="2"/>
  <c r="CE48" i="2"/>
  <c r="CG48" i="2"/>
  <c r="AP49" i="2"/>
  <c r="AQ49" i="2"/>
  <c r="BF49" i="2"/>
  <c r="BP49" i="2"/>
  <c r="CE49" i="2"/>
  <c r="CG49" i="2"/>
  <c r="AP50" i="2"/>
  <c r="AQ50" i="2"/>
  <c r="BF50" i="2"/>
  <c r="BP50" i="2"/>
  <c r="CE50" i="2"/>
  <c r="CG50" i="2"/>
  <c r="AP51" i="2"/>
  <c r="AQ51" i="2"/>
  <c r="BF51" i="2"/>
  <c r="BP51" i="2"/>
  <c r="CE51" i="2"/>
  <c r="CG51" i="2"/>
  <c r="AP52" i="2"/>
  <c r="AQ52" i="2"/>
  <c r="BF52" i="2"/>
  <c r="BP52" i="2"/>
  <c r="CE52" i="2"/>
  <c r="CG52" i="2"/>
  <c r="AP53" i="2"/>
  <c r="AQ53" i="2"/>
  <c r="BF53" i="2"/>
  <c r="BP53" i="2"/>
  <c r="CE53" i="2"/>
  <c r="CG53" i="2"/>
  <c r="BF54" i="2"/>
  <c r="BP54" i="2"/>
  <c r="CE54" i="2"/>
  <c r="CG54" i="2"/>
  <c r="AP55" i="2"/>
  <c r="AQ55" i="2"/>
  <c r="BF55" i="2"/>
  <c r="BP55" i="2"/>
  <c r="CE55" i="2"/>
  <c r="CG55" i="2"/>
  <c r="BF56" i="2"/>
  <c r="BP56" i="2"/>
  <c r="CE56" i="2"/>
  <c r="CG56" i="2"/>
  <c r="BF57" i="2"/>
  <c r="BP57" i="2"/>
  <c r="CE57" i="2"/>
  <c r="CG57" i="2"/>
  <c r="BF58" i="2"/>
  <c r="BP58" i="2"/>
  <c r="CE58" i="2"/>
  <c r="CG58" i="2"/>
  <c r="BF59" i="2"/>
  <c r="BP59" i="2"/>
  <c r="CE59" i="2"/>
  <c r="CG59" i="2"/>
  <c r="BF60" i="2"/>
  <c r="BP60" i="2"/>
  <c r="CE60" i="2"/>
  <c r="CG60" i="2"/>
  <c r="BF61" i="2"/>
  <c r="BP61" i="2"/>
  <c r="CE61" i="2"/>
  <c r="CG61" i="2"/>
  <c r="BF62" i="2"/>
  <c r="BP62" i="2"/>
  <c r="CE62" i="2"/>
  <c r="CG62" i="2"/>
  <c r="AP63" i="2"/>
  <c r="AQ63" i="2"/>
  <c r="BF63" i="2"/>
  <c r="BP63" i="2"/>
  <c r="CE63" i="2"/>
  <c r="CG63" i="2"/>
  <c r="AP64" i="2"/>
  <c r="AQ64" i="2"/>
  <c r="BF64" i="2"/>
  <c r="BP64" i="2"/>
  <c r="CE64" i="2"/>
  <c r="CG64" i="2"/>
  <c r="AP65" i="2"/>
  <c r="AQ65" i="2"/>
  <c r="BF65" i="2"/>
  <c r="BP65" i="2"/>
  <c r="CE65" i="2"/>
  <c r="CG65" i="2"/>
  <c r="AP66" i="2"/>
  <c r="AQ66" i="2"/>
  <c r="BF66" i="2"/>
  <c r="BP66" i="2"/>
  <c r="CE66" i="2"/>
  <c r="CG66" i="2"/>
  <c r="AP67" i="2"/>
  <c r="AQ67" i="2"/>
  <c r="BF67" i="2"/>
  <c r="BP67" i="2"/>
  <c r="CE67" i="2"/>
  <c r="CG67" i="2"/>
  <c r="AP68" i="2"/>
  <c r="AQ68" i="2"/>
  <c r="BF68" i="2"/>
  <c r="BP68" i="2"/>
  <c r="CE68" i="2"/>
  <c r="CG68" i="2"/>
  <c r="AP69" i="2"/>
  <c r="AQ69" i="2"/>
  <c r="BF69" i="2"/>
  <c r="BP69" i="2"/>
  <c r="CE69" i="2"/>
  <c r="CG69" i="2"/>
  <c r="AP70" i="2"/>
  <c r="AQ70" i="2"/>
  <c r="BF70" i="2"/>
  <c r="BP70" i="2"/>
  <c r="CE70" i="2"/>
  <c r="CG70" i="2"/>
  <c r="AP71" i="2"/>
  <c r="AQ71" i="2"/>
  <c r="BF71" i="2"/>
  <c r="BP71" i="2"/>
  <c r="CE71" i="2"/>
  <c r="CG71" i="2"/>
  <c r="AP72" i="2"/>
  <c r="AQ72" i="2"/>
  <c r="BF72" i="2"/>
  <c r="BP72" i="2"/>
  <c r="CE72" i="2"/>
  <c r="CG72" i="2"/>
  <c r="AP73" i="2"/>
  <c r="AQ73" i="2"/>
  <c r="BF73" i="2"/>
  <c r="BP73" i="2"/>
  <c r="CE73" i="2"/>
  <c r="CG73" i="2"/>
  <c r="AP74" i="2"/>
  <c r="AQ74" i="2"/>
  <c r="BF74" i="2"/>
  <c r="BP74" i="2"/>
  <c r="CE74" i="2"/>
  <c r="CG74" i="2"/>
  <c r="AP75" i="2"/>
  <c r="AQ75" i="2"/>
  <c r="BF75" i="2"/>
  <c r="BP75" i="2"/>
  <c r="CE75" i="2"/>
  <c r="CG75" i="2"/>
  <c r="AP76" i="2"/>
  <c r="AQ76" i="2"/>
  <c r="BF76" i="2"/>
  <c r="BP76" i="2"/>
  <c r="CE76" i="2"/>
  <c r="CG76" i="2"/>
  <c r="AP77" i="2"/>
  <c r="AQ77" i="2"/>
  <c r="BF77" i="2"/>
  <c r="BP77" i="2"/>
  <c r="CE77" i="2"/>
  <c r="CG77" i="2"/>
  <c r="AP78" i="2"/>
  <c r="AQ78" i="2"/>
  <c r="BF78" i="2"/>
  <c r="BP78" i="2"/>
  <c r="CE78" i="2"/>
  <c r="CG78" i="2"/>
  <c r="AP79" i="2"/>
  <c r="AQ79" i="2"/>
  <c r="BF79" i="2"/>
  <c r="BP79" i="2"/>
  <c r="CE79" i="2"/>
  <c r="CG79" i="2"/>
  <c r="AP80" i="2"/>
  <c r="AQ80" i="2"/>
  <c r="BF80" i="2"/>
  <c r="BP80" i="2"/>
  <c r="CE80" i="2"/>
  <c r="CG80" i="2"/>
  <c r="AP81" i="2"/>
  <c r="AQ81" i="2"/>
  <c r="BF81" i="2"/>
  <c r="BP81" i="2"/>
  <c r="CE81" i="2"/>
  <c r="CG81" i="2"/>
  <c r="AP82" i="2"/>
  <c r="AQ82" i="2"/>
  <c r="BF82" i="2"/>
  <c r="BP82" i="2"/>
  <c r="CE82" i="2"/>
  <c r="CG82" i="2"/>
  <c r="AP83" i="2"/>
  <c r="AQ83" i="2"/>
  <c r="BF83" i="2"/>
  <c r="BP83" i="2"/>
  <c r="CE83" i="2"/>
  <c r="CG83" i="2"/>
  <c r="BP84" i="2"/>
  <c r="CE84" i="2"/>
  <c r="CG84" i="2"/>
  <c r="BP85" i="2"/>
  <c r="CE85" i="2"/>
  <c r="BP86" i="2"/>
  <c r="CE86" i="2"/>
  <c r="BP87" i="2"/>
  <c r="CE87" i="2"/>
  <c r="BY88" i="2"/>
  <c r="CG88" i="2"/>
  <c r="AE104" i="3" l="1"/>
  <c r="AO104" i="3"/>
  <c r="AE61" i="3"/>
  <c r="AO61" i="3"/>
  <c r="BE21" i="3"/>
  <c r="AE60" i="3"/>
  <c r="AO60" i="3"/>
  <c r="AE62" i="3"/>
  <c r="AO62" i="3"/>
  <c r="BD42" i="3"/>
  <c r="BE41" i="3"/>
  <c r="BE120" i="3"/>
  <c r="BF120" i="3"/>
  <c r="BD120" i="3"/>
  <c r="BF101" i="3"/>
  <c r="BD101" i="3"/>
  <c r="BE101" i="3"/>
  <c r="BD89" i="3"/>
  <c r="BE89" i="3"/>
  <c r="BF89" i="3"/>
  <c r="BE50" i="3"/>
  <c r="BF50" i="3"/>
  <c r="BD50" i="3"/>
  <c r="BD112" i="3"/>
  <c r="BF112" i="3"/>
  <c r="BE112" i="3"/>
  <c r="BD115" i="3"/>
  <c r="BE115" i="3"/>
  <c r="BF115" i="3"/>
  <c r="BF84" i="3"/>
  <c r="BD84" i="3"/>
  <c r="BE84" i="3"/>
  <c r="BE36" i="3"/>
  <c r="BF36" i="3"/>
  <c r="BD36" i="3"/>
  <c r="BE31" i="3"/>
  <c r="BD31" i="3"/>
  <c r="BF31" i="3"/>
  <c r="BF19" i="3"/>
  <c r="BE19" i="3"/>
  <c r="BD19" i="3"/>
  <c r="BD111" i="3"/>
  <c r="BE111" i="3"/>
  <c r="BF111" i="3"/>
  <c r="BF21" i="3"/>
  <c r="BF16" i="3"/>
  <c r="BE40" i="3"/>
  <c r="BF122" i="3"/>
  <c r="BE122" i="3"/>
  <c r="BD122" i="3"/>
  <c r="BF52" i="3"/>
  <c r="BE52" i="3"/>
  <c r="BD52" i="3"/>
  <c r="BF38" i="3"/>
  <c r="BD38" i="3"/>
  <c r="BE38" i="3"/>
  <c r="BF26" i="3"/>
  <c r="BD26" i="3"/>
  <c r="BE26" i="3"/>
  <c r="BE110" i="3"/>
  <c r="BF110" i="3"/>
  <c r="BD110" i="3"/>
  <c r="BD37" i="3"/>
  <c r="BF42" i="3"/>
  <c r="BD40" i="3"/>
  <c r="BD117" i="3"/>
  <c r="BF117" i="3"/>
  <c r="BE117" i="3"/>
  <c r="BF86" i="3"/>
  <c r="BD86" i="3"/>
  <c r="BE86" i="3"/>
  <c r="BD47" i="3"/>
  <c r="BF47" i="3"/>
  <c r="BE47" i="3"/>
  <c r="BD124" i="3"/>
  <c r="BE124" i="3"/>
  <c r="BF124" i="3"/>
  <c r="BE106" i="3"/>
  <c r="BD106" i="3"/>
  <c r="BF106" i="3"/>
  <c r="BD54" i="3"/>
  <c r="BF54" i="3"/>
  <c r="BE54" i="3"/>
  <c r="BA45" i="3"/>
  <c r="BB45" i="3"/>
  <c r="BE33" i="3"/>
  <c r="BD33" i="3"/>
  <c r="BF33" i="3"/>
  <c r="BD28" i="3"/>
  <c r="BE28" i="3"/>
  <c r="BF28" i="3"/>
  <c r="BE39" i="3"/>
  <c r="BF119" i="3"/>
  <c r="BE119" i="3"/>
  <c r="BD119" i="3"/>
  <c r="BE102" i="3"/>
  <c r="BF102" i="3"/>
  <c r="BD102" i="3"/>
  <c r="BF100" i="3"/>
  <c r="BE100" i="3"/>
  <c r="BD100" i="3"/>
  <c r="BD88" i="3"/>
  <c r="BE88" i="3"/>
  <c r="BF88" i="3"/>
  <c r="BE49" i="3"/>
  <c r="BD49" i="3"/>
  <c r="BF49" i="3"/>
  <c r="BD46" i="3"/>
  <c r="BE25" i="3"/>
  <c r="BF39" i="3"/>
  <c r="BF56" i="3"/>
  <c r="BE56" i="3"/>
  <c r="BD56" i="3"/>
  <c r="BD35" i="3"/>
  <c r="BE35" i="3"/>
  <c r="BF35" i="3"/>
  <c r="BE30" i="3"/>
  <c r="BD30" i="3"/>
  <c r="BF30" i="3"/>
  <c r="BE46" i="3"/>
  <c r="BF25" i="3"/>
  <c r="BF43" i="3"/>
  <c r="BD114" i="3"/>
  <c r="BE114" i="3"/>
  <c r="BF114" i="3"/>
  <c r="BF121" i="3"/>
  <c r="BE121" i="3"/>
  <c r="BD121" i="3"/>
  <c r="BD51" i="3"/>
  <c r="BE51" i="3"/>
  <c r="BF51" i="3"/>
  <c r="BE20" i="3"/>
  <c r="BF20" i="3"/>
  <c r="BD20" i="3"/>
  <c r="BD43" i="3"/>
  <c r="BF116" i="3"/>
  <c r="BE116" i="3"/>
  <c r="BD116" i="3"/>
  <c r="BF85" i="3"/>
  <c r="BD85" i="3"/>
  <c r="BE85" i="3"/>
  <c r="BF32" i="3"/>
  <c r="BD32" i="3"/>
  <c r="BE32" i="3"/>
  <c r="BF22" i="3"/>
  <c r="BE22" i="3"/>
  <c r="BD22" i="3"/>
  <c r="BF93" i="3"/>
  <c r="BE93" i="3"/>
  <c r="BD93" i="3"/>
  <c r="BD23" i="3"/>
  <c r="BD17" i="3"/>
  <c r="BD14" i="3"/>
  <c r="BF53" i="3"/>
  <c r="BE53" i="3"/>
  <c r="BD53" i="3"/>
  <c r="BE27" i="3"/>
  <c r="BF27" i="3"/>
  <c r="BD27" i="3"/>
  <c r="BD92" i="3"/>
  <c r="BE92" i="3"/>
  <c r="BF92" i="3"/>
  <c r="BF23" i="3"/>
  <c r="BE17" i="3"/>
  <c r="BE14" i="3"/>
  <c r="BE15" i="3"/>
  <c r="BD118" i="3"/>
  <c r="BE118" i="3"/>
  <c r="BF118" i="3"/>
  <c r="BD99" i="3"/>
  <c r="BF99" i="3"/>
  <c r="BE99" i="3"/>
  <c r="BF94" i="3"/>
  <c r="BE94" i="3"/>
  <c r="BD94" i="3"/>
  <c r="BD87" i="3"/>
  <c r="BE87" i="3"/>
  <c r="BF87" i="3"/>
  <c r="BD48" i="3"/>
  <c r="BE48" i="3"/>
  <c r="BF48" i="3"/>
  <c r="BA44" i="3"/>
  <c r="BB44" i="3"/>
  <c r="BE91" i="3"/>
  <c r="BF91" i="3"/>
  <c r="BD91" i="3"/>
  <c r="BF15" i="3"/>
  <c r="BD123" i="3"/>
  <c r="BE123" i="3"/>
  <c r="BF123" i="3"/>
  <c r="BF113" i="3"/>
  <c r="BE113" i="3"/>
  <c r="BD113" i="3"/>
  <c r="BF55" i="3"/>
  <c r="BE55" i="3"/>
  <c r="BD55" i="3"/>
  <c r="BF34" i="3"/>
  <c r="BE34" i="3"/>
  <c r="BD34" i="3"/>
  <c r="BD29" i="3"/>
  <c r="BE29" i="3"/>
  <c r="BF29" i="3"/>
  <c r="BF90" i="3"/>
  <c r="BD90" i="3"/>
  <c r="BE90" i="3"/>
  <c r="BD41" i="3"/>
  <c r="AQ36" i="3"/>
  <c r="BE109" i="3"/>
  <c r="BF109" i="3"/>
  <c r="BD109" i="3"/>
  <c r="BF108" i="3"/>
  <c r="BE108" i="3"/>
  <c r="BD108" i="3"/>
  <c r="BE107" i="3"/>
  <c r="BF107" i="3"/>
  <c r="BD107" i="3"/>
  <c r="BE24" i="3"/>
  <c r="BD24" i="3"/>
  <c r="BD18" i="3"/>
  <c r="BE18" i="3"/>
  <c r="X63" i="3"/>
  <c r="AC63" i="3" s="1"/>
  <c r="BH63" i="3"/>
  <c r="X59" i="3"/>
  <c r="AC59" i="3" s="1"/>
  <c r="BH59" i="3"/>
  <c r="X62" i="3"/>
  <c r="AC62" i="3" s="1"/>
  <c r="BH62" i="3"/>
  <c r="X105" i="3"/>
  <c r="AC105" i="3" s="1"/>
  <c r="BI105" i="3" s="1"/>
  <c r="BH105" i="3"/>
  <c r="X61" i="3"/>
  <c r="AC61" i="3" s="1"/>
  <c r="BH61" i="3"/>
  <c r="X103" i="3"/>
  <c r="AC103" i="3" s="1"/>
  <c r="BI103" i="3" s="1"/>
  <c r="BH103" i="3"/>
  <c r="X104" i="3"/>
  <c r="AC104" i="3" s="1"/>
  <c r="BI104" i="3" s="1"/>
  <c r="BH104" i="3"/>
  <c r="X60" i="3"/>
  <c r="AC60" i="3" s="1"/>
  <c r="BH60" i="3"/>
  <c r="BE44" i="3"/>
  <c r="BD44" i="3"/>
  <c r="BE45" i="3"/>
  <c r="BD45" i="3"/>
  <c r="BF68" i="3"/>
  <c r="BD68" i="3"/>
  <c r="BE68" i="3"/>
  <c r="BE64" i="3"/>
  <c r="BF64" i="3"/>
  <c r="BD64" i="3"/>
  <c r="BF75" i="3"/>
  <c r="BE75" i="3"/>
  <c r="BD75" i="3"/>
  <c r="BE69" i="3"/>
  <c r="BD69" i="3"/>
  <c r="BF69" i="3"/>
  <c r="BF65" i="3"/>
  <c r="BE65" i="3"/>
  <c r="BD65" i="3"/>
  <c r="BE11" i="3"/>
  <c r="BD11" i="3"/>
  <c r="BF11" i="3"/>
  <c r="BF73" i="3"/>
  <c r="BE73" i="3"/>
  <c r="BD73" i="3"/>
  <c r="BF83" i="3"/>
  <c r="BD83" i="3"/>
  <c r="BE83" i="3"/>
  <c r="AJ61" i="3"/>
  <c r="BD76" i="3"/>
  <c r="BF76" i="3"/>
  <c r="BE76" i="3"/>
  <c r="BE70" i="3"/>
  <c r="BD70" i="3"/>
  <c r="BF70" i="3"/>
  <c r="BF79" i="3"/>
  <c r="BE79" i="3"/>
  <c r="BD79" i="3"/>
  <c r="AF62" i="3"/>
  <c r="BF77" i="3"/>
  <c r="BD77" i="3"/>
  <c r="BE77" i="3"/>
  <c r="BF71" i="3"/>
  <c r="BE71" i="3"/>
  <c r="BD71" i="3"/>
  <c r="BF67" i="3"/>
  <c r="BD67" i="3"/>
  <c r="BE67" i="3"/>
  <c r="AJ63" i="3"/>
  <c r="BD13" i="3"/>
  <c r="BF13" i="3"/>
  <c r="BE13" i="3"/>
  <c r="BF9" i="3"/>
  <c r="BD9" i="3"/>
  <c r="BE9" i="3"/>
  <c r="BD78" i="3"/>
  <c r="BE78" i="3"/>
  <c r="BF78" i="3"/>
  <c r="AJ104" i="3"/>
  <c r="AT104" i="3" s="1"/>
  <c r="BK104" i="3" s="1"/>
  <c r="BF10" i="3"/>
  <c r="BE10" i="3"/>
  <c r="BD10" i="3"/>
  <c r="AJ103" i="3"/>
  <c r="AT103" i="3" s="1"/>
  <c r="BK103" i="3" s="1"/>
  <c r="BF80" i="3"/>
  <c r="BE80" i="3"/>
  <c r="BD80" i="3"/>
  <c r="BF58" i="3"/>
  <c r="BE58" i="3"/>
  <c r="BD58" i="3"/>
  <c r="BF6" i="3"/>
  <c r="BE6" i="3"/>
  <c r="BD6" i="3"/>
  <c r="BF72" i="3"/>
  <c r="BD72" i="3"/>
  <c r="BE72" i="3"/>
  <c r="AF59" i="3"/>
  <c r="BF74" i="3"/>
  <c r="BE74" i="3"/>
  <c r="BD74" i="3"/>
  <c r="BF81" i="3"/>
  <c r="BD81" i="3"/>
  <c r="BE81" i="3"/>
  <c r="AM105" i="3"/>
  <c r="BF82" i="3"/>
  <c r="BD82" i="3"/>
  <c r="BE82" i="3"/>
  <c r="BE66" i="3"/>
  <c r="BF66" i="3"/>
  <c r="BD66" i="3"/>
  <c r="BE12" i="3"/>
  <c r="BF12" i="3"/>
  <c r="BD12" i="3"/>
  <c r="BF8" i="3"/>
  <c r="BE8" i="3"/>
  <c r="BD8" i="3"/>
  <c r="BF57" i="3"/>
  <c r="BE57" i="3"/>
  <c r="BD57" i="3"/>
  <c r="BF5" i="3"/>
  <c r="BE5" i="3"/>
  <c r="BD5" i="3"/>
  <c r="AR104" i="3"/>
  <c r="AQ104" i="3"/>
  <c r="AR103" i="3"/>
  <c r="AQ103" i="3"/>
  <c r="AR105" i="3"/>
  <c r="AQ105" i="3"/>
  <c r="AL61" i="3"/>
  <c r="BL61" i="3" s="1"/>
  <c r="BC61" i="3" s="1"/>
  <c r="AK61" i="3"/>
  <c r="AL62" i="3"/>
  <c r="BL62" i="3" s="1"/>
  <c r="BC62" i="3" s="1"/>
  <c r="AK62" i="3"/>
  <c r="AL104" i="3"/>
  <c r="BL104" i="3" s="1"/>
  <c r="AL60" i="3"/>
  <c r="BL60" i="3" s="1"/>
  <c r="BC60" i="3" s="1"/>
  <c r="AK60" i="3"/>
  <c r="AE63" i="3"/>
  <c r="BN63" i="3"/>
  <c r="AU63" i="3"/>
  <c r="BM63" i="3" s="1"/>
  <c r="AJ60" i="3"/>
  <c r="AM60" i="3"/>
  <c r="AF60" i="3"/>
  <c r="AF103" i="3"/>
  <c r="BN103" i="3" s="1"/>
  <c r="AE103" i="3"/>
  <c r="BN59" i="3"/>
  <c r="AE59" i="3"/>
  <c r="AU59" i="3"/>
  <c r="BM59" i="3" s="1"/>
  <c r="AF105" i="3"/>
  <c r="BN105" i="3" s="1"/>
  <c r="AE105" i="3"/>
  <c r="AF104" i="3"/>
  <c r="BN104" i="3" s="1"/>
  <c r="AW63" i="3"/>
  <c r="AG63" i="3"/>
  <c r="AW61" i="3"/>
  <c r="AG61" i="3"/>
  <c r="AF63" i="3"/>
  <c r="BN62" i="3"/>
  <c r="AU62" i="3"/>
  <c r="BM62" i="3" s="1"/>
  <c r="BN61" i="3"/>
  <c r="AU61" i="3"/>
  <c r="BM61" i="3" s="1"/>
  <c r="AG104" i="3"/>
  <c r="AW104" i="3"/>
  <c r="AW103" i="3"/>
  <c r="AG103" i="3"/>
  <c r="AU60" i="3"/>
  <c r="BM60" i="3" s="1"/>
  <c r="BN60" i="3"/>
  <c r="AM62" i="3"/>
  <c r="AM63" i="3"/>
  <c r="AJ62" i="3"/>
  <c r="AG62" i="3"/>
  <c r="AJ59" i="3"/>
  <c r="AW105" i="3"/>
  <c r="AG59" i="3"/>
  <c r="AM59" i="3"/>
  <c r="AF61" i="3"/>
  <c r="AW60" i="3"/>
  <c r="AM61" i="3"/>
  <c r="BA62" i="3" l="1"/>
  <c r="BB62" i="3"/>
  <c r="BA60" i="3"/>
  <c r="BB60" i="3"/>
  <c r="BA61" i="3"/>
  <c r="BB61" i="3"/>
  <c r="BC104" i="3"/>
  <c r="BA104" i="3"/>
  <c r="BB104" i="3"/>
  <c r="BD60" i="3"/>
  <c r="BF59" i="3"/>
  <c r="BF61" i="3"/>
  <c r="AM104" i="3"/>
  <c r="BF62" i="3"/>
  <c r="BE60" i="3"/>
  <c r="BF103" i="3"/>
  <c r="BF60" i="3"/>
  <c r="BF63" i="3"/>
  <c r="BD63" i="3"/>
  <c r="BE63" i="3"/>
  <c r="BE59" i="3"/>
  <c r="BD59" i="3"/>
  <c r="BD103" i="3"/>
  <c r="BE103" i="3"/>
  <c r="BD105" i="3"/>
  <c r="AM103" i="3"/>
  <c r="AJ105" i="3"/>
  <c r="AT105" i="3" s="1"/>
  <c r="BD61" i="3"/>
  <c r="BE61" i="3"/>
  <c r="BE62" i="3"/>
  <c r="BD62" i="3"/>
  <c r="AL59" i="3"/>
  <c r="BL59" i="3" s="1"/>
  <c r="BC59" i="3" s="1"/>
  <c r="AK59" i="3"/>
  <c r="AL103" i="3"/>
  <c r="BL103" i="3" s="1"/>
  <c r="BA103" i="3" s="1"/>
  <c r="AL63" i="3"/>
  <c r="BL63" i="3" s="1"/>
  <c r="BC63" i="3" s="1"/>
  <c r="AK63" i="3"/>
  <c r="AL105" i="3"/>
  <c r="BL105" i="3" s="1"/>
  <c r="BB63" i="3" l="1"/>
  <c r="BA63" i="3"/>
  <c r="BB59" i="3"/>
  <c r="BA59" i="3"/>
  <c r="BC103" i="3"/>
  <c r="BB103" i="3"/>
  <c r="BK105" i="3"/>
  <c r="BE104" i="3"/>
  <c r="BD104" i="3"/>
  <c r="BF105" i="3"/>
  <c r="BE105" i="3"/>
  <c r="BF104" i="3"/>
  <c r="BA105" i="3" l="1"/>
  <c r="BB105" i="3"/>
  <c r="BC10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Yuzo Fujita</author>
    <author>User</author>
  </authors>
  <commentList>
    <comment ref="BG3" authorId="0" shapeId="0" xr:uid="{00000000-0006-0000-0200-000001000000}">
      <text>
        <r>
          <rPr>
            <b/>
            <sz val="9"/>
            <color indexed="81"/>
            <rFont val="MS P ゴシック"/>
            <family val="3"/>
            <charset val="128"/>
          </rPr>
          <t xml:space="preserve">うす紙
普通紙
下記は除く
厚紙
コート紙
xxx(うら)
穴空き紙
タブ紙
ラベル紙
布地転写紙
タックフィルム
OHP
はがき
封筒
</t>
        </r>
        <r>
          <rPr>
            <sz val="9"/>
            <color indexed="81"/>
            <rFont val="MS P ゴシック"/>
            <family val="3"/>
            <charset val="128"/>
          </rPr>
          <t xml:space="preserve">
</t>
        </r>
      </text>
    </comment>
    <comment ref="BI7" authorId="1" shapeId="0" xr:uid="{00000000-0006-0000-0200-000002000000}">
      <text>
        <r>
          <rPr>
            <b/>
            <sz val="9"/>
            <color indexed="81"/>
            <rFont val="MS P ゴシック"/>
            <family val="3"/>
            <charset val="128"/>
          </rPr>
          <t>(3)小冊子(中折り)は禁止だが、二つ折りとしては許可する。</t>
        </r>
        <r>
          <rPr>
            <sz val="9"/>
            <color indexed="81"/>
            <rFont val="MS P ゴシック"/>
            <family val="3"/>
            <charset val="128"/>
          </rPr>
          <t xml:space="preserve">
</t>
        </r>
      </text>
    </comment>
    <comment ref="BJ7" authorId="1" shapeId="0" xr:uid="{00000000-0006-0000-0200-000003000000}">
      <text>
        <r>
          <rPr>
            <b/>
            <sz val="9"/>
            <color indexed="81"/>
            <rFont val="MS P ゴシック"/>
            <family val="3"/>
            <charset val="128"/>
          </rPr>
          <t>(3)小冊子(中折り)は禁止だが、二つ折りとしては許可する。</t>
        </r>
      </text>
    </comment>
    <comment ref="BK7" authorId="1" shapeId="0" xr:uid="{00000000-0006-0000-0200-000004000000}">
      <text>
        <r>
          <rPr>
            <b/>
            <sz val="9"/>
            <color indexed="81"/>
            <rFont val="MS P ゴシック"/>
            <family val="3"/>
            <charset val="128"/>
          </rPr>
          <t>(3)小冊子(中折り)は禁止だが、二つ折りとしては許可する。</t>
        </r>
      </text>
    </comment>
    <comment ref="BL7" authorId="1" shapeId="0" xr:uid="{00000000-0006-0000-0200-000005000000}">
      <text>
        <r>
          <rPr>
            <b/>
            <sz val="9"/>
            <color indexed="81"/>
            <rFont val="MS P ゴシック"/>
            <family val="3"/>
            <charset val="128"/>
          </rPr>
          <t>(3)小冊子(中折り)は禁止だが、二つ折りとしては許可する。</t>
        </r>
        <r>
          <rPr>
            <sz val="9"/>
            <color indexed="81"/>
            <rFont val="MS P ゴシック"/>
            <family val="3"/>
            <charset val="128"/>
          </rPr>
          <t xml:space="preserve">
</t>
        </r>
      </text>
    </comment>
    <comment ref="BM7" authorId="1" shapeId="0" xr:uid="{00000000-0006-0000-0200-000006000000}">
      <text>
        <r>
          <rPr>
            <b/>
            <sz val="9"/>
            <color indexed="81"/>
            <rFont val="MS P ゴシック"/>
            <family val="3"/>
            <charset val="128"/>
          </rPr>
          <t>(3)小冊子(中折り)は禁止だが、二つ折りとしては許可する。</t>
        </r>
      </text>
    </comment>
    <comment ref="BN7" authorId="1" shapeId="0" xr:uid="{00000000-0006-0000-0200-000007000000}">
      <text>
        <r>
          <rPr>
            <b/>
            <sz val="9"/>
            <color indexed="81"/>
            <rFont val="MS P ゴシック"/>
            <family val="3"/>
            <charset val="128"/>
          </rPr>
          <t>(3)小冊子(中折り)は禁止だが、二つ折りとしては許可する。</t>
        </r>
        <r>
          <rPr>
            <sz val="9"/>
            <color indexed="81"/>
            <rFont val="MS P 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800-000001000000}">
      <text>
        <r>
          <rPr>
            <b/>
            <sz val="8"/>
            <color indexed="81"/>
            <rFont val="ＭＳ Ｐゴシック"/>
            <family val="3"/>
            <charset val="128"/>
          </rPr>
          <t>仕様書記載の名称、並び順は独自に決めています。ガイドラインは存在する？</t>
        </r>
      </text>
    </comment>
    <comment ref="B1" authorId="0" shapeId="0" xr:uid="{00000000-0006-0000-0800-000002000000}">
      <text>
        <r>
          <rPr>
            <b/>
            <sz val="8"/>
            <color indexed="81"/>
            <rFont val="ＭＳ Ｐゴシック"/>
            <family val="3"/>
            <charset val="128"/>
          </rPr>
          <t>PF定義値以外にもIOT制御分類用に定義値が必要かもしれないが、マクロ名が同一なので省略。</t>
        </r>
      </text>
    </comment>
    <comment ref="E1" authorId="0" shapeId="0" xr:uid="{00000000-0006-0000-0800-000003000000}">
      <text>
        <r>
          <rPr>
            <b/>
            <sz val="8"/>
            <color indexed="81"/>
            <rFont val="ＭＳ Ｐゴシック"/>
            <family val="3"/>
            <charset val="128"/>
          </rPr>
          <t>仕様書記載の名称、並び順は宮野さんリストに従っています</t>
        </r>
      </text>
    </comment>
    <comment ref="F1" authorId="0" shapeId="0" xr:uid="{00000000-0006-0000-0800-000004000000}">
      <text>
        <r>
          <rPr>
            <b/>
            <sz val="8"/>
            <color indexed="81"/>
            <rFont val="ＭＳ Ｐゴシック"/>
            <family val="3"/>
            <charset val="128"/>
          </rPr>
          <t>一部PF定義が存在しないものがある</t>
        </r>
        <r>
          <rPr>
            <sz val="8"/>
            <color indexed="81"/>
            <rFont val="ＭＳ Ｐゴシック"/>
            <family val="3"/>
            <charset val="128"/>
          </rPr>
          <t xml:space="preserve">
</t>
        </r>
      </text>
    </comment>
    <comment ref="A4" authorId="0" shapeId="0" xr:uid="{00000000-0006-0000-0800-000005000000}">
      <text>
        <r>
          <rPr>
            <b/>
            <sz val="8"/>
            <color indexed="81"/>
            <rFont val="ＭＳ Ｐゴシック"/>
            <family val="3"/>
            <charset val="128"/>
          </rPr>
          <t>両面用ではないので正しくは「うら紙」</t>
        </r>
      </text>
    </comment>
    <comment ref="A83" authorId="0" shapeId="0" xr:uid="{00000000-0006-0000-0800-00000E000000}">
      <text>
        <r>
          <rPr>
            <b/>
            <sz val="8"/>
            <color indexed="81"/>
            <rFont val="ＭＳ Ｐゴシック"/>
            <family val="3"/>
            <charset val="128"/>
          </rPr>
          <t>画質制御分類用のみに存在する</t>
        </r>
      </text>
    </comment>
    <comment ref="A84" authorId="0" shapeId="0" xr:uid="{00000000-0006-0000-0800-00000F000000}">
      <text>
        <r>
          <rPr>
            <b/>
            <sz val="8"/>
            <color indexed="81"/>
            <rFont val="ＭＳ Ｐゴシック"/>
            <family val="3"/>
            <charset val="128"/>
          </rPr>
          <t>画質制御分類用のみに存在する</t>
        </r>
      </text>
    </comment>
    <comment ref="A97" authorId="0" shapeId="0" xr:uid="{00000000-0006-0000-0800-000010000000}">
      <text>
        <r>
          <rPr>
            <b/>
            <sz val="8"/>
            <color indexed="81"/>
            <rFont val="ＭＳ Ｐゴシック"/>
            <family val="3"/>
            <charset val="128"/>
          </rPr>
          <t>画質制御分類用のみに存在する</t>
        </r>
      </text>
    </comment>
    <comment ref="A99" authorId="0" shapeId="0" xr:uid="{00000000-0006-0000-0800-000011000000}">
      <text>
        <r>
          <rPr>
            <b/>
            <sz val="8"/>
            <color indexed="81"/>
            <rFont val="ＭＳ Ｐゴシック"/>
            <family val="3"/>
            <charset val="128"/>
          </rPr>
          <t>画質制御分類用のみに存在する</t>
        </r>
      </text>
    </comment>
    <comment ref="A100" authorId="0" shapeId="0" xr:uid="{00000000-0006-0000-0800-000012000000}">
      <text>
        <r>
          <rPr>
            <b/>
            <sz val="8"/>
            <color indexed="81"/>
            <rFont val="ＭＳ Ｐゴシック"/>
            <family val="3"/>
            <charset val="128"/>
          </rPr>
          <t>画質制御分類用のみに存在する</t>
        </r>
      </text>
    </comment>
    <comment ref="A110" authorId="0" shapeId="0" xr:uid="{00000000-0006-0000-0800-000013000000}">
      <text>
        <r>
          <rPr>
            <b/>
            <sz val="8"/>
            <color indexed="81"/>
            <rFont val="ＭＳ Ｐゴシック"/>
            <family val="3"/>
            <charset val="128"/>
          </rPr>
          <t>画質制御分類用のみに存在する</t>
        </r>
        <r>
          <rPr>
            <sz val="8"/>
            <color indexed="81"/>
            <rFont val="ＭＳ Ｐゴシック"/>
            <family val="3"/>
            <charset val="128"/>
          </rPr>
          <t xml:space="preserve">
</t>
        </r>
      </text>
    </comment>
    <comment ref="A111" authorId="0" shapeId="0" xr:uid="{00000000-0006-0000-0800-000014000000}">
      <text>
        <r>
          <rPr>
            <b/>
            <sz val="8"/>
            <color indexed="81"/>
            <rFont val="ＭＳ Ｐゴシック"/>
            <family val="3"/>
            <charset val="128"/>
          </rPr>
          <t>画質制御分類用のみに存在する</t>
        </r>
      </text>
    </comment>
  </commentList>
</comments>
</file>

<file path=xl/sharedStrings.xml><?xml version="1.0" encoding="utf-8"?>
<sst xmlns="http://schemas.openxmlformats.org/spreadsheetml/2006/main" count="21546" uniqueCount="1126">
  <si>
    <t>LEF</t>
    <phoneticPr fontId="2"/>
  </si>
  <si>
    <t>○</t>
    <phoneticPr fontId="2"/>
  </si>
  <si>
    <t>LEF</t>
    <phoneticPr fontId="2"/>
  </si>
  <si>
    <t>SEF</t>
    <phoneticPr fontId="2"/>
  </si>
  <si>
    <t>○</t>
    <phoneticPr fontId="2"/>
  </si>
  <si>
    <t>SEF</t>
    <phoneticPr fontId="2"/>
  </si>
  <si>
    <t>封筒</t>
    <rPh sb="0" eb="2">
      <t>フウトウ</t>
    </rPh>
    <phoneticPr fontId="2"/>
  </si>
  <si>
    <t>SEF</t>
  </si>
  <si>
    <t>×</t>
  </si>
  <si>
    <t>LEF</t>
  </si>
  <si>
    <t>○</t>
  </si>
  <si>
    <t>A3</t>
  </si>
  <si>
    <t>B6</t>
  </si>
  <si>
    <t>備考</t>
    <rPh sb="0" eb="2">
      <t>ビコウ</t>
    </rPh>
    <phoneticPr fontId="2"/>
  </si>
  <si>
    <t>給紙</t>
    <rPh sb="0" eb="1">
      <t>キュウ</t>
    </rPh>
    <rPh sb="1" eb="2">
      <t>シ</t>
    </rPh>
    <phoneticPr fontId="2"/>
  </si>
  <si>
    <t>排出</t>
    <rPh sb="0" eb="2">
      <t>ハイシュツ</t>
    </rPh>
    <phoneticPr fontId="2"/>
  </si>
  <si>
    <t>B5</t>
  </si>
  <si>
    <t>B4</t>
  </si>
  <si>
    <t>往復はがき</t>
  </si>
  <si>
    <t>両面</t>
    <rPh sb="0" eb="2">
      <t>リョウメン</t>
    </rPh>
    <phoneticPr fontId="2"/>
  </si>
  <si>
    <t>用紙種類</t>
  </si>
  <si>
    <t>普通紙</t>
  </si>
  <si>
    <t>再生紙</t>
  </si>
  <si>
    <t>用紙サイズ</t>
  </si>
  <si>
    <t>日付</t>
    <rPh sb="0" eb="2">
      <t>ヒヅケ</t>
    </rPh>
    <phoneticPr fontId="2"/>
  </si>
  <si>
    <t>更新者</t>
    <rPh sb="0" eb="3">
      <t>コウシンシャ</t>
    </rPh>
    <phoneticPr fontId="2"/>
  </si>
  <si>
    <t>変更詳細</t>
    <rPh sb="0" eb="2">
      <t>ヘンコウ</t>
    </rPh>
    <rPh sb="2" eb="4">
      <t>ショウサイ</t>
    </rPh>
    <phoneticPr fontId="2"/>
  </si>
  <si>
    <t>バージョン</t>
    <phoneticPr fontId="2"/>
  </si>
  <si>
    <t>上質紙</t>
  </si>
  <si>
    <t>FINE</t>
  </si>
  <si>
    <t>STATIONARY</t>
  </si>
  <si>
    <t>USER1</t>
  </si>
  <si>
    <t>USER2</t>
  </si>
  <si>
    <t>USER3</t>
  </si>
  <si>
    <t>USER4</t>
  </si>
  <si>
    <t>USER5</t>
  </si>
  <si>
    <t>PREPUNCHED</t>
  </si>
  <si>
    <t>USED</t>
  </si>
  <si>
    <t>THIN</t>
  </si>
  <si>
    <t>TRANSPARENCY</t>
  </si>
  <si>
    <t>THICK1</t>
  </si>
  <si>
    <t>THICK2</t>
  </si>
  <si>
    <t>THICK1_FINISHER</t>
  </si>
  <si>
    <t>COATING1</t>
  </si>
  <si>
    <t>COATING2</t>
  </si>
  <si>
    <t>LABEL</t>
  </si>
  <si>
    <t>THICK1_REV</t>
  </si>
  <si>
    <t>THICK2_REV</t>
  </si>
  <si>
    <t>COATING1_REV</t>
  </si>
  <si>
    <t>COATING2_REV</t>
  </si>
  <si>
    <r>
      <t>厚紙</t>
    </r>
    <r>
      <rPr>
        <sz val="10"/>
        <rFont val="Courier New"/>
        <family val="3"/>
      </rPr>
      <t>1</t>
    </r>
  </si>
  <si>
    <r>
      <t>コート紙</t>
    </r>
    <r>
      <rPr>
        <sz val="10"/>
        <rFont val="Courier New"/>
        <family val="3"/>
      </rPr>
      <t>1</t>
    </r>
  </si>
  <si>
    <r>
      <t>コート紙</t>
    </r>
    <r>
      <rPr>
        <sz val="10"/>
        <rFont val="Courier New"/>
        <family val="3"/>
      </rPr>
      <t>2</t>
    </r>
  </si>
  <si>
    <r>
      <t xml:space="preserve">短辺
</t>
    </r>
    <r>
      <rPr>
        <sz val="10"/>
        <rFont val="Courier New"/>
        <family val="3"/>
      </rPr>
      <t>[mm]</t>
    </r>
    <rPh sb="0" eb="2">
      <t>タンペン</t>
    </rPh>
    <phoneticPr fontId="2"/>
  </si>
  <si>
    <r>
      <t xml:space="preserve">長辺
</t>
    </r>
    <r>
      <rPr>
        <sz val="10"/>
        <rFont val="Courier New"/>
        <family val="3"/>
      </rPr>
      <t>[mm]</t>
    </r>
    <rPh sb="0" eb="2">
      <t>チョウヘン</t>
    </rPh>
    <phoneticPr fontId="2"/>
  </si>
  <si>
    <r>
      <t>厚紙</t>
    </r>
    <r>
      <rPr>
        <sz val="10"/>
        <rFont val="Courier New"/>
        <family val="3"/>
      </rPr>
      <t>2</t>
    </r>
    <r>
      <rPr>
        <sz val="11"/>
        <rFont val="ＭＳ Ｐゴシック"/>
        <family val="3"/>
        <charset val="128"/>
      </rPr>
      <t/>
    </r>
  </si>
  <si>
    <t>給紙</t>
    <rPh sb="0" eb="2">
      <t>キュウシ</t>
    </rPh>
    <phoneticPr fontId="2"/>
  </si>
  <si>
    <t>○</t>
    <phoneticPr fontId="2"/>
  </si>
  <si>
    <t>×</t>
    <phoneticPr fontId="2"/>
  </si>
  <si>
    <t>SEF</t>
    <phoneticPr fontId="2"/>
  </si>
  <si>
    <t>LEF</t>
    <phoneticPr fontId="2"/>
  </si>
  <si>
    <t>-</t>
    <phoneticPr fontId="2"/>
  </si>
  <si>
    <r>
      <t>Features</t>
    </r>
    <r>
      <rPr>
        <b/>
        <i/>
        <shadow/>
        <sz val="18"/>
        <rFont val="ＭＳ Ｐゴシック"/>
        <family val="3"/>
        <charset val="128"/>
      </rPr>
      <t>＆</t>
    </r>
    <r>
      <rPr>
        <b/>
        <i/>
        <shadow/>
        <sz val="18"/>
        <rFont val="Arial"/>
        <family val="2"/>
      </rPr>
      <t>Functions</t>
    </r>
    <r>
      <rPr>
        <b/>
        <i/>
        <shadow/>
        <sz val="18"/>
        <rFont val="ＭＳ Ｐゴシック"/>
        <family val="3"/>
        <charset val="128"/>
      </rPr>
      <t>（</t>
    </r>
    <r>
      <rPr>
        <b/>
        <i/>
        <shadow/>
        <sz val="18"/>
        <rFont val="Arial"/>
        <family val="2"/>
      </rPr>
      <t>I : Device Function</t>
    </r>
    <r>
      <rPr>
        <b/>
        <i/>
        <shadow/>
        <sz val="18"/>
        <rFont val="ＭＳ Ｐゴシック"/>
        <family val="3"/>
        <charset val="128"/>
      </rPr>
      <t>）編</t>
    </r>
  </si>
  <si>
    <t>手差しトレイ</t>
    <rPh sb="0" eb="2">
      <t>テザ</t>
    </rPh>
    <phoneticPr fontId="2"/>
  </si>
  <si>
    <t>方向</t>
    <rPh sb="0" eb="2">
      <t>ホウコウ</t>
    </rPh>
    <phoneticPr fontId="2"/>
  </si>
  <si>
    <r>
      <t>封筒：</t>
    </r>
    <r>
      <rPr>
        <sz val="10"/>
        <rFont val="Courier New"/>
        <family val="3"/>
      </rPr>
      <t xml:space="preserve">Commercial#10 </t>
    </r>
  </si>
  <si>
    <r>
      <t>封筒：</t>
    </r>
    <r>
      <rPr>
        <sz val="10"/>
        <rFont val="Courier New"/>
        <family val="3"/>
      </rPr>
      <t xml:space="preserve">Monarch7.3/4 </t>
    </r>
  </si>
  <si>
    <r>
      <t>封筒：</t>
    </r>
    <r>
      <rPr>
        <sz val="10"/>
        <rFont val="Courier New"/>
        <family val="3"/>
      </rPr>
      <t xml:space="preserve">DL </t>
    </r>
  </si>
  <si>
    <t>THICK1_B</t>
  </si>
  <si>
    <t>THICK1_C</t>
  </si>
  <si>
    <t>THICK1_S</t>
  </si>
  <si>
    <t>THICK2_A</t>
  </si>
  <si>
    <t>THICK2_B</t>
  </si>
  <si>
    <t>THICK2_C</t>
  </si>
  <si>
    <t>THICK2_D</t>
  </si>
  <si>
    <t>THICK2_S</t>
  </si>
  <si>
    <t>THICK1_A</t>
  </si>
  <si>
    <r>
      <t>厚紙</t>
    </r>
    <r>
      <rPr>
        <sz val="10"/>
        <rFont val="Courier New"/>
        <family val="3"/>
      </rPr>
      <t>1A</t>
    </r>
  </si>
  <si>
    <r>
      <t>厚紙</t>
    </r>
    <r>
      <rPr>
        <sz val="10"/>
        <rFont val="Courier New"/>
        <family val="3"/>
      </rPr>
      <t>1B</t>
    </r>
  </si>
  <si>
    <r>
      <t>厚紙</t>
    </r>
    <r>
      <rPr>
        <sz val="10"/>
        <rFont val="Courier New"/>
        <family val="3"/>
      </rPr>
      <t>1C</t>
    </r>
  </si>
  <si>
    <r>
      <t>厚紙</t>
    </r>
    <r>
      <rPr>
        <sz val="10"/>
        <rFont val="Courier New"/>
        <family val="3"/>
      </rPr>
      <t>1S</t>
    </r>
  </si>
  <si>
    <r>
      <t>厚紙</t>
    </r>
    <r>
      <rPr>
        <sz val="10"/>
        <rFont val="Courier New"/>
        <family val="3"/>
      </rPr>
      <t>2A</t>
    </r>
  </si>
  <si>
    <r>
      <t>厚紙</t>
    </r>
    <r>
      <rPr>
        <sz val="10"/>
        <rFont val="Courier New"/>
        <family val="3"/>
      </rPr>
      <t>2B</t>
    </r>
  </si>
  <si>
    <r>
      <t>厚紙</t>
    </r>
    <r>
      <rPr>
        <sz val="10"/>
        <rFont val="Courier New"/>
        <family val="3"/>
      </rPr>
      <t>2C</t>
    </r>
  </si>
  <si>
    <r>
      <t>厚紙</t>
    </r>
    <r>
      <rPr>
        <sz val="10"/>
        <rFont val="Courier New"/>
        <family val="3"/>
      </rPr>
      <t>2D</t>
    </r>
  </si>
  <si>
    <r>
      <t>厚紙</t>
    </r>
    <r>
      <rPr>
        <sz val="10"/>
        <rFont val="Courier New"/>
        <family val="3"/>
      </rPr>
      <t>2S</t>
    </r>
  </si>
  <si>
    <t>THICK1_FINISHER_B</t>
  </si>
  <si>
    <t>THICK1_FINISHER_C</t>
  </si>
  <si>
    <t>THICK1_FINISHER_S</t>
  </si>
  <si>
    <t>THICK1_FINISHER_A</t>
  </si>
  <si>
    <t>うす紙</t>
  </si>
  <si>
    <r>
      <t>厚紙</t>
    </r>
    <r>
      <rPr>
        <sz val="10"/>
        <rFont val="Courier New"/>
        <family val="3"/>
      </rPr>
      <t>2(</t>
    </r>
    <r>
      <rPr>
        <sz val="10"/>
        <rFont val="ＭＳ Ｐゴシック"/>
        <family val="3"/>
        <charset val="128"/>
      </rPr>
      <t>うら</t>
    </r>
    <r>
      <rPr>
        <sz val="10"/>
        <rFont val="Courier New"/>
        <family val="3"/>
      </rPr>
      <t>)</t>
    </r>
  </si>
  <si>
    <r>
      <t>厚紙</t>
    </r>
    <r>
      <rPr>
        <sz val="10"/>
        <rFont val="Courier New"/>
        <family val="3"/>
      </rPr>
      <t>1(</t>
    </r>
    <r>
      <rPr>
        <sz val="10"/>
        <rFont val="ＭＳ Ｐゴシック"/>
        <family val="3"/>
        <charset val="128"/>
      </rPr>
      <t>うら</t>
    </r>
    <r>
      <rPr>
        <sz val="10"/>
        <rFont val="Courier New"/>
        <family val="3"/>
      </rPr>
      <t>)A</t>
    </r>
  </si>
  <si>
    <r>
      <t>厚紙</t>
    </r>
    <r>
      <rPr>
        <sz val="10"/>
        <rFont val="Courier New"/>
        <family val="3"/>
      </rPr>
      <t>1(</t>
    </r>
    <r>
      <rPr>
        <sz val="10"/>
        <rFont val="ＭＳ Ｐゴシック"/>
        <family val="3"/>
        <charset val="128"/>
      </rPr>
      <t>うら</t>
    </r>
    <r>
      <rPr>
        <sz val="10"/>
        <rFont val="Courier New"/>
        <family val="3"/>
      </rPr>
      <t>)B</t>
    </r>
  </si>
  <si>
    <r>
      <t>厚紙</t>
    </r>
    <r>
      <rPr>
        <sz val="10"/>
        <rFont val="Courier New"/>
        <family val="3"/>
      </rPr>
      <t>1(</t>
    </r>
    <r>
      <rPr>
        <sz val="10"/>
        <rFont val="ＭＳ Ｐゴシック"/>
        <family val="3"/>
        <charset val="128"/>
      </rPr>
      <t>うら</t>
    </r>
    <r>
      <rPr>
        <sz val="10"/>
        <rFont val="Courier New"/>
        <family val="3"/>
      </rPr>
      <t>)C</t>
    </r>
  </si>
  <si>
    <r>
      <t>厚紙</t>
    </r>
    <r>
      <rPr>
        <sz val="10"/>
        <rFont val="Courier New"/>
        <family val="3"/>
      </rPr>
      <t>1(</t>
    </r>
    <r>
      <rPr>
        <sz val="10"/>
        <rFont val="ＭＳ Ｐゴシック"/>
        <family val="3"/>
        <charset val="128"/>
      </rPr>
      <t>うら</t>
    </r>
    <r>
      <rPr>
        <sz val="10"/>
        <rFont val="Courier New"/>
        <family val="3"/>
      </rPr>
      <t>)S</t>
    </r>
  </si>
  <si>
    <r>
      <t>厚紙</t>
    </r>
    <r>
      <rPr>
        <sz val="10"/>
        <rFont val="Courier New"/>
        <family val="3"/>
      </rPr>
      <t>2(</t>
    </r>
    <r>
      <rPr>
        <sz val="10"/>
        <rFont val="ＭＳ Ｐゴシック"/>
        <family val="3"/>
        <charset val="128"/>
      </rPr>
      <t>うら</t>
    </r>
    <r>
      <rPr>
        <sz val="10"/>
        <rFont val="Courier New"/>
        <family val="3"/>
      </rPr>
      <t>)A</t>
    </r>
  </si>
  <si>
    <r>
      <t>厚紙</t>
    </r>
    <r>
      <rPr>
        <sz val="10"/>
        <rFont val="Courier New"/>
        <family val="3"/>
      </rPr>
      <t>2(</t>
    </r>
    <r>
      <rPr>
        <sz val="10"/>
        <rFont val="ＭＳ Ｐゴシック"/>
        <family val="3"/>
        <charset val="128"/>
      </rPr>
      <t>うら</t>
    </r>
    <r>
      <rPr>
        <sz val="10"/>
        <rFont val="Courier New"/>
        <family val="3"/>
      </rPr>
      <t>)B</t>
    </r>
  </si>
  <si>
    <r>
      <t>厚紙</t>
    </r>
    <r>
      <rPr>
        <sz val="10"/>
        <rFont val="Courier New"/>
        <family val="3"/>
      </rPr>
      <t>2(</t>
    </r>
    <r>
      <rPr>
        <sz val="10"/>
        <rFont val="ＭＳ Ｐゴシック"/>
        <family val="3"/>
        <charset val="128"/>
      </rPr>
      <t>うら</t>
    </r>
    <r>
      <rPr>
        <sz val="10"/>
        <rFont val="Courier New"/>
        <family val="3"/>
      </rPr>
      <t>)C</t>
    </r>
  </si>
  <si>
    <r>
      <t>厚紙</t>
    </r>
    <r>
      <rPr>
        <sz val="10"/>
        <rFont val="Courier New"/>
        <family val="3"/>
      </rPr>
      <t>2(</t>
    </r>
    <r>
      <rPr>
        <sz val="10"/>
        <rFont val="ＭＳ Ｐゴシック"/>
        <family val="3"/>
        <charset val="128"/>
      </rPr>
      <t>うら</t>
    </r>
    <r>
      <rPr>
        <sz val="10"/>
        <rFont val="Courier New"/>
        <family val="3"/>
      </rPr>
      <t>)D</t>
    </r>
  </si>
  <si>
    <r>
      <t>コート紙</t>
    </r>
    <r>
      <rPr>
        <sz val="10"/>
        <rFont val="Courier New"/>
        <family val="3"/>
      </rPr>
      <t>1(</t>
    </r>
    <r>
      <rPr>
        <sz val="10"/>
        <rFont val="ＭＳ Ｐゴシック"/>
        <family val="3"/>
        <charset val="128"/>
      </rPr>
      <t>うら</t>
    </r>
    <r>
      <rPr>
        <sz val="10"/>
        <rFont val="Courier New"/>
        <family val="3"/>
      </rPr>
      <t>)</t>
    </r>
  </si>
  <si>
    <r>
      <t>コート紙</t>
    </r>
    <r>
      <rPr>
        <sz val="10"/>
        <rFont val="Courier New"/>
        <family val="3"/>
      </rPr>
      <t>2(</t>
    </r>
    <r>
      <rPr>
        <sz val="10"/>
        <rFont val="ＭＳ Ｐゴシック"/>
        <family val="3"/>
        <charset val="128"/>
      </rPr>
      <t>うら</t>
    </r>
    <r>
      <rPr>
        <sz val="10"/>
        <rFont val="Courier New"/>
        <family val="3"/>
      </rPr>
      <t>)</t>
    </r>
  </si>
  <si>
    <r>
      <t>OHP</t>
    </r>
    <r>
      <rPr>
        <sz val="10"/>
        <rFont val="ＭＳ Ｐゴシック"/>
        <family val="3"/>
        <charset val="128"/>
      </rPr>
      <t>フィルム</t>
    </r>
  </si>
  <si>
    <t>最小</t>
    <rPh sb="0" eb="2">
      <t>サイショウ</t>
    </rPh>
    <phoneticPr fontId="2"/>
  </si>
  <si>
    <t>A4-Cover</t>
  </si>
  <si>
    <t>Letter-Cover(9×11)</t>
  </si>
  <si>
    <r>
      <t>A4-Tab(</t>
    </r>
    <r>
      <rPr>
        <sz val="10"/>
        <rFont val="ＭＳ Ｐゴシック"/>
        <family val="3"/>
        <charset val="128"/>
      </rPr>
      <t>インデックス紙</t>
    </r>
    <r>
      <rPr>
        <sz val="10"/>
        <rFont val="Courier New"/>
        <family val="3"/>
      </rPr>
      <t>)</t>
    </r>
  </si>
  <si>
    <r>
      <t>Letter-Tab(</t>
    </r>
    <r>
      <rPr>
        <sz val="10"/>
        <rFont val="ＭＳ Ｐゴシック"/>
        <family val="3"/>
        <charset val="128"/>
      </rPr>
      <t>インデックス紙</t>
    </r>
    <r>
      <rPr>
        <sz val="10"/>
        <rFont val="Courier New"/>
        <family val="3"/>
      </rPr>
      <t>)</t>
    </r>
  </si>
  <si>
    <t>YOUKEI_3</t>
  </si>
  <si>
    <t>YOUKEI_4</t>
  </si>
  <si>
    <t xml:space="preserve">5.5×8.5(Statement) </t>
  </si>
  <si>
    <t xml:space="preserve">7.25×10.5(Executive) </t>
  </si>
  <si>
    <t>8×10</t>
  </si>
  <si>
    <t>8.5×11(Letter)</t>
  </si>
  <si>
    <t>215×315mm(8.46×12.4)</t>
  </si>
  <si>
    <t>8.5×13</t>
  </si>
  <si>
    <t>8.5×14(Legal)</t>
  </si>
  <si>
    <t>11×15</t>
  </si>
  <si>
    <t>11×17(Ledger)</t>
  </si>
  <si>
    <t>12×18</t>
  </si>
  <si>
    <t>SRA3(12.6×17.7)</t>
  </si>
  <si>
    <t>12.6×19.2</t>
  </si>
  <si>
    <t>13×18</t>
  </si>
  <si>
    <t>13×19</t>
  </si>
  <si>
    <r>
      <t>3.5×5(</t>
    </r>
    <r>
      <rPr>
        <sz val="10"/>
        <rFont val="ＭＳ Ｐゴシック"/>
        <family val="3"/>
        <charset val="128"/>
      </rPr>
      <t>写真</t>
    </r>
    <r>
      <rPr>
        <sz val="10"/>
        <rFont val="Courier New"/>
        <family val="3"/>
      </rPr>
      <t>L</t>
    </r>
    <r>
      <rPr>
        <sz val="10"/>
        <rFont val="ＭＳ Ｐゴシック"/>
        <family val="3"/>
        <charset val="128"/>
      </rPr>
      <t>サイズ</t>
    </r>
    <r>
      <rPr>
        <sz val="10"/>
        <rFont val="Courier New"/>
        <family val="3"/>
      </rPr>
      <t>)</t>
    </r>
  </si>
  <si>
    <t>Post Card(3.5×5.5)</t>
  </si>
  <si>
    <t>Post Card(4×6)</t>
  </si>
  <si>
    <r>
      <t>Post Card(5×7)(</t>
    </r>
    <r>
      <rPr>
        <sz val="10"/>
        <rFont val="ＭＳ Ｐゴシック"/>
        <family val="3"/>
        <charset val="128"/>
      </rPr>
      <t>写真</t>
    </r>
    <r>
      <rPr>
        <sz val="10"/>
        <rFont val="Courier New"/>
        <family val="3"/>
      </rPr>
      <t>2L</t>
    </r>
    <r>
      <rPr>
        <sz val="10"/>
        <rFont val="ＭＳ Ｐゴシック"/>
        <family val="3"/>
        <charset val="128"/>
      </rPr>
      <t>サイズ</t>
    </r>
    <r>
      <rPr>
        <sz val="10"/>
        <rFont val="Courier New"/>
        <family val="3"/>
      </rPr>
      <t>)</t>
    </r>
  </si>
  <si>
    <t>Post Card(6×9)</t>
  </si>
  <si>
    <r>
      <t>特</t>
    </r>
    <r>
      <rPr>
        <sz val="10"/>
        <rFont val="Courier New"/>
        <family val="3"/>
      </rPr>
      <t>A4</t>
    </r>
    <rPh sb="0" eb="1">
      <t>トク</t>
    </rPh>
    <phoneticPr fontId="2"/>
  </si>
  <si>
    <r>
      <t>特</t>
    </r>
    <r>
      <rPr>
        <sz val="10"/>
        <rFont val="Courier New"/>
        <family val="3"/>
      </rPr>
      <t>A3</t>
    </r>
    <rPh sb="0" eb="1">
      <t>トク</t>
    </rPh>
    <phoneticPr fontId="2"/>
  </si>
  <si>
    <r>
      <t>DT</t>
    </r>
    <r>
      <rPr>
        <sz val="10"/>
        <rFont val="ＭＳ Ｐゴシック"/>
        <family val="3"/>
        <charset val="128"/>
      </rPr>
      <t>特</t>
    </r>
    <r>
      <rPr>
        <sz val="10"/>
        <rFont val="Courier New"/>
        <family val="3"/>
      </rPr>
      <t>A3</t>
    </r>
  </si>
  <si>
    <t>12×19</t>
  </si>
  <si>
    <r>
      <t>タブ紙厚</t>
    </r>
    <r>
      <rPr>
        <sz val="10"/>
        <rFont val="Courier New"/>
        <family val="3"/>
      </rPr>
      <t>1</t>
    </r>
    <rPh sb="2" eb="3">
      <t>シ</t>
    </rPh>
    <rPh sb="3" eb="4">
      <t>アツ</t>
    </rPh>
    <phoneticPr fontId="2"/>
  </si>
  <si>
    <r>
      <t>タブ紙厚</t>
    </r>
    <r>
      <rPr>
        <sz val="10"/>
        <rFont val="Courier New"/>
        <family val="3"/>
      </rPr>
      <t>2</t>
    </r>
    <r>
      <rPr>
        <sz val="11"/>
        <rFont val="ＭＳ Ｐゴシック"/>
        <family val="3"/>
        <charset val="128"/>
      </rPr>
      <t/>
    </r>
    <rPh sb="2" eb="3">
      <t>シ</t>
    </rPh>
    <rPh sb="3" eb="4">
      <t>アツ</t>
    </rPh>
    <phoneticPr fontId="2"/>
  </si>
  <si>
    <r>
      <t>再生紙</t>
    </r>
    <r>
      <rPr>
        <sz val="10"/>
        <rFont val="Courier New"/>
        <family val="3"/>
      </rPr>
      <t>A</t>
    </r>
    <rPh sb="0" eb="3">
      <t>サイセイシ</t>
    </rPh>
    <phoneticPr fontId="2"/>
  </si>
  <si>
    <r>
      <t>再生紙</t>
    </r>
    <r>
      <rPr>
        <sz val="10"/>
        <rFont val="Courier New"/>
        <family val="3"/>
      </rPr>
      <t>B</t>
    </r>
    <rPh sb="0" eb="3">
      <t>サイセイシ</t>
    </rPh>
    <phoneticPr fontId="2"/>
  </si>
  <si>
    <t>普通紙</t>
    <rPh sb="0" eb="3">
      <t>フツウシ</t>
    </rPh>
    <phoneticPr fontId="2"/>
  </si>
  <si>
    <t>用紙種類</t>
    <rPh sb="0" eb="2">
      <t>ヨウシ</t>
    </rPh>
    <rPh sb="2" eb="4">
      <t>シュルイ</t>
    </rPh>
    <phoneticPr fontId="2"/>
  </si>
  <si>
    <t>機能</t>
    <rPh sb="0" eb="2">
      <t>キノウ</t>
    </rPh>
    <phoneticPr fontId="2"/>
  </si>
  <si>
    <t xml:space="preserve">備考
</t>
    <rPh sb="0" eb="2">
      <t>ビコウ</t>
    </rPh>
    <phoneticPr fontId="2"/>
  </si>
  <si>
    <t>排紙トレイ</t>
    <rPh sb="0" eb="2">
      <t>ハイシ</t>
    </rPh>
    <phoneticPr fontId="2"/>
  </si>
  <si>
    <t>排出先機能</t>
    <rPh sb="0" eb="2">
      <t>ハイシュツ</t>
    </rPh>
    <rPh sb="2" eb="3">
      <t>サキ</t>
    </rPh>
    <rPh sb="3" eb="5">
      <t>キノウ</t>
    </rPh>
    <phoneticPr fontId="2"/>
  </si>
  <si>
    <t>手差しトレイからの排出機能</t>
    <rPh sb="0" eb="2">
      <t>テザ</t>
    </rPh>
    <rPh sb="9" eb="11">
      <t>ハイシュツ</t>
    </rPh>
    <rPh sb="11" eb="13">
      <t>キノウ</t>
    </rPh>
    <phoneticPr fontId="2"/>
  </si>
  <si>
    <t>フェースアップ排出機能</t>
    <rPh sb="7" eb="9">
      <t>ハイシュツ</t>
    </rPh>
    <rPh sb="9" eb="11">
      <t>キノウ</t>
    </rPh>
    <phoneticPr fontId="2"/>
  </si>
  <si>
    <t>フェースダウン排出機能</t>
    <rPh sb="7" eb="9">
      <t>ハイシュツ</t>
    </rPh>
    <rPh sb="9" eb="11">
      <t>キノウ</t>
    </rPh>
    <phoneticPr fontId="2"/>
  </si>
  <si>
    <t>オフセット機能</t>
    <rPh sb="5" eb="7">
      <t>キノウ</t>
    </rPh>
    <phoneticPr fontId="2"/>
  </si>
  <si>
    <t>対象シート</t>
    <rPh sb="0" eb="2">
      <t>タイショウ</t>
    </rPh>
    <phoneticPr fontId="2"/>
  </si>
  <si>
    <t>排出不可検知機能</t>
    <rPh sb="0" eb="2">
      <t>ハイシュツ</t>
    </rPh>
    <rPh sb="2" eb="4">
      <t>フカ</t>
    </rPh>
    <rPh sb="4" eb="6">
      <t>ケンチ</t>
    </rPh>
    <rPh sb="6" eb="8">
      <t>キノウ</t>
    </rPh>
    <phoneticPr fontId="2"/>
  </si>
  <si>
    <t>サイドトレイ</t>
    <phoneticPr fontId="2"/>
  </si>
  <si>
    <t>×</t>
    <phoneticPr fontId="2"/>
  </si>
  <si>
    <t>×</t>
    <phoneticPr fontId="2"/>
  </si>
  <si>
    <t>用紙サイズ</t>
    <rPh sb="0" eb="2">
      <t>ヨウシ</t>
    </rPh>
    <phoneticPr fontId="2"/>
  </si>
  <si>
    <t>パンチ機能</t>
    <rPh sb="3" eb="5">
      <t>キノウ</t>
    </rPh>
    <phoneticPr fontId="2"/>
  </si>
  <si>
    <t>中綴じ機能</t>
    <rPh sb="0" eb="1">
      <t>ナカ</t>
    </rPh>
    <rPh sb="1" eb="2">
      <t>ト</t>
    </rPh>
    <rPh sb="3" eb="5">
      <t>キノウ</t>
    </rPh>
    <phoneticPr fontId="2"/>
  </si>
  <si>
    <t>二つ折り機能</t>
    <rPh sb="0" eb="1">
      <t>フタ</t>
    </rPh>
    <rPh sb="2" eb="3">
      <t>オ</t>
    </rPh>
    <rPh sb="4" eb="6">
      <t>キノウ</t>
    </rPh>
    <phoneticPr fontId="2"/>
  </si>
  <si>
    <t>三つ折り機能</t>
    <rPh sb="0" eb="1">
      <t>ミ</t>
    </rPh>
    <rPh sb="2" eb="3">
      <t>オ</t>
    </rPh>
    <rPh sb="4" eb="6">
      <t>キノウ</t>
    </rPh>
    <phoneticPr fontId="2"/>
  </si>
  <si>
    <t>スタンプ機能</t>
    <rPh sb="4" eb="6">
      <t>キノウ</t>
    </rPh>
    <phoneticPr fontId="2"/>
  </si>
  <si>
    <t>×</t>
    <phoneticPr fontId="2"/>
  </si>
  <si>
    <t>×</t>
    <phoneticPr fontId="2"/>
  </si>
  <si>
    <r>
      <t>画質</t>
    </r>
    <r>
      <rPr>
        <sz val="10"/>
        <rFont val="ＭＳ Ｐゴシック"/>
        <family val="3"/>
        <charset val="128"/>
      </rPr>
      <t>制御分類</t>
    </r>
    <rPh sb="0" eb="2">
      <t>ガシツ</t>
    </rPh>
    <rPh sb="2" eb="4">
      <t>セイギョ</t>
    </rPh>
    <rPh sb="4" eb="6">
      <t>ブンルイ</t>
    </rPh>
    <phoneticPr fontId="2"/>
  </si>
  <si>
    <t>×</t>
    <phoneticPr fontId="2"/>
  </si>
  <si>
    <t>非定型サイズとは同時指定できない</t>
    <rPh sb="0" eb="1">
      <t>ヒ</t>
    </rPh>
    <rPh sb="1" eb="3">
      <t>テイケイ</t>
    </rPh>
    <rPh sb="8" eb="10">
      <t>ドウジ</t>
    </rPh>
    <rPh sb="10" eb="12">
      <t>シテイ</t>
    </rPh>
    <phoneticPr fontId="2"/>
  </si>
  <si>
    <t>用紙種類との禁則は「用紙種類」を参照。</t>
    <rPh sb="0" eb="2">
      <t>ヨウシ</t>
    </rPh>
    <rPh sb="2" eb="4">
      <t>シュルイ</t>
    </rPh>
    <rPh sb="6" eb="8">
      <t>キンソク</t>
    </rPh>
    <rPh sb="10" eb="12">
      <t>ヨウシ</t>
    </rPh>
    <rPh sb="12" eb="14">
      <t>シュルイ</t>
    </rPh>
    <rPh sb="16" eb="18">
      <t>サンショウ</t>
    </rPh>
    <phoneticPr fontId="2"/>
  </si>
  <si>
    <r>
      <t>用紙種類についての詳細はプロダクト編および共通編の</t>
    </r>
    <r>
      <rPr>
        <sz val="10"/>
        <rFont val="Courier New"/>
        <family val="3"/>
      </rPr>
      <t>4.2.3</t>
    </r>
    <r>
      <rPr>
        <sz val="10"/>
        <rFont val="ＭＳ Ｐゴシック"/>
        <family val="3"/>
        <charset val="128"/>
      </rPr>
      <t>節「用紙種類の設定」を参照</t>
    </r>
    <rPh sb="0" eb="2">
      <t>ヨウシ</t>
    </rPh>
    <rPh sb="2" eb="4">
      <t>シュルイ</t>
    </rPh>
    <rPh sb="9" eb="11">
      <t>ショウサイ</t>
    </rPh>
    <rPh sb="17" eb="18">
      <t>ヘン</t>
    </rPh>
    <rPh sb="21" eb="23">
      <t>キョウツウ</t>
    </rPh>
    <rPh sb="23" eb="24">
      <t>ヘン</t>
    </rPh>
    <rPh sb="30" eb="31">
      <t>セツ</t>
    </rPh>
    <rPh sb="32" eb="34">
      <t>ヨウシ</t>
    </rPh>
    <rPh sb="34" eb="36">
      <t>シュルイ</t>
    </rPh>
    <rPh sb="37" eb="39">
      <t>セッテイ</t>
    </rPh>
    <rPh sb="41" eb="43">
      <t>サンショウ</t>
    </rPh>
    <phoneticPr fontId="2"/>
  </si>
  <si>
    <t>排出フル検知機能</t>
    <rPh sb="0" eb="2">
      <t>ハイシュツ</t>
    </rPh>
    <rPh sb="4" eb="6">
      <t>ケンチ</t>
    </rPh>
    <rPh sb="6" eb="8">
      <t>キノウ</t>
    </rPh>
    <phoneticPr fontId="2"/>
  </si>
  <si>
    <t>自動選択対象としない</t>
    <rPh sb="0" eb="2">
      <t>ジドウ</t>
    </rPh>
    <rPh sb="2" eb="4">
      <t>センタク</t>
    </rPh>
    <rPh sb="4" eb="6">
      <t>タイショウ</t>
    </rPh>
    <phoneticPr fontId="2"/>
  </si>
  <si>
    <t>用紙種類優先順位</t>
    <rPh sb="0" eb="2">
      <t>ヨウシ</t>
    </rPh>
    <rPh sb="2" eb="4">
      <t>シュルイ</t>
    </rPh>
    <rPh sb="4" eb="6">
      <t>ユウセン</t>
    </rPh>
    <rPh sb="6" eb="8">
      <t>ジュンイ</t>
    </rPh>
    <phoneticPr fontId="2"/>
  </si>
  <si>
    <t>自動選択対象とする</t>
    <rPh sb="0" eb="2">
      <t>ジドウ</t>
    </rPh>
    <rPh sb="2" eb="4">
      <t>センタク</t>
    </rPh>
    <rPh sb="4" eb="6">
      <t>タイショウ</t>
    </rPh>
    <phoneticPr fontId="2"/>
  </si>
  <si>
    <t>"X"</t>
    <phoneticPr fontId="2"/>
  </si>
  <si>
    <t>"1"</t>
    <phoneticPr fontId="2"/>
  </si>
  <si>
    <r>
      <t>"2"</t>
    </r>
    <r>
      <rPr>
        <sz val="10"/>
        <rFont val="ＭＳ Ｐゴシック"/>
        <family val="3"/>
        <charset val="128"/>
      </rPr>
      <t/>
    </r>
  </si>
  <si>
    <r>
      <t>"3"</t>
    </r>
    <r>
      <rPr>
        <sz val="10"/>
        <rFont val="ＭＳ Ｐゴシック"/>
        <family val="3"/>
        <charset val="128"/>
      </rPr>
      <t/>
    </r>
  </si>
  <si>
    <r>
      <t>"4"</t>
    </r>
    <r>
      <rPr>
        <sz val="10"/>
        <rFont val="ＭＳ Ｐゴシック"/>
        <family val="3"/>
        <charset val="128"/>
      </rPr>
      <t/>
    </r>
  </si>
  <si>
    <r>
      <t>"5"</t>
    </r>
    <r>
      <rPr>
        <sz val="10"/>
        <rFont val="ＭＳ Ｐゴシック"/>
        <family val="3"/>
        <charset val="128"/>
      </rPr>
      <t/>
    </r>
  </si>
  <si>
    <r>
      <t>"6"</t>
    </r>
    <r>
      <rPr>
        <sz val="10"/>
        <rFont val="ＭＳ Ｐゴシック"/>
        <family val="3"/>
        <charset val="128"/>
      </rPr>
      <t/>
    </r>
  </si>
  <si>
    <r>
      <t>"7"</t>
    </r>
    <r>
      <rPr>
        <sz val="10"/>
        <rFont val="ＭＳ Ｐゴシック"/>
        <family val="3"/>
        <charset val="128"/>
      </rPr>
      <t/>
    </r>
  </si>
  <si>
    <r>
      <t>"8"</t>
    </r>
    <r>
      <rPr>
        <sz val="10"/>
        <rFont val="ＭＳ Ｐゴシック"/>
        <family val="3"/>
        <charset val="128"/>
      </rPr>
      <t/>
    </r>
  </si>
  <si>
    <r>
      <t>"9"</t>
    </r>
    <r>
      <rPr>
        <sz val="10"/>
        <rFont val="ＭＳ Ｐゴシック"/>
        <family val="3"/>
        <charset val="128"/>
      </rPr>
      <t/>
    </r>
  </si>
  <si>
    <t>NOT_USED</t>
    <phoneticPr fontId="2"/>
  </si>
  <si>
    <t>定型サイズ自動検知</t>
    <rPh sb="0" eb="2">
      <t>テイケイ</t>
    </rPh>
    <phoneticPr fontId="2"/>
  </si>
  <si>
    <r>
      <t xml:space="preserve">◎：初期値
○：設定変更可
</t>
    </r>
    <r>
      <rPr>
        <sz val="10"/>
        <rFont val="Courier New"/>
        <family val="3"/>
      </rPr>
      <t>×</t>
    </r>
    <r>
      <rPr>
        <sz val="10"/>
        <rFont val="ＭＳ Ｐゴシック"/>
        <family val="3"/>
        <charset val="128"/>
      </rPr>
      <t>：設定変更不可</t>
    </r>
    <rPh sb="2" eb="5">
      <t>ショキチ</t>
    </rPh>
    <rPh sb="8" eb="10">
      <t>セッテイ</t>
    </rPh>
    <rPh sb="10" eb="12">
      <t>ヘンコウ</t>
    </rPh>
    <rPh sb="12" eb="13">
      <t>カ</t>
    </rPh>
    <rPh sb="18" eb="20">
      <t>ヘンコウ</t>
    </rPh>
    <rPh sb="20" eb="22">
      <t>フカ</t>
    </rPh>
    <phoneticPr fontId="2"/>
  </si>
  <si>
    <t>定型外</t>
    <rPh sb="0" eb="2">
      <t>テイケイ</t>
    </rPh>
    <rPh sb="2" eb="3">
      <t>ガイ</t>
    </rPh>
    <phoneticPr fontId="2"/>
  </si>
  <si>
    <r>
      <t>厚紙</t>
    </r>
    <r>
      <rPr>
        <sz val="10"/>
        <rFont val="Courier New"/>
        <family val="3"/>
      </rPr>
      <t>1</t>
    </r>
    <rPh sb="0" eb="2">
      <t>アツガミ</t>
    </rPh>
    <phoneticPr fontId="2"/>
  </si>
  <si>
    <r>
      <t>厚紙</t>
    </r>
    <r>
      <rPr>
        <sz val="10"/>
        <rFont val="Courier New"/>
        <family val="3"/>
      </rPr>
      <t>1</t>
    </r>
    <r>
      <rPr>
        <sz val="10"/>
        <rFont val="ＭＳ Ｐゴシック"/>
        <family val="3"/>
        <charset val="128"/>
      </rPr>
      <t>うら</t>
    </r>
    <phoneticPr fontId="2"/>
  </si>
  <si>
    <r>
      <t>厚紙</t>
    </r>
    <r>
      <rPr>
        <sz val="10"/>
        <rFont val="Courier New"/>
        <family val="3"/>
      </rPr>
      <t>2</t>
    </r>
    <phoneticPr fontId="2"/>
  </si>
  <si>
    <r>
      <t>厚紙</t>
    </r>
    <r>
      <rPr>
        <sz val="10"/>
        <rFont val="Courier New"/>
        <family val="3"/>
      </rPr>
      <t>2</t>
    </r>
    <r>
      <rPr>
        <sz val="10"/>
        <rFont val="ＭＳ Ｐゴシック"/>
        <family val="3"/>
        <charset val="128"/>
      </rPr>
      <t>うら</t>
    </r>
    <phoneticPr fontId="2"/>
  </si>
  <si>
    <r>
      <t xml:space="preserve">◎：初期値
○：設定変更可
</t>
    </r>
    <r>
      <rPr>
        <sz val="10"/>
        <rFont val="Courier New"/>
        <family val="3"/>
      </rPr>
      <t>×</t>
    </r>
    <r>
      <rPr>
        <sz val="10"/>
        <rFont val="ＭＳ Ｐゴシック"/>
        <family val="3"/>
        <charset val="128"/>
      </rPr>
      <t>：設定変更不可
優先順位の詳細についてはプロダクト編および共通編の</t>
    </r>
    <r>
      <rPr>
        <sz val="10"/>
        <rFont val="Courier New"/>
        <family val="3"/>
      </rPr>
      <t>4.2.7</t>
    </r>
    <r>
      <rPr>
        <sz val="10"/>
        <rFont val="ＭＳ Ｐゴシック"/>
        <family val="3"/>
        <charset val="128"/>
      </rPr>
      <t>節「用紙種類の優先順位」を参照。</t>
    </r>
    <rPh sb="2" eb="5">
      <t>ショキチ</t>
    </rPh>
    <rPh sb="8" eb="10">
      <t>セッテイ</t>
    </rPh>
    <rPh sb="10" eb="12">
      <t>ヘンコウ</t>
    </rPh>
    <rPh sb="12" eb="13">
      <t>カ</t>
    </rPh>
    <rPh sb="18" eb="20">
      <t>ヘンコウ</t>
    </rPh>
    <rPh sb="20" eb="22">
      <t>フカ</t>
    </rPh>
    <phoneticPr fontId="2"/>
  </si>
  <si>
    <t>最大</t>
    <rPh sb="0" eb="2">
      <t>サイダイ</t>
    </rPh>
    <phoneticPr fontId="2"/>
  </si>
  <si>
    <t>副走査方向</t>
    <rPh sb="0" eb="1">
      <t>フク</t>
    </rPh>
    <rPh sb="1" eb="3">
      <t>ソウサ</t>
    </rPh>
    <rPh sb="3" eb="5">
      <t>ホウコウ</t>
    </rPh>
    <phoneticPr fontId="2"/>
  </si>
  <si>
    <t>主走査方向</t>
    <rPh sb="0" eb="1">
      <t>シュ</t>
    </rPh>
    <rPh sb="1" eb="3">
      <t>ソウサ</t>
    </rPh>
    <rPh sb="3" eb="5">
      <t>ホウコウ</t>
    </rPh>
    <phoneticPr fontId="2"/>
  </si>
  <si>
    <t>概要</t>
  </si>
  <si>
    <t>本付録では給排紙トレイ、各種後処理で使用可能な用紙サイズ、用紙種類などについて記述する。</t>
    <phoneticPr fontId="2"/>
  </si>
  <si>
    <t>表の見方</t>
  </si>
  <si>
    <r>
      <t>・基本的に○</t>
    </r>
    <r>
      <rPr>
        <sz val="10"/>
        <rFont val="Courier New"/>
        <family val="3"/>
      </rPr>
      <t>×</t>
    </r>
    <r>
      <rPr>
        <sz val="10"/>
        <rFont val="ＭＳ Ｐゴシック"/>
        <family val="3"/>
        <charset val="128"/>
      </rPr>
      <t>で可否を表現しているが、注釈が必要なものは備考欄に記述している。</t>
    </r>
    <phoneticPr fontId="2"/>
  </si>
  <si>
    <t>・グレーで塗りつぶされた行は当プロダクト適用外であることを意味する。</t>
  </si>
  <si>
    <t>・グレーのフォントで記入された列は当プロダクト適用外であることを意味する。</t>
  </si>
  <si>
    <r>
      <t>・各表は</t>
    </r>
    <r>
      <rPr>
        <sz val="10"/>
        <rFont val="Courier New"/>
        <family val="3"/>
      </rPr>
      <t>IOT Device Functions</t>
    </r>
    <r>
      <rPr>
        <sz val="10"/>
        <rFont val="ＭＳ Ｐゴシック"/>
        <family val="3"/>
        <charset val="128"/>
      </rPr>
      <t>として扱うときの仕様であって、</t>
    </r>
    <r>
      <rPr>
        <sz val="10"/>
        <rFont val="Courier New"/>
        <family val="3"/>
      </rPr>
      <t>IOT</t>
    </r>
    <r>
      <rPr>
        <sz val="10"/>
        <rFont val="ＭＳ Ｐゴシック"/>
        <family val="3"/>
        <charset val="128"/>
      </rPr>
      <t>の仕様とは必ずしも一致しない。</t>
    </r>
    <r>
      <rPr>
        <sz val="10"/>
        <rFont val="Courier New"/>
        <family val="3"/>
      </rPr>
      <t>IOT</t>
    </r>
    <r>
      <rPr>
        <sz val="10"/>
        <rFont val="ＭＳ Ｐゴシック"/>
        <family val="3"/>
        <charset val="128"/>
      </rPr>
      <t>での仕様は性能仕様書を参照のこと。</t>
    </r>
    <phoneticPr fontId="2"/>
  </si>
  <si>
    <t>付録に含まれる表</t>
    <rPh sb="0" eb="2">
      <t>フロク</t>
    </rPh>
    <rPh sb="3" eb="4">
      <t>フク</t>
    </rPh>
    <rPh sb="7" eb="8">
      <t>ヒョウ</t>
    </rPh>
    <phoneticPr fontId="2"/>
  </si>
  <si>
    <t>給紙や排紙、後処理などの各種機能で使用可能な用紙サイズ一覧</t>
    <rPh sb="0" eb="2">
      <t>キュウシ</t>
    </rPh>
    <rPh sb="3" eb="5">
      <t>ハイシ</t>
    </rPh>
    <rPh sb="6" eb="9">
      <t>アトショリ</t>
    </rPh>
    <rPh sb="12" eb="14">
      <t>カクシュ</t>
    </rPh>
    <rPh sb="14" eb="16">
      <t>キノウ</t>
    </rPh>
    <rPh sb="27" eb="29">
      <t>イチラン</t>
    </rPh>
    <phoneticPr fontId="2"/>
  </si>
  <si>
    <t>給紙や排紙、後処理などの各種機能で使用可能な用紙種類一覧</t>
    <rPh sb="24" eb="26">
      <t>シュルイ</t>
    </rPh>
    <rPh sb="26" eb="28">
      <t>イチラン</t>
    </rPh>
    <phoneticPr fontId="2"/>
  </si>
  <si>
    <t>画質制御分類</t>
  </si>
  <si>
    <t>各用紙種類で使用可能な画質制御分類値一覧</t>
    <rPh sb="0" eb="1">
      <t>カク</t>
    </rPh>
    <rPh sb="1" eb="3">
      <t>ヨウシ</t>
    </rPh>
    <rPh sb="3" eb="5">
      <t>シュルイ</t>
    </rPh>
    <rPh sb="11" eb="12">
      <t>ガ</t>
    </rPh>
    <rPh sb="12" eb="13">
      <t>シツ</t>
    </rPh>
    <rPh sb="13" eb="15">
      <t>セイギョ</t>
    </rPh>
    <rPh sb="15" eb="17">
      <t>ブンルイ</t>
    </rPh>
    <rPh sb="17" eb="18">
      <t>チ</t>
    </rPh>
    <rPh sb="18" eb="20">
      <t>イチラン</t>
    </rPh>
    <phoneticPr fontId="2"/>
  </si>
  <si>
    <t>用紙種類優先順位</t>
  </si>
  <si>
    <t>各用紙種類で使用可能な用紙種類優先順位一覧</t>
    <rPh sb="0" eb="1">
      <t>カク</t>
    </rPh>
    <rPh sb="1" eb="3">
      <t>ヨウシ</t>
    </rPh>
    <rPh sb="3" eb="5">
      <t>シュルイ</t>
    </rPh>
    <rPh sb="11" eb="13">
      <t>ヨウシ</t>
    </rPh>
    <rPh sb="13" eb="15">
      <t>シュルイ</t>
    </rPh>
    <rPh sb="15" eb="17">
      <t>ユウセン</t>
    </rPh>
    <rPh sb="17" eb="19">
      <t>ジュンイ</t>
    </rPh>
    <rPh sb="19" eb="21">
      <t>イチラン</t>
    </rPh>
    <phoneticPr fontId="2"/>
  </si>
  <si>
    <t>排出先機能</t>
  </si>
  <si>
    <t>各排出先で使用可能な排出先機能一覧</t>
    <rPh sb="0" eb="1">
      <t>カク</t>
    </rPh>
    <rPh sb="1" eb="3">
      <t>ハイシュツ</t>
    </rPh>
    <rPh sb="3" eb="4">
      <t>サキ</t>
    </rPh>
    <rPh sb="10" eb="12">
      <t>ハイシュツ</t>
    </rPh>
    <rPh sb="12" eb="13">
      <t>サキ</t>
    </rPh>
    <rPh sb="13" eb="15">
      <t>キノウ</t>
    </rPh>
    <rPh sb="15" eb="17">
      <t>イチラン</t>
    </rPh>
    <phoneticPr fontId="2"/>
  </si>
  <si>
    <t>COAT</t>
    <phoneticPr fontId="2"/>
  </si>
  <si>
    <t>LABEL</t>
    <phoneticPr fontId="2"/>
  </si>
  <si>
    <t>TAB</t>
    <phoneticPr fontId="2"/>
  </si>
  <si>
    <t>OHP</t>
    <phoneticPr fontId="2"/>
  </si>
  <si>
    <t>TACK</t>
    <phoneticPr fontId="2"/>
  </si>
  <si>
    <t>PLAIN</t>
    <phoneticPr fontId="2"/>
  </si>
  <si>
    <t>THICK</t>
    <phoneticPr fontId="2"/>
  </si>
  <si>
    <t>名称</t>
    <rPh sb="0" eb="2">
      <t>メイショウ</t>
    </rPh>
    <phoneticPr fontId="2"/>
  </si>
  <si>
    <r>
      <t>センタートレイ</t>
    </r>
    <r>
      <rPr>
        <sz val="10"/>
        <rFont val="Courier New"/>
        <family val="3"/>
      </rPr>
      <t>2</t>
    </r>
    <phoneticPr fontId="2"/>
  </si>
  <si>
    <t>排出容量については性能仕様書を参照</t>
    <phoneticPr fontId="2"/>
  </si>
  <si>
    <r>
      <t>厚紙</t>
    </r>
    <r>
      <rPr>
        <sz val="10"/>
        <rFont val="Courier New"/>
        <family val="3"/>
      </rPr>
      <t>3</t>
    </r>
  </si>
  <si>
    <t>THICK3</t>
  </si>
  <si>
    <t>THICK3_REV</t>
  </si>
  <si>
    <r>
      <t>厚紙</t>
    </r>
    <r>
      <rPr>
        <sz val="10"/>
        <rFont val="Courier New"/>
        <family val="3"/>
      </rPr>
      <t>4</t>
    </r>
  </si>
  <si>
    <t>THICK4</t>
  </si>
  <si>
    <t>THICK4_REV</t>
  </si>
  <si>
    <t>布地転写紙</t>
    <rPh sb="0" eb="2">
      <t>ヌノジ</t>
    </rPh>
    <rPh sb="2" eb="5">
      <t>テンシャシ</t>
    </rPh>
    <phoneticPr fontId="2"/>
  </si>
  <si>
    <r>
      <t>再生紙</t>
    </r>
    <r>
      <rPr>
        <sz val="10"/>
        <rFont val="Courier New"/>
        <family val="3"/>
      </rPr>
      <t>S1</t>
    </r>
    <rPh sb="0" eb="3">
      <t>サイセイシ</t>
    </rPh>
    <phoneticPr fontId="2"/>
  </si>
  <si>
    <t>用紙種類</t>
    <phoneticPr fontId="2"/>
  </si>
  <si>
    <r>
      <t xml:space="preserve">坪量
下限
</t>
    </r>
    <r>
      <rPr>
        <sz val="10"/>
        <rFont val="Courier New"/>
        <family val="3"/>
      </rPr>
      <t>[gsm]</t>
    </r>
    <rPh sb="3" eb="5">
      <t>カゲン</t>
    </rPh>
    <phoneticPr fontId="2"/>
  </si>
  <si>
    <r>
      <t xml:space="preserve">坪量
上限
</t>
    </r>
    <r>
      <rPr>
        <sz val="10"/>
        <rFont val="Courier New"/>
        <family val="3"/>
      </rPr>
      <t>[gsm]</t>
    </r>
    <rPh sb="3" eb="5">
      <t>ジョウゲン</t>
    </rPh>
    <phoneticPr fontId="2"/>
  </si>
  <si>
    <t>スタッカトレイ</t>
    <phoneticPr fontId="2"/>
  </si>
  <si>
    <t>小冊子トレイ</t>
    <rPh sb="0" eb="3">
      <t>ショウサッシ</t>
    </rPh>
    <phoneticPr fontId="2"/>
  </si>
  <si>
    <t>紙折り</t>
    <rPh sb="0" eb="1">
      <t>カミ</t>
    </rPh>
    <rPh sb="1" eb="2">
      <t>オ</t>
    </rPh>
    <phoneticPr fontId="2"/>
  </si>
  <si>
    <t>中綴じ</t>
    <rPh sb="0" eb="1">
      <t>ナカ</t>
    </rPh>
    <rPh sb="1" eb="2">
      <t>ト</t>
    </rPh>
    <phoneticPr fontId="2"/>
  </si>
  <si>
    <r>
      <t>フロント</t>
    </r>
    <r>
      <rPr>
        <sz val="10"/>
        <rFont val="Courier New"/>
        <family val="3"/>
      </rPr>
      <t>/</t>
    </r>
    <r>
      <rPr>
        <sz val="10"/>
        <rFont val="ＭＳ Ｐゴシック"/>
        <family val="3"/>
        <charset val="128"/>
      </rPr>
      <t>リア</t>
    </r>
    <r>
      <rPr>
        <sz val="10"/>
        <rFont val="Courier New"/>
        <family val="3"/>
      </rPr>
      <t>/</t>
    </r>
    <r>
      <rPr>
        <sz val="10"/>
        <rFont val="ＭＳ Ｐゴシック"/>
        <family val="3"/>
        <charset val="128"/>
      </rPr>
      <t>デュアル</t>
    </r>
    <phoneticPr fontId="2"/>
  </si>
  <si>
    <t>二つ折り</t>
    <rPh sb="0" eb="1">
      <t>フタ</t>
    </rPh>
    <rPh sb="2" eb="3">
      <t>オ</t>
    </rPh>
    <phoneticPr fontId="2"/>
  </si>
  <si>
    <t>LARGE</t>
    <phoneticPr fontId="2"/>
  </si>
  <si>
    <t>TAIWAN</t>
    <phoneticPr fontId="2"/>
  </si>
  <si>
    <t>CHINESE</t>
    <phoneticPr fontId="2"/>
  </si>
  <si>
    <t>POSTCARD</t>
    <phoneticPr fontId="2"/>
  </si>
  <si>
    <t>AUTO</t>
    <phoneticPr fontId="2"/>
  </si>
  <si>
    <t>定型サイズを手差しトレイで検知させるときの各機能の可否を表している。</t>
    <phoneticPr fontId="2"/>
  </si>
  <si>
    <t>OTHER</t>
    <phoneticPr fontId="2"/>
  </si>
  <si>
    <r>
      <t>コート紙</t>
    </r>
    <r>
      <rPr>
        <sz val="10"/>
        <rFont val="Courier New"/>
        <family val="3"/>
      </rPr>
      <t>3</t>
    </r>
  </si>
  <si>
    <r>
      <t>コート紙</t>
    </r>
    <r>
      <rPr>
        <sz val="10"/>
        <rFont val="Courier New"/>
        <family val="3"/>
      </rPr>
      <t>3(</t>
    </r>
    <r>
      <rPr>
        <sz val="10"/>
        <rFont val="ＭＳ Ｐゴシック"/>
        <family val="3"/>
        <charset val="128"/>
      </rPr>
      <t>うら</t>
    </r>
    <r>
      <rPr>
        <sz val="10"/>
        <rFont val="Courier New"/>
        <family val="3"/>
      </rPr>
      <t>)</t>
    </r>
  </si>
  <si>
    <r>
      <t>コート紙</t>
    </r>
    <r>
      <rPr>
        <sz val="10"/>
        <rFont val="Courier New"/>
        <family val="3"/>
      </rPr>
      <t>4</t>
    </r>
  </si>
  <si>
    <r>
      <t>コート紙</t>
    </r>
    <r>
      <rPr>
        <sz val="10"/>
        <rFont val="Courier New"/>
        <family val="3"/>
      </rPr>
      <t>4(</t>
    </r>
    <r>
      <rPr>
        <sz val="10"/>
        <rFont val="ＭＳ Ｐゴシック"/>
        <family val="3"/>
        <charset val="128"/>
      </rPr>
      <t>うら</t>
    </r>
    <r>
      <rPr>
        <sz val="10"/>
        <rFont val="Courier New"/>
        <family val="3"/>
      </rPr>
      <t>)</t>
    </r>
  </si>
  <si>
    <r>
      <t>用紙サイズは</t>
    </r>
    <r>
      <rPr>
        <sz val="10"/>
        <rFont val="Courier New"/>
        <family val="3"/>
      </rPr>
      <t>A4LEF</t>
    </r>
    <r>
      <rPr>
        <sz val="10"/>
        <rFont val="ＭＳ Ｐゴシック"/>
        <family val="3"/>
        <charset val="128"/>
      </rPr>
      <t>あるいは</t>
    </r>
    <r>
      <rPr>
        <sz val="10"/>
        <rFont val="Courier New"/>
        <family val="3"/>
      </rPr>
      <t>8.5×11LEF</t>
    </r>
    <r>
      <rPr>
        <sz val="10"/>
        <rFont val="ＭＳ Ｐゴシック"/>
        <family val="3"/>
        <charset val="128"/>
      </rPr>
      <t>に固定される。定型サイズ自動検知とは同時指定できない</t>
    </r>
    <rPh sb="25" eb="27">
      <t>コテイ</t>
    </rPh>
    <rPh sb="31" eb="33">
      <t>テイケイ</t>
    </rPh>
    <rPh sb="36" eb="38">
      <t>ジドウ</t>
    </rPh>
    <rPh sb="38" eb="40">
      <t>ケンチ</t>
    </rPh>
    <rPh sb="42" eb="44">
      <t>ドウジ</t>
    </rPh>
    <rPh sb="44" eb="46">
      <t>シテイ</t>
    </rPh>
    <phoneticPr fontId="2"/>
  </si>
  <si>
    <t>スタッカトレイ</t>
    <phoneticPr fontId="2"/>
  </si>
  <si>
    <t>オフセット動作については性能仕様書を参照</t>
    <phoneticPr fontId="2"/>
  </si>
  <si>
    <t>二つ折り（折り筋）</t>
    <rPh sb="5" eb="6">
      <t>オ</t>
    </rPh>
    <rPh sb="7" eb="8">
      <t>スジ</t>
    </rPh>
    <phoneticPr fontId="2"/>
  </si>
  <si>
    <t>二つ折り（折り筋）</t>
    <rPh sb="0" eb="1">
      <t>フタ</t>
    </rPh>
    <rPh sb="2" eb="3">
      <t>オ</t>
    </rPh>
    <rPh sb="5" eb="6">
      <t>オ</t>
    </rPh>
    <rPh sb="7" eb="8">
      <t>スジ</t>
    </rPh>
    <phoneticPr fontId="2"/>
  </si>
  <si>
    <t>中綴じされるものは中折りもされる</t>
    <rPh sb="0" eb="1">
      <t>ナカ</t>
    </rPh>
    <rPh sb="1" eb="2">
      <t>ト</t>
    </rPh>
    <rPh sb="9" eb="10">
      <t>ナカ</t>
    </rPh>
    <rPh sb="10" eb="11">
      <t>オ</t>
    </rPh>
    <phoneticPr fontId="2"/>
  </si>
  <si>
    <r>
      <t>インターポーザ</t>
    </r>
    <r>
      <rPr>
        <sz val="10"/>
        <rFont val="Courier New"/>
        <family val="3"/>
      </rPr>
      <t>1</t>
    </r>
    <r>
      <rPr>
        <sz val="10"/>
        <rFont val="ＭＳ Ｐゴシック"/>
        <family val="3"/>
        <charset val="128"/>
      </rPr>
      <t>からの排出</t>
    </r>
    <rPh sb="11" eb="13">
      <t>ハイシュツ</t>
    </rPh>
    <phoneticPr fontId="2"/>
  </si>
  <si>
    <r>
      <t>インターポーザ</t>
    </r>
    <r>
      <rPr>
        <sz val="10"/>
        <rFont val="Courier New"/>
        <family val="3"/>
      </rPr>
      <t>2</t>
    </r>
    <r>
      <rPr>
        <sz val="10"/>
        <rFont val="ＭＳ Ｐゴシック"/>
        <family val="3"/>
        <charset val="128"/>
      </rPr>
      <t>からの排出</t>
    </r>
    <rPh sb="11" eb="13">
      <t>ハイシュツ</t>
    </rPh>
    <phoneticPr fontId="2"/>
  </si>
  <si>
    <r>
      <t>2</t>
    </r>
    <r>
      <rPr>
        <sz val="10"/>
        <rFont val="ＭＳ Ｐゴシック"/>
        <family val="3"/>
        <charset val="128"/>
      </rPr>
      <t>穴</t>
    </r>
    <phoneticPr fontId="2"/>
  </si>
  <si>
    <r>
      <t>3</t>
    </r>
    <r>
      <rPr>
        <sz val="10"/>
        <rFont val="ＭＳ Ｐゴシック"/>
        <family val="3"/>
        <charset val="128"/>
      </rPr>
      <t>穴</t>
    </r>
    <phoneticPr fontId="2"/>
  </si>
  <si>
    <r>
      <t>4</t>
    </r>
    <r>
      <rPr>
        <sz val="10"/>
        <rFont val="ＭＳ Ｐゴシック"/>
        <family val="3"/>
        <charset val="128"/>
      </rPr>
      <t>穴</t>
    </r>
    <phoneticPr fontId="2"/>
  </si>
  <si>
    <r>
      <t>2/3/4</t>
    </r>
    <r>
      <rPr>
        <sz val="10"/>
        <rFont val="ＭＳ Ｐゴシック"/>
        <family val="3"/>
        <charset val="128"/>
      </rPr>
      <t>穴</t>
    </r>
    <rPh sb="5" eb="6">
      <t>ケツ</t>
    </rPh>
    <phoneticPr fontId="2"/>
  </si>
  <si>
    <t>オフセット</t>
    <phoneticPr fontId="2"/>
  </si>
  <si>
    <t>ステープル</t>
    <phoneticPr fontId="2"/>
  </si>
  <si>
    <t>パンチ</t>
    <phoneticPr fontId="2"/>
  </si>
  <si>
    <t>normalMedType</t>
    <phoneticPr fontId="2"/>
  </si>
  <si>
    <t>smhMedType</t>
    <phoneticPr fontId="2"/>
  </si>
  <si>
    <t>dupMedType</t>
    <phoneticPr fontId="2"/>
  </si>
  <si>
    <t>allMedType</t>
    <phoneticPr fontId="2"/>
  </si>
  <si>
    <t>sideTrayMedType</t>
    <phoneticPr fontId="2"/>
  </si>
  <si>
    <t>NULL</t>
    <phoneticPr fontId="2"/>
  </si>
  <si>
    <r>
      <t>SB</t>
    </r>
    <r>
      <rPr>
        <sz val="10"/>
        <rFont val="ＭＳ Ｐゴシック"/>
        <family val="3"/>
        <charset val="128"/>
      </rPr>
      <t>フィニッシャ</t>
    </r>
    <phoneticPr fontId="2"/>
  </si>
  <si>
    <t>8.5×13.4</t>
  </si>
  <si>
    <t>sbFinStkTrayMedType</t>
  </si>
  <si>
    <t>sbFinOffsetMedType</t>
  </si>
  <si>
    <t>sbFinStplMedType</t>
  </si>
  <si>
    <t>sbFinPchMedType</t>
  </si>
  <si>
    <t>トップトレイ</t>
    <phoneticPr fontId="2"/>
  </si>
  <si>
    <t>A4</t>
    <phoneticPr fontId="2"/>
  </si>
  <si>
    <t>JIS_B</t>
    <phoneticPr fontId="2"/>
  </si>
  <si>
    <r>
      <t>◎</t>
    </r>
    <r>
      <rPr>
        <sz val="10"/>
        <rFont val="Courier New"/>
        <family val="3"/>
      </rPr>
      <t>(2)</t>
    </r>
    <phoneticPr fontId="2"/>
  </si>
  <si>
    <r>
      <t>●</t>
    </r>
    <r>
      <rPr>
        <sz val="10"/>
        <rFont val="Courier New"/>
        <family val="3"/>
      </rPr>
      <t>(2)</t>
    </r>
    <phoneticPr fontId="2"/>
  </si>
  <si>
    <t>INCH</t>
    <phoneticPr fontId="2"/>
  </si>
  <si>
    <t xml:space="preserve">5.5×8.5(Statement) </t>
    <phoneticPr fontId="2"/>
  </si>
  <si>
    <r>
      <t>●</t>
    </r>
    <r>
      <rPr>
        <sz val="10"/>
        <rFont val="Courier New"/>
        <family val="3"/>
      </rPr>
      <t>(1)</t>
    </r>
    <phoneticPr fontId="2"/>
  </si>
  <si>
    <r>
      <t>◎</t>
    </r>
    <r>
      <rPr>
        <sz val="10"/>
        <rFont val="Courier New"/>
        <family val="3"/>
      </rPr>
      <t>(1)</t>
    </r>
    <phoneticPr fontId="2"/>
  </si>
  <si>
    <t>8.5×11(Letter)</t>
    <phoneticPr fontId="2"/>
  </si>
  <si>
    <t>SPECIAL</t>
    <phoneticPr fontId="2"/>
  </si>
  <si>
    <r>
      <t>◎</t>
    </r>
    <r>
      <rPr>
        <sz val="10"/>
        <rFont val="Courier New"/>
        <family val="3"/>
      </rPr>
      <t>'(2)</t>
    </r>
    <phoneticPr fontId="2"/>
  </si>
  <si>
    <r>
      <t>●</t>
    </r>
    <r>
      <rPr>
        <sz val="10"/>
        <rFont val="Courier New"/>
        <family val="3"/>
      </rPr>
      <t>'(2)</t>
    </r>
    <r>
      <rPr>
        <sz val="11"/>
        <rFont val="ＭＳ Ｐゴシック"/>
        <family val="3"/>
        <charset val="128"/>
      </rPr>
      <t/>
    </r>
    <phoneticPr fontId="2"/>
  </si>
  <si>
    <t>×</t>
    <phoneticPr fontId="2"/>
  </si>
  <si>
    <r>
      <t>○</t>
    </r>
    <r>
      <rPr>
        <sz val="10"/>
        <rFont val="Courier New"/>
        <family val="3"/>
      </rPr>
      <t>'</t>
    </r>
    <phoneticPr fontId="2"/>
  </si>
  <si>
    <r>
      <t>US2</t>
    </r>
    <r>
      <rPr>
        <sz val="10"/>
        <rFont val="ＭＳ Ｐゴシック"/>
        <family val="3"/>
        <charset val="128"/>
      </rPr>
      <t>穴を含む</t>
    </r>
    <phoneticPr fontId="2"/>
  </si>
  <si>
    <r>
      <t>"10"</t>
    </r>
    <r>
      <rPr>
        <sz val="10"/>
        <rFont val="ＭＳ Ｐゴシック"/>
        <family val="3"/>
        <charset val="128"/>
      </rPr>
      <t/>
    </r>
  </si>
  <si>
    <r>
      <t>"11"</t>
    </r>
    <r>
      <rPr>
        <sz val="10"/>
        <rFont val="ＭＳ Ｐゴシック"/>
        <family val="3"/>
        <charset val="128"/>
      </rPr>
      <t/>
    </r>
  </si>
  <si>
    <r>
      <t>"12"</t>
    </r>
    <r>
      <rPr>
        <sz val="10"/>
        <rFont val="ＭＳ Ｐゴシック"/>
        <family val="3"/>
        <charset val="128"/>
      </rPr>
      <t/>
    </r>
  </si>
  <si>
    <r>
      <t>"13"</t>
    </r>
    <r>
      <rPr>
        <sz val="10"/>
        <rFont val="ＭＳ Ｐゴシック"/>
        <family val="3"/>
        <charset val="128"/>
      </rPr>
      <t/>
    </r>
  </si>
  <si>
    <r>
      <t>"14"</t>
    </r>
    <r>
      <rPr>
        <sz val="10"/>
        <rFont val="ＭＳ Ｐゴシック"/>
        <family val="3"/>
        <charset val="128"/>
      </rPr>
      <t/>
    </r>
  </si>
  <si>
    <r>
      <t>"15"</t>
    </r>
    <r>
      <rPr>
        <sz val="10"/>
        <rFont val="ＭＳ Ｐゴシック"/>
        <family val="3"/>
        <charset val="128"/>
      </rPr>
      <t/>
    </r>
  </si>
  <si>
    <t>COATING3</t>
  </si>
  <si>
    <t>COATING3_REV</t>
  </si>
  <si>
    <t>COATING4</t>
  </si>
  <si>
    <t>COATING4_REV</t>
  </si>
  <si>
    <t>テリトリによって初期値が異なる場合それを下記に示す</t>
    <rPh sb="15" eb="17">
      <t>バアイ</t>
    </rPh>
    <phoneticPr fontId="2"/>
  </si>
  <si>
    <t>二つ折り</t>
    <phoneticPr fontId="2"/>
  </si>
  <si>
    <t>sbFinSadlStplMedType</t>
    <phoneticPr fontId="2"/>
  </si>
  <si>
    <t>sbFinBiFoldMedType</t>
    <phoneticPr fontId="2"/>
  </si>
  <si>
    <t>オルタネート設定</t>
    <rPh sb="6" eb="8">
      <t>セッテイ</t>
    </rPh>
    <phoneticPr fontId="2"/>
  </si>
  <si>
    <t>Post Card(6×9)</t>
    <phoneticPr fontId="2"/>
  </si>
  <si>
    <t>ENVELOPE</t>
    <phoneticPr fontId="2"/>
  </si>
  <si>
    <t>これらの用紙サイズはオプション構成によりどこにも排出できないケースが存在する。そのようなジョブが指定された場合、ジョブはキャンセルされる。</t>
    <rPh sb="4" eb="6">
      <t>ヨウシ</t>
    </rPh>
    <rPh sb="15" eb="17">
      <t>コウセイ</t>
    </rPh>
    <rPh sb="24" eb="26">
      <t>ハイシュツ</t>
    </rPh>
    <rPh sb="34" eb="36">
      <t>ソンザイ</t>
    </rPh>
    <rPh sb="48" eb="50">
      <t>シテイ</t>
    </rPh>
    <rPh sb="53" eb="55">
      <t>バアイ</t>
    </rPh>
    <phoneticPr fontId="2"/>
  </si>
  <si>
    <r>
      <t>これらは両面モジュール装着時のみ印刷可能。詳細は共通編の</t>
    </r>
    <r>
      <rPr>
        <sz val="10"/>
        <rFont val="Courier New"/>
        <family val="3"/>
      </rPr>
      <t>4.3.4</t>
    </r>
    <r>
      <rPr>
        <sz val="10"/>
        <rFont val="ＭＳ Ｐゴシック"/>
        <family val="3"/>
        <charset val="128"/>
      </rPr>
      <t>節「レターヘッドプリント」を参照
また穴あき紙は定型サイズ自動検知とは同時指定できない</t>
    </r>
    <rPh sb="57" eb="59">
      <t>テイケイ</t>
    </rPh>
    <rPh sb="62" eb="64">
      <t>ジドウ</t>
    </rPh>
    <rPh sb="64" eb="66">
      <t>ケンチ</t>
    </rPh>
    <rPh sb="68" eb="70">
      <t>ドウジ</t>
    </rPh>
    <rPh sb="70" eb="72">
      <t>シテイ</t>
    </rPh>
    <phoneticPr fontId="2"/>
  </si>
  <si>
    <r>
      <t>◎</t>
    </r>
    <r>
      <rPr>
        <sz val="10"/>
        <rFont val="Courier New"/>
        <family val="3"/>
      </rPr>
      <t>(3)</t>
    </r>
  </si>
  <si>
    <r>
      <t>●</t>
    </r>
    <r>
      <rPr>
        <sz val="10"/>
        <rFont val="Courier New"/>
        <family val="3"/>
      </rPr>
      <t>(3)</t>
    </r>
  </si>
  <si>
    <t>(1)=Auto
(2)=Auto
(3)=Auto</t>
    <phoneticPr fontId="2"/>
  </si>
  <si>
    <t>(1)=A5
(2)=Auto
(3)=Auto</t>
    <phoneticPr fontId="2"/>
  </si>
  <si>
    <t>(1)=5.5×8.5S
(2)=Auto
(3)=Auto</t>
    <phoneticPr fontId="2"/>
  </si>
  <si>
    <t>トップトレイ</t>
    <phoneticPr fontId="2"/>
  </si>
  <si>
    <r>
      <t>用紙サイズグループ</t>
    </r>
    <r>
      <rPr>
        <sz val="10"/>
        <rFont val="Courier New"/>
        <family val="3"/>
      </rPr>
      <t>/</t>
    </r>
    <r>
      <rPr>
        <sz val="10"/>
        <rFont val="ＭＳ Ｐゴシック"/>
        <family val="3"/>
        <charset val="128"/>
      </rPr>
      <t>国設定</t>
    </r>
    <rPh sb="0" eb="2">
      <t>ヨウシ</t>
    </rPh>
    <rPh sb="10" eb="11">
      <t>クニ</t>
    </rPh>
    <rPh sb="11" eb="13">
      <t>セッテイ</t>
    </rPh>
    <phoneticPr fontId="2"/>
  </si>
  <si>
    <t>折り指示には「二つ折り」を指定しなければならない</t>
    <phoneticPr fontId="2"/>
  </si>
  <si>
    <r>
      <t>各</t>
    </r>
    <r>
      <rPr>
        <sz val="10"/>
        <rFont val="Courier New"/>
        <family val="3"/>
      </rPr>
      <t>Output</t>
    </r>
    <r>
      <rPr>
        <sz val="10"/>
        <rFont val="ＭＳ Ｐゴシック"/>
        <family val="3"/>
        <charset val="128"/>
      </rPr>
      <t>装置を接続したときのデフォルト排出先についてはプロダクト編の</t>
    </r>
    <r>
      <rPr>
        <sz val="10"/>
        <rFont val="Courier New"/>
        <family val="3"/>
      </rPr>
      <t>4.4.1</t>
    </r>
    <r>
      <rPr>
        <sz val="10"/>
        <rFont val="ＭＳ Ｐゴシック"/>
        <family val="3"/>
        <charset val="128"/>
      </rPr>
      <t>節「排出先指定」を参照。</t>
    </r>
    <phoneticPr fontId="2"/>
  </si>
  <si>
    <r>
      <t>PF</t>
    </r>
    <r>
      <rPr>
        <sz val="10"/>
        <rFont val="ＭＳ Ｐゴシック"/>
        <family val="3"/>
        <charset val="128"/>
      </rPr>
      <t>定義値</t>
    </r>
    <rPh sb="2" eb="5">
      <t>テイギチ</t>
    </rPh>
    <phoneticPr fontId="2"/>
  </si>
  <si>
    <r>
      <t>PF</t>
    </r>
    <r>
      <rPr>
        <sz val="10"/>
        <rFont val="ＭＳ Ｐゴシック"/>
        <family val="3"/>
        <charset val="128"/>
      </rPr>
      <t>定義値</t>
    </r>
  </si>
  <si>
    <t>A6</t>
    <phoneticPr fontId="2"/>
  </si>
  <si>
    <t>SEF</t>
    <phoneticPr fontId="2"/>
  </si>
  <si>
    <t>A5</t>
    <phoneticPr fontId="2"/>
  </si>
  <si>
    <t>LEF</t>
    <phoneticPr fontId="2"/>
  </si>
  <si>
    <r>
      <t>普通紙</t>
    </r>
    <r>
      <rPr>
        <sz val="10"/>
        <rFont val="Courier New"/>
        <family val="3"/>
      </rPr>
      <t>(</t>
    </r>
    <r>
      <rPr>
        <sz val="10"/>
        <rFont val="ＭＳ Ｐゴシック"/>
        <family val="3"/>
        <charset val="128"/>
      </rPr>
      <t>うら</t>
    </r>
    <r>
      <rPr>
        <sz val="10"/>
        <rFont val="Courier New"/>
        <family val="3"/>
      </rPr>
      <t>)</t>
    </r>
    <rPh sb="0" eb="3">
      <t>フツウシ</t>
    </rPh>
    <phoneticPr fontId="2"/>
  </si>
  <si>
    <t>A4</t>
    <phoneticPr fontId="2"/>
  </si>
  <si>
    <t>RECYCLED</t>
    <phoneticPr fontId="2"/>
  </si>
  <si>
    <t>A3</t>
    <phoneticPr fontId="2"/>
  </si>
  <si>
    <r>
      <t>ユーザー定義用紙</t>
    </r>
    <r>
      <rPr>
        <sz val="10"/>
        <rFont val="Courier New"/>
        <family val="3"/>
      </rPr>
      <t>1</t>
    </r>
    <phoneticPr fontId="2"/>
  </si>
  <si>
    <t>B6</t>
    <phoneticPr fontId="2"/>
  </si>
  <si>
    <t>JIS_B6</t>
    <phoneticPr fontId="2"/>
  </si>
  <si>
    <r>
      <t>ユーザー定義用紙</t>
    </r>
    <r>
      <rPr>
        <sz val="10"/>
        <rFont val="Courier New"/>
        <family val="3"/>
      </rPr>
      <t>2</t>
    </r>
    <phoneticPr fontId="2"/>
  </si>
  <si>
    <t>JIS_B5</t>
    <phoneticPr fontId="2"/>
  </si>
  <si>
    <r>
      <t>ユーザー定義用紙</t>
    </r>
    <r>
      <rPr>
        <sz val="10"/>
        <rFont val="Courier New"/>
        <family val="3"/>
      </rPr>
      <t>3</t>
    </r>
    <phoneticPr fontId="2"/>
  </si>
  <si>
    <t>JIS_B4</t>
    <phoneticPr fontId="2"/>
  </si>
  <si>
    <r>
      <t>ユーザー定義用紙</t>
    </r>
    <r>
      <rPr>
        <sz val="10"/>
        <rFont val="Courier New"/>
        <family val="3"/>
      </rPr>
      <t>4</t>
    </r>
    <phoneticPr fontId="2"/>
  </si>
  <si>
    <t>INVOICE</t>
    <phoneticPr fontId="2"/>
  </si>
  <si>
    <r>
      <t>ユーザー定義用紙</t>
    </r>
    <r>
      <rPr>
        <sz val="10"/>
        <rFont val="Courier New"/>
        <family val="3"/>
      </rPr>
      <t>5</t>
    </r>
    <phoneticPr fontId="2"/>
  </si>
  <si>
    <t>EXECUTIVE</t>
    <phoneticPr fontId="2"/>
  </si>
  <si>
    <t>80X100</t>
    <phoneticPr fontId="2"/>
  </si>
  <si>
    <t>LETTERHEAD</t>
    <phoneticPr fontId="2"/>
  </si>
  <si>
    <t>LETTER</t>
    <phoneticPr fontId="2"/>
  </si>
  <si>
    <t>PREPRINTED</t>
    <phoneticPr fontId="2"/>
  </si>
  <si>
    <t>SPANISH</t>
    <phoneticPr fontId="2"/>
  </si>
  <si>
    <t>OTHER</t>
    <phoneticPr fontId="2"/>
  </si>
  <si>
    <t>FOLIO</t>
    <phoneticPr fontId="2"/>
  </si>
  <si>
    <t>8.5×13.4</t>
    <phoneticPr fontId="2"/>
  </si>
  <si>
    <t>MEXICAN_OFFICIO</t>
    <phoneticPr fontId="2"/>
  </si>
  <si>
    <t>LEGAL</t>
    <phoneticPr fontId="2"/>
  </si>
  <si>
    <r>
      <t>厚紙</t>
    </r>
    <r>
      <rPr>
        <sz val="10"/>
        <rFont val="Courier New"/>
        <family val="3"/>
      </rPr>
      <t>1F</t>
    </r>
    <phoneticPr fontId="2"/>
  </si>
  <si>
    <t>11X15</t>
    <phoneticPr fontId="2"/>
  </si>
  <si>
    <r>
      <t>厚紙</t>
    </r>
    <r>
      <rPr>
        <sz val="10"/>
        <rFont val="Courier New"/>
        <family val="3"/>
      </rPr>
      <t>1(</t>
    </r>
    <r>
      <rPr>
        <sz val="10"/>
        <rFont val="ＭＳ Ｐゴシック"/>
        <family val="3"/>
        <charset val="128"/>
      </rPr>
      <t>うら</t>
    </r>
    <r>
      <rPr>
        <sz val="10"/>
        <rFont val="Courier New"/>
        <family val="3"/>
      </rPr>
      <t>)</t>
    </r>
    <phoneticPr fontId="2"/>
  </si>
  <si>
    <t>LEDGER</t>
    <phoneticPr fontId="2"/>
  </si>
  <si>
    <r>
      <t>厚紙</t>
    </r>
    <r>
      <rPr>
        <sz val="10"/>
        <rFont val="Courier New"/>
        <family val="3"/>
      </rPr>
      <t>1F(</t>
    </r>
    <r>
      <rPr>
        <sz val="10"/>
        <rFont val="ＭＳ Ｐゴシック"/>
        <family val="3"/>
        <charset val="128"/>
      </rPr>
      <t>うら</t>
    </r>
    <r>
      <rPr>
        <sz val="10"/>
        <rFont val="Courier New"/>
        <family val="3"/>
      </rPr>
      <t>)</t>
    </r>
    <phoneticPr fontId="2"/>
  </si>
  <si>
    <t>THICK1_FINISHER_REV</t>
    <phoneticPr fontId="2"/>
  </si>
  <si>
    <t>A4-Cover</t>
    <phoneticPr fontId="2"/>
  </si>
  <si>
    <t>A4COVER</t>
    <phoneticPr fontId="2"/>
  </si>
  <si>
    <r>
      <t>A4-Tab(</t>
    </r>
    <r>
      <rPr>
        <sz val="10"/>
        <rFont val="ＭＳ Ｐゴシック"/>
        <family val="3"/>
        <charset val="128"/>
      </rPr>
      <t>インデックス紙</t>
    </r>
    <r>
      <rPr>
        <sz val="10"/>
        <rFont val="Courier New"/>
        <family val="3"/>
      </rPr>
      <t>)</t>
    </r>
    <rPh sb="13" eb="14">
      <t>シ</t>
    </rPh>
    <phoneticPr fontId="2"/>
  </si>
  <si>
    <t>A4COVER</t>
    <phoneticPr fontId="2"/>
  </si>
  <si>
    <t>Letter-Cover(9×11)</t>
    <phoneticPr fontId="2"/>
  </si>
  <si>
    <t>LETTERCOVER</t>
    <phoneticPr fontId="2"/>
  </si>
  <si>
    <r>
      <t>Letter-Tab(</t>
    </r>
    <r>
      <rPr>
        <sz val="10"/>
        <rFont val="ＭＳ Ｐゴシック"/>
        <family val="3"/>
        <charset val="128"/>
      </rPr>
      <t>インデックス紙</t>
    </r>
    <r>
      <rPr>
        <sz val="10"/>
        <rFont val="Courier New"/>
        <family val="3"/>
      </rPr>
      <t>)</t>
    </r>
    <rPh sb="17" eb="18">
      <t>シ</t>
    </rPh>
    <phoneticPr fontId="2"/>
  </si>
  <si>
    <t>LETTERCOVER</t>
    <phoneticPr fontId="2"/>
  </si>
  <si>
    <t>SPECIALA4</t>
    <phoneticPr fontId="2"/>
  </si>
  <si>
    <r>
      <t>DT</t>
    </r>
    <r>
      <rPr>
        <sz val="10"/>
        <rFont val="ＭＳ Ｐゴシック"/>
        <family val="3"/>
        <charset val="128"/>
      </rPr>
      <t>特</t>
    </r>
    <r>
      <rPr>
        <sz val="10"/>
        <rFont val="Courier New"/>
        <family val="3"/>
      </rPr>
      <t>A3</t>
    </r>
    <rPh sb="2" eb="3">
      <t>トク</t>
    </rPh>
    <phoneticPr fontId="2"/>
  </si>
  <si>
    <t>DT_SPECIALA3</t>
    <phoneticPr fontId="2"/>
  </si>
  <si>
    <t>SPECIALA3</t>
    <phoneticPr fontId="2"/>
  </si>
  <si>
    <t>FINE_THICK2</t>
    <phoneticPr fontId="2"/>
  </si>
  <si>
    <t>12X18</t>
    <phoneticPr fontId="2"/>
  </si>
  <si>
    <t>ENVELOPE</t>
    <phoneticPr fontId="2"/>
  </si>
  <si>
    <t>12×19</t>
    <phoneticPr fontId="2"/>
  </si>
  <si>
    <t>120X190</t>
    <phoneticPr fontId="2"/>
  </si>
  <si>
    <t>SRA3</t>
    <phoneticPr fontId="2"/>
  </si>
  <si>
    <r>
      <t>コート紙</t>
    </r>
    <r>
      <rPr>
        <sz val="10"/>
        <rFont val="Courier New"/>
        <family val="3"/>
      </rPr>
      <t>1F</t>
    </r>
    <phoneticPr fontId="2"/>
  </si>
  <si>
    <t>COATING1_FINISHER</t>
    <phoneticPr fontId="2"/>
  </si>
  <si>
    <t>126X192</t>
    <phoneticPr fontId="2"/>
  </si>
  <si>
    <t>13X18</t>
    <phoneticPr fontId="2"/>
  </si>
  <si>
    <t>13X19</t>
    <phoneticPr fontId="2"/>
  </si>
  <si>
    <r>
      <t>十六開</t>
    </r>
    <r>
      <rPr>
        <sz val="10"/>
        <rFont val="Courier New"/>
        <family val="3"/>
      </rPr>
      <t>(</t>
    </r>
    <r>
      <rPr>
        <sz val="10"/>
        <rFont val="ＭＳ Ｐゴシック"/>
        <family val="3"/>
        <charset val="128"/>
      </rPr>
      <t>台湾</t>
    </r>
    <r>
      <rPr>
        <sz val="10"/>
        <rFont val="Courier New"/>
        <family val="3"/>
      </rPr>
      <t>)</t>
    </r>
    <rPh sb="4" eb="6">
      <t>タイワン</t>
    </rPh>
    <phoneticPr fontId="2"/>
  </si>
  <si>
    <t>16KAI</t>
    <phoneticPr fontId="2"/>
  </si>
  <si>
    <r>
      <t>八開</t>
    </r>
    <r>
      <rPr>
        <sz val="10"/>
        <rFont val="Courier New"/>
        <family val="3"/>
      </rPr>
      <t>(</t>
    </r>
    <r>
      <rPr>
        <sz val="10"/>
        <rFont val="ＭＳ Ｐゴシック"/>
        <family val="3"/>
        <charset val="128"/>
      </rPr>
      <t>台湾</t>
    </r>
    <r>
      <rPr>
        <sz val="10"/>
        <rFont val="Courier New"/>
        <family val="3"/>
      </rPr>
      <t>)</t>
    </r>
    <rPh sb="3" eb="5">
      <t>タイワン</t>
    </rPh>
    <phoneticPr fontId="2"/>
  </si>
  <si>
    <t>8KAI</t>
    <phoneticPr fontId="2"/>
  </si>
  <si>
    <r>
      <t>十六開</t>
    </r>
    <r>
      <rPr>
        <sz val="10"/>
        <rFont val="Courier New"/>
        <family val="3"/>
      </rPr>
      <t>(</t>
    </r>
    <r>
      <rPr>
        <sz val="10"/>
        <rFont val="ＭＳ Ｐゴシック"/>
        <family val="3"/>
        <charset val="128"/>
      </rPr>
      <t>中国本土</t>
    </r>
    <r>
      <rPr>
        <sz val="10"/>
        <rFont val="Courier New"/>
        <family val="3"/>
      </rPr>
      <t>)</t>
    </r>
    <rPh sb="4" eb="6">
      <t>チュウゴク</t>
    </rPh>
    <rPh sb="6" eb="8">
      <t>ホンド</t>
    </rPh>
    <phoneticPr fontId="2"/>
  </si>
  <si>
    <t>16KAI_GCO</t>
    <phoneticPr fontId="2"/>
  </si>
  <si>
    <r>
      <t>八開</t>
    </r>
    <r>
      <rPr>
        <sz val="10"/>
        <rFont val="Courier New"/>
        <family val="3"/>
      </rPr>
      <t>(</t>
    </r>
    <r>
      <rPr>
        <sz val="10"/>
        <rFont val="ＭＳ Ｐゴシック"/>
        <family val="3"/>
        <charset val="128"/>
      </rPr>
      <t>中国本土</t>
    </r>
    <r>
      <rPr>
        <sz val="10"/>
        <rFont val="Courier New"/>
        <family val="3"/>
      </rPr>
      <t>)</t>
    </r>
    <rPh sb="3" eb="5">
      <t>チュウゴク</t>
    </rPh>
    <rPh sb="5" eb="7">
      <t>ホンド</t>
    </rPh>
    <phoneticPr fontId="2"/>
  </si>
  <si>
    <t>8KAI_GCO</t>
    <phoneticPr fontId="2"/>
  </si>
  <si>
    <t>HAGAKI</t>
    <phoneticPr fontId="2"/>
  </si>
  <si>
    <t>ラベル紙</t>
    <phoneticPr fontId="2"/>
  </si>
  <si>
    <t>DOUBLE_HAGAKI</t>
    <phoneticPr fontId="2"/>
  </si>
  <si>
    <r>
      <t>ラベル紙</t>
    </r>
    <r>
      <rPr>
        <sz val="10"/>
        <rFont val="Courier New"/>
        <family val="3"/>
      </rPr>
      <t>1</t>
    </r>
    <phoneticPr fontId="2"/>
  </si>
  <si>
    <t>LABEL1</t>
    <phoneticPr fontId="2"/>
  </si>
  <si>
    <t>35X50</t>
    <phoneticPr fontId="2"/>
  </si>
  <si>
    <r>
      <t>ラベル紙</t>
    </r>
    <r>
      <rPr>
        <sz val="10"/>
        <rFont val="Courier New"/>
        <family val="3"/>
      </rPr>
      <t>2</t>
    </r>
    <phoneticPr fontId="2"/>
  </si>
  <si>
    <t>LABEL2</t>
    <phoneticPr fontId="2"/>
  </si>
  <si>
    <t>Post Card(3.5×5.5)</t>
    <phoneticPr fontId="2"/>
  </si>
  <si>
    <t>35X55</t>
    <phoneticPr fontId="2"/>
  </si>
  <si>
    <t>TAB_THICK1</t>
    <phoneticPr fontId="2"/>
  </si>
  <si>
    <t>Post Card(4×6)</t>
    <phoneticPr fontId="2"/>
  </si>
  <si>
    <t>40X60</t>
    <phoneticPr fontId="2"/>
  </si>
  <si>
    <t>TAB_THICK2</t>
    <phoneticPr fontId="2"/>
  </si>
  <si>
    <t>50X70</t>
    <phoneticPr fontId="2"/>
  </si>
  <si>
    <t>TRANSFER</t>
    <phoneticPr fontId="2"/>
  </si>
  <si>
    <t>60X90</t>
    <phoneticPr fontId="2"/>
  </si>
  <si>
    <r>
      <t>OHP</t>
    </r>
    <r>
      <rPr>
        <sz val="10"/>
        <rFont val="ＭＳ Ｐゴシック"/>
        <family val="3"/>
        <charset val="128"/>
      </rPr>
      <t>フィルム</t>
    </r>
    <phoneticPr fontId="2"/>
  </si>
  <si>
    <r>
      <t>封筒：長形</t>
    </r>
    <r>
      <rPr>
        <sz val="10"/>
        <rFont val="Courier New"/>
        <family val="3"/>
      </rPr>
      <t>3</t>
    </r>
    <r>
      <rPr>
        <sz val="10"/>
        <rFont val="ＭＳ Ｐゴシック"/>
        <family val="3"/>
        <charset val="128"/>
      </rPr>
      <t>号</t>
    </r>
    <r>
      <rPr>
        <sz val="10"/>
        <rFont val="Courier New"/>
        <family val="3"/>
      </rPr>
      <t xml:space="preserve"> </t>
    </r>
    <phoneticPr fontId="2"/>
  </si>
  <si>
    <t>TYOUKEI_3</t>
    <phoneticPr fontId="2"/>
  </si>
  <si>
    <t>タックフィルム</t>
    <phoneticPr fontId="2"/>
  </si>
  <si>
    <t>TACK_FILM</t>
    <phoneticPr fontId="2"/>
  </si>
  <si>
    <r>
      <t>封筒：洋長形</t>
    </r>
    <r>
      <rPr>
        <sz val="10"/>
        <rFont val="Courier New"/>
        <family val="3"/>
      </rPr>
      <t>3</t>
    </r>
    <r>
      <rPr>
        <sz val="10"/>
        <rFont val="ＭＳ Ｐゴシック"/>
        <family val="3"/>
        <charset val="128"/>
      </rPr>
      <t>号</t>
    </r>
    <r>
      <rPr>
        <sz val="10"/>
        <rFont val="Courier New"/>
        <family val="3"/>
      </rPr>
      <t xml:space="preserve"> </t>
    </r>
    <rPh sb="3" eb="4">
      <t>ヨウ</t>
    </rPh>
    <phoneticPr fontId="2"/>
  </si>
  <si>
    <r>
      <t>普通紙</t>
    </r>
    <r>
      <rPr>
        <sz val="10"/>
        <rFont val="Courier New"/>
        <family val="3"/>
      </rPr>
      <t>A</t>
    </r>
    <phoneticPr fontId="2"/>
  </si>
  <si>
    <t>STATIONARY_A</t>
    <phoneticPr fontId="2"/>
  </si>
  <si>
    <r>
      <t>封筒：角形</t>
    </r>
    <r>
      <rPr>
        <sz val="10"/>
        <rFont val="Courier New"/>
        <family val="3"/>
      </rPr>
      <t>2</t>
    </r>
    <r>
      <rPr>
        <sz val="10"/>
        <rFont val="ＭＳ Ｐゴシック"/>
        <family val="3"/>
        <charset val="128"/>
      </rPr>
      <t>号</t>
    </r>
    <r>
      <rPr>
        <sz val="10"/>
        <rFont val="Courier New"/>
        <family val="3"/>
      </rPr>
      <t xml:space="preserve"> </t>
    </r>
    <phoneticPr fontId="2"/>
  </si>
  <si>
    <t>NULL</t>
    <phoneticPr fontId="2"/>
  </si>
  <si>
    <r>
      <t>普通紙</t>
    </r>
    <r>
      <rPr>
        <sz val="10"/>
        <rFont val="Courier New"/>
        <family val="3"/>
      </rPr>
      <t>B</t>
    </r>
    <phoneticPr fontId="2"/>
  </si>
  <si>
    <t>STATIONARY_B</t>
    <phoneticPr fontId="2"/>
  </si>
  <si>
    <r>
      <t>封筒：</t>
    </r>
    <r>
      <rPr>
        <sz val="10"/>
        <rFont val="Courier New"/>
        <family val="3"/>
      </rPr>
      <t xml:space="preserve">Commercial#9 </t>
    </r>
    <phoneticPr fontId="2"/>
  </si>
  <si>
    <r>
      <t>普通紙</t>
    </r>
    <r>
      <rPr>
        <sz val="10"/>
        <rFont val="Courier New"/>
        <family val="3"/>
      </rPr>
      <t>C</t>
    </r>
    <phoneticPr fontId="2"/>
  </si>
  <si>
    <t>STATIONARY_C</t>
    <phoneticPr fontId="2"/>
  </si>
  <si>
    <t>COMMERCIAL_10</t>
    <phoneticPr fontId="2"/>
  </si>
  <si>
    <r>
      <t>普通紙</t>
    </r>
    <r>
      <rPr>
        <sz val="10"/>
        <rFont val="Courier New"/>
        <family val="3"/>
      </rPr>
      <t>D</t>
    </r>
    <phoneticPr fontId="2"/>
  </si>
  <si>
    <t>STATIONARY_D</t>
    <phoneticPr fontId="2"/>
  </si>
  <si>
    <t>MONARCH</t>
    <phoneticPr fontId="2"/>
  </si>
  <si>
    <r>
      <t>普通紙</t>
    </r>
    <r>
      <rPr>
        <sz val="10"/>
        <rFont val="Courier New"/>
        <family val="3"/>
      </rPr>
      <t>E</t>
    </r>
    <phoneticPr fontId="2"/>
  </si>
  <si>
    <t>STATIONARY_E</t>
    <phoneticPr fontId="2"/>
  </si>
  <si>
    <t>ISO_DESIGNATED_LONG</t>
    <phoneticPr fontId="2"/>
  </si>
  <si>
    <r>
      <t>普通紙</t>
    </r>
    <r>
      <rPr>
        <sz val="10"/>
        <rFont val="Courier New"/>
        <family val="3"/>
      </rPr>
      <t>F</t>
    </r>
    <phoneticPr fontId="2"/>
  </si>
  <si>
    <t>STATIONARY_F</t>
    <phoneticPr fontId="2"/>
  </si>
  <si>
    <r>
      <t>普通紙</t>
    </r>
    <r>
      <rPr>
        <sz val="10"/>
        <rFont val="Courier New"/>
        <family val="3"/>
      </rPr>
      <t>G</t>
    </r>
    <phoneticPr fontId="2"/>
  </si>
  <si>
    <t>STATIONARY_G</t>
    <phoneticPr fontId="2"/>
  </si>
  <si>
    <r>
      <t>普通紙</t>
    </r>
    <r>
      <rPr>
        <sz val="10"/>
        <rFont val="Courier New"/>
        <family val="3"/>
      </rPr>
      <t>S</t>
    </r>
    <phoneticPr fontId="2"/>
  </si>
  <si>
    <t>STATIONARY_S</t>
    <phoneticPr fontId="2"/>
  </si>
  <si>
    <t>ISO_B5</t>
    <phoneticPr fontId="2"/>
  </si>
  <si>
    <r>
      <t>普通紙</t>
    </r>
    <r>
      <rPr>
        <sz val="10"/>
        <rFont val="Courier New"/>
        <family val="3"/>
      </rPr>
      <t>S1</t>
    </r>
    <phoneticPr fontId="2"/>
  </si>
  <si>
    <t>STATIONARY_S1</t>
    <phoneticPr fontId="2"/>
  </si>
  <si>
    <t>YOUKEI_2</t>
    <phoneticPr fontId="2"/>
  </si>
  <si>
    <r>
      <t>普通紙</t>
    </r>
    <r>
      <rPr>
        <sz val="10"/>
        <rFont val="Courier New"/>
        <family val="3"/>
      </rPr>
      <t>S2</t>
    </r>
    <phoneticPr fontId="2"/>
  </si>
  <si>
    <t>STATIONARY_S2</t>
    <phoneticPr fontId="2"/>
  </si>
  <si>
    <r>
      <t>封筒：洋形</t>
    </r>
    <r>
      <rPr>
        <sz val="10"/>
        <rFont val="Courier New"/>
        <family val="3"/>
      </rPr>
      <t>3</t>
    </r>
    <r>
      <rPr>
        <sz val="10"/>
        <rFont val="ＭＳ Ｐゴシック"/>
        <family val="3"/>
        <charset val="128"/>
      </rPr>
      <t>号</t>
    </r>
    <r>
      <rPr>
        <sz val="11"/>
        <rFont val="ＭＳ Ｐゴシック"/>
        <family val="3"/>
        <charset val="128"/>
      </rPr>
      <t/>
    </r>
    <rPh sb="3" eb="4">
      <t>ヨウ</t>
    </rPh>
    <phoneticPr fontId="2"/>
  </si>
  <si>
    <r>
      <t>普通紙</t>
    </r>
    <r>
      <rPr>
        <sz val="10"/>
        <rFont val="Courier New"/>
        <family val="3"/>
      </rPr>
      <t>(</t>
    </r>
    <r>
      <rPr>
        <sz val="10"/>
        <rFont val="ＭＳ Ｐゴシック"/>
        <family val="3"/>
        <charset val="128"/>
      </rPr>
      <t>うら</t>
    </r>
    <r>
      <rPr>
        <sz val="10"/>
        <rFont val="Courier New"/>
        <family val="3"/>
      </rPr>
      <t>)S1</t>
    </r>
    <rPh sb="0" eb="3">
      <t>フツウシ</t>
    </rPh>
    <phoneticPr fontId="2"/>
  </si>
  <si>
    <t>USED_S1</t>
    <phoneticPr fontId="2"/>
  </si>
  <si>
    <r>
      <t>封筒：洋形</t>
    </r>
    <r>
      <rPr>
        <sz val="10"/>
        <rFont val="Courier New"/>
        <family val="3"/>
      </rPr>
      <t>4</t>
    </r>
    <r>
      <rPr>
        <sz val="10"/>
        <rFont val="ＭＳ Ｐゴシック"/>
        <family val="3"/>
        <charset val="128"/>
      </rPr>
      <t>号</t>
    </r>
    <r>
      <rPr>
        <sz val="11"/>
        <rFont val="ＭＳ Ｐゴシック"/>
        <family val="3"/>
        <charset val="128"/>
      </rPr>
      <t/>
    </r>
    <rPh sb="3" eb="4">
      <t>ヨウ</t>
    </rPh>
    <phoneticPr fontId="2"/>
  </si>
  <si>
    <t>RECYCLED_A</t>
    <phoneticPr fontId="2"/>
  </si>
  <si>
    <t>FREE</t>
    <phoneticPr fontId="2"/>
  </si>
  <si>
    <t>RECYCLED_B</t>
    <phoneticPr fontId="2"/>
  </si>
  <si>
    <t>OTHER</t>
    <phoneticPr fontId="2"/>
  </si>
  <si>
    <t>RECYCLED_S1</t>
    <phoneticPr fontId="2"/>
  </si>
  <si>
    <t>NULL</t>
    <phoneticPr fontId="2"/>
  </si>
  <si>
    <r>
      <t>厚紙</t>
    </r>
    <r>
      <rPr>
        <sz val="10"/>
        <rFont val="Courier New"/>
        <family val="3"/>
      </rPr>
      <t>1S1</t>
    </r>
    <phoneticPr fontId="2"/>
  </si>
  <si>
    <t>THICK1_S1</t>
    <phoneticPr fontId="2"/>
  </si>
  <si>
    <r>
      <t>厚紙</t>
    </r>
    <r>
      <rPr>
        <sz val="10"/>
        <rFont val="Courier New"/>
        <family val="3"/>
      </rPr>
      <t>1S2</t>
    </r>
    <phoneticPr fontId="2"/>
  </si>
  <si>
    <t>THICK1_S2</t>
    <phoneticPr fontId="2"/>
  </si>
  <si>
    <r>
      <t>厚紙</t>
    </r>
    <r>
      <rPr>
        <sz val="10"/>
        <rFont val="Courier New"/>
        <family val="3"/>
      </rPr>
      <t>1FA</t>
    </r>
    <phoneticPr fontId="2"/>
  </si>
  <si>
    <r>
      <t>厚紙</t>
    </r>
    <r>
      <rPr>
        <sz val="10"/>
        <rFont val="Courier New"/>
        <family val="3"/>
      </rPr>
      <t>1FB</t>
    </r>
    <phoneticPr fontId="2"/>
  </si>
  <si>
    <r>
      <t>厚紙</t>
    </r>
    <r>
      <rPr>
        <sz val="10"/>
        <rFont val="Courier New"/>
        <family val="3"/>
      </rPr>
      <t>1FC</t>
    </r>
    <phoneticPr fontId="2"/>
  </si>
  <si>
    <r>
      <t>厚紙</t>
    </r>
    <r>
      <rPr>
        <sz val="10"/>
        <rFont val="Courier New"/>
        <family val="3"/>
      </rPr>
      <t>1FS</t>
    </r>
    <phoneticPr fontId="2"/>
  </si>
  <si>
    <t>THICK1_REV_A</t>
    <phoneticPr fontId="2"/>
  </si>
  <si>
    <t>THICK1_REV_B</t>
    <phoneticPr fontId="2"/>
  </si>
  <si>
    <t>THICK1_REV_C</t>
    <phoneticPr fontId="2"/>
  </si>
  <si>
    <t>THICK1_REV_S</t>
    <phoneticPr fontId="2"/>
  </si>
  <si>
    <r>
      <t>厚紙</t>
    </r>
    <r>
      <rPr>
        <sz val="10"/>
        <rFont val="Courier New"/>
        <family val="3"/>
      </rPr>
      <t>1(</t>
    </r>
    <r>
      <rPr>
        <sz val="10"/>
        <rFont val="ＭＳ Ｐゴシック"/>
        <family val="3"/>
        <charset val="128"/>
      </rPr>
      <t>うら</t>
    </r>
    <r>
      <rPr>
        <sz val="10"/>
        <rFont val="Courier New"/>
        <family val="3"/>
      </rPr>
      <t>)S1</t>
    </r>
    <phoneticPr fontId="2"/>
  </si>
  <si>
    <t>THICK1_REV_S1</t>
    <phoneticPr fontId="2"/>
  </si>
  <si>
    <r>
      <t>厚紙</t>
    </r>
    <r>
      <rPr>
        <sz val="10"/>
        <rFont val="Courier New"/>
        <family val="3"/>
      </rPr>
      <t>1(</t>
    </r>
    <r>
      <rPr>
        <sz val="10"/>
        <rFont val="ＭＳ Ｐゴシック"/>
        <family val="3"/>
        <charset val="128"/>
      </rPr>
      <t>うら</t>
    </r>
    <r>
      <rPr>
        <sz val="10"/>
        <rFont val="Courier New"/>
        <family val="3"/>
      </rPr>
      <t>)S2</t>
    </r>
    <phoneticPr fontId="2"/>
  </si>
  <si>
    <t>THICK1_REV_S2</t>
    <phoneticPr fontId="2"/>
  </si>
  <si>
    <r>
      <t>厚紙</t>
    </r>
    <r>
      <rPr>
        <sz val="10"/>
        <rFont val="Courier New"/>
        <family val="3"/>
      </rPr>
      <t>2E</t>
    </r>
    <phoneticPr fontId="2"/>
  </si>
  <si>
    <t>THICK2_E</t>
    <phoneticPr fontId="2"/>
  </si>
  <si>
    <r>
      <t>厚紙</t>
    </r>
    <r>
      <rPr>
        <sz val="10"/>
        <rFont val="Courier New"/>
        <family val="3"/>
      </rPr>
      <t>2S1</t>
    </r>
    <phoneticPr fontId="2"/>
  </si>
  <si>
    <t>THICK2_S1</t>
    <phoneticPr fontId="2"/>
  </si>
  <si>
    <r>
      <t>厚紙</t>
    </r>
    <r>
      <rPr>
        <sz val="10"/>
        <rFont val="Courier New"/>
        <family val="3"/>
      </rPr>
      <t>2S2</t>
    </r>
    <phoneticPr fontId="2"/>
  </si>
  <si>
    <t>THICK2_S2</t>
    <phoneticPr fontId="2"/>
  </si>
  <si>
    <t>THICK2_REV_A</t>
    <phoneticPr fontId="2"/>
  </si>
  <si>
    <t>THICK2_REV_B</t>
    <phoneticPr fontId="2"/>
  </si>
  <si>
    <t>THICK2_REV_C</t>
    <phoneticPr fontId="2"/>
  </si>
  <si>
    <t>THICK2_REV_D</t>
    <phoneticPr fontId="2"/>
  </si>
  <si>
    <r>
      <t>厚紙</t>
    </r>
    <r>
      <rPr>
        <sz val="10"/>
        <rFont val="Courier New"/>
        <family val="3"/>
      </rPr>
      <t>2(</t>
    </r>
    <r>
      <rPr>
        <sz val="10"/>
        <rFont val="ＭＳ Ｐゴシック"/>
        <family val="3"/>
        <charset val="128"/>
      </rPr>
      <t>うら</t>
    </r>
    <r>
      <rPr>
        <sz val="10"/>
        <rFont val="Courier New"/>
        <family val="3"/>
      </rPr>
      <t>)E</t>
    </r>
    <phoneticPr fontId="2"/>
  </si>
  <si>
    <t>THICK2_REV_E</t>
    <phoneticPr fontId="2"/>
  </si>
  <si>
    <t>THICK2_REV_S</t>
    <phoneticPr fontId="2"/>
  </si>
  <si>
    <r>
      <t>厚紙</t>
    </r>
    <r>
      <rPr>
        <sz val="10"/>
        <rFont val="Courier New"/>
        <family val="3"/>
      </rPr>
      <t>2(</t>
    </r>
    <r>
      <rPr>
        <sz val="10"/>
        <rFont val="ＭＳ Ｐゴシック"/>
        <family val="3"/>
        <charset val="128"/>
      </rPr>
      <t>うら</t>
    </r>
    <r>
      <rPr>
        <sz val="10"/>
        <rFont val="Courier New"/>
        <family val="3"/>
      </rPr>
      <t>)S1</t>
    </r>
    <phoneticPr fontId="2"/>
  </si>
  <si>
    <t>THICK2_REV_S1</t>
    <phoneticPr fontId="2"/>
  </si>
  <si>
    <r>
      <t>厚紙</t>
    </r>
    <r>
      <rPr>
        <sz val="10"/>
        <rFont val="Courier New"/>
        <family val="3"/>
      </rPr>
      <t>2(</t>
    </r>
    <r>
      <rPr>
        <sz val="10"/>
        <rFont val="ＭＳ Ｐゴシック"/>
        <family val="3"/>
        <charset val="128"/>
      </rPr>
      <t>うら</t>
    </r>
    <r>
      <rPr>
        <sz val="10"/>
        <rFont val="Courier New"/>
        <family val="3"/>
      </rPr>
      <t>)S2</t>
    </r>
    <phoneticPr fontId="2"/>
  </si>
  <si>
    <t>THICK2_REV_S2</t>
    <phoneticPr fontId="2"/>
  </si>
  <si>
    <r>
      <t>コート紙</t>
    </r>
    <r>
      <rPr>
        <sz val="10"/>
        <rFont val="Courier New"/>
        <family val="3"/>
      </rPr>
      <t>1A</t>
    </r>
    <phoneticPr fontId="2"/>
  </si>
  <si>
    <t>COATING1_A</t>
    <phoneticPr fontId="2"/>
  </si>
  <si>
    <r>
      <t>コート紙</t>
    </r>
    <r>
      <rPr>
        <sz val="10"/>
        <rFont val="Courier New"/>
        <family val="3"/>
      </rPr>
      <t>1B</t>
    </r>
    <phoneticPr fontId="2"/>
  </si>
  <si>
    <t>COATING1_B</t>
    <phoneticPr fontId="2"/>
  </si>
  <si>
    <r>
      <t>コート紙</t>
    </r>
    <r>
      <rPr>
        <sz val="10"/>
        <rFont val="Courier New"/>
        <family val="3"/>
      </rPr>
      <t>1(</t>
    </r>
    <r>
      <rPr>
        <sz val="10"/>
        <rFont val="ＭＳ Ｐゴシック"/>
        <family val="3"/>
        <charset val="128"/>
      </rPr>
      <t>うら</t>
    </r>
    <r>
      <rPr>
        <sz val="10"/>
        <rFont val="Courier New"/>
        <family val="3"/>
      </rPr>
      <t>)A</t>
    </r>
    <phoneticPr fontId="2"/>
  </si>
  <si>
    <t>COATING1_REV_A</t>
    <phoneticPr fontId="2"/>
  </si>
  <si>
    <r>
      <t>コート紙</t>
    </r>
    <r>
      <rPr>
        <sz val="10"/>
        <rFont val="Courier New"/>
        <family val="3"/>
      </rPr>
      <t>1(</t>
    </r>
    <r>
      <rPr>
        <sz val="10"/>
        <rFont val="ＭＳ Ｐゴシック"/>
        <family val="3"/>
        <charset val="128"/>
      </rPr>
      <t>うら</t>
    </r>
    <r>
      <rPr>
        <sz val="10"/>
        <rFont val="Courier New"/>
        <family val="3"/>
      </rPr>
      <t>)B</t>
    </r>
    <phoneticPr fontId="2"/>
  </si>
  <si>
    <t>COATING1_REV_B</t>
    <phoneticPr fontId="2"/>
  </si>
  <si>
    <t>THIN</t>
    <phoneticPr fontId="2"/>
  </si>
  <si>
    <t>×</t>
    <phoneticPr fontId="2"/>
  </si>
  <si>
    <r>
      <t>レターヘッド紙</t>
    </r>
    <r>
      <rPr>
        <sz val="10"/>
        <rFont val="Courier New"/>
        <family val="3"/>
      </rPr>
      <t>[</t>
    </r>
    <r>
      <rPr>
        <sz val="10"/>
        <rFont val="ＭＳ Ｐゴシック"/>
        <family val="3"/>
        <charset val="128"/>
      </rPr>
      <t>★</t>
    </r>
    <r>
      <rPr>
        <sz val="10"/>
        <rFont val="Courier New"/>
        <family val="3"/>
      </rPr>
      <t>]</t>
    </r>
    <rPh sb="6" eb="7">
      <t>シ</t>
    </rPh>
    <phoneticPr fontId="2"/>
  </si>
  <si>
    <r>
      <t>プレプリント紙</t>
    </r>
    <r>
      <rPr>
        <sz val="10"/>
        <rFont val="Courier New"/>
        <family val="3"/>
      </rPr>
      <t>[</t>
    </r>
    <r>
      <rPr>
        <sz val="10"/>
        <rFont val="ＭＳ Ｐゴシック"/>
        <family val="3"/>
        <charset val="128"/>
      </rPr>
      <t>★</t>
    </r>
    <r>
      <rPr>
        <sz val="10"/>
        <rFont val="Courier New"/>
        <family val="3"/>
      </rPr>
      <t>]</t>
    </r>
    <rPh sb="6" eb="7">
      <t>シ</t>
    </rPh>
    <phoneticPr fontId="2"/>
  </si>
  <si>
    <r>
      <t>その他</t>
    </r>
    <r>
      <rPr>
        <sz val="10"/>
        <rFont val="Courier New"/>
        <family val="3"/>
      </rPr>
      <t>[</t>
    </r>
    <r>
      <rPr>
        <sz val="10"/>
        <rFont val="ＭＳ Ｐゴシック"/>
        <family val="3"/>
        <charset val="128"/>
      </rPr>
      <t>★</t>
    </r>
    <r>
      <rPr>
        <sz val="10"/>
        <rFont val="Courier New"/>
        <family val="3"/>
      </rPr>
      <t>]</t>
    </r>
    <rPh sb="2" eb="3">
      <t>タ</t>
    </rPh>
    <phoneticPr fontId="2"/>
  </si>
  <si>
    <r>
      <t>厚紙</t>
    </r>
    <r>
      <rPr>
        <sz val="10"/>
        <rFont val="Courier New"/>
        <family val="3"/>
      </rPr>
      <t>3(</t>
    </r>
    <r>
      <rPr>
        <sz val="10"/>
        <rFont val="ＭＳ Ｐゴシック"/>
        <family val="3"/>
        <charset val="128"/>
      </rPr>
      <t>うら</t>
    </r>
    <r>
      <rPr>
        <sz val="10"/>
        <rFont val="Courier New"/>
        <family val="3"/>
      </rPr>
      <t>)</t>
    </r>
    <phoneticPr fontId="2"/>
  </si>
  <si>
    <r>
      <t>厚紙</t>
    </r>
    <r>
      <rPr>
        <sz val="10"/>
        <rFont val="Courier New"/>
        <family val="3"/>
      </rPr>
      <t>4(</t>
    </r>
    <r>
      <rPr>
        <sz val="10"/>
        <rFont val="ＭＳ Ｐゴシック"/>
        <family val="3"/>
        <charset val="128"/>
      </rPr>
      <t>うら</t>
    </r>
    <r>
      <rPr>
        <sz val="10"/>
        <rFont val="Courier New"/>
        <family val="3"/>
      </rPr>
      <t>)</t>
    </r>
    <phoneticPr fontId="2"/>
  </si>
  <si>
    <r>
      <t>ボンド紙</t>
    </r>
    <r>
      <rPr>
        <sz val="10"/>
        <rFont val="Courier New"/>
        <family val="3"/>
      </rPr>
      <t>[</t>
    </r>
    <r>
      <rPr>
        <sz val="10"/>
        <rFont val="ＭＳ Ｐゴシック"/>
        <family val="3"/>
        <charset val="128"/>
      </rPr>
      <t>★</t>
    </r>
    <r>
      <rPr>
        <sz val="10"/>
        <rFont val="Courier New"/>
        <family val="3"/>
      </rPr>
      <t>]</t>
    </r>
    <rPh sb="3" eb="4">
      <t>シ</t>
    </rPh>
    <phoneticPr fontId="2"/>
  </si>
  <si>
    <t>坪量分類</t>
    <rPh sb="0" eb="1">
      <t>ツボ</t>
    </rPh>
    <rPh sb="1" eb="2">
      <t>リョウ</t>
    </rPh>
    <rPh sb="2" eb="4">
      <t>ブンルイ</t>
    </rPh>
    <phoneticPr fontId="2"/>
  </si>
  <si>
    <r>
      <t>トレイ</t>
    </r>
    <r>
      <rPr>
        <sz val="10"/>
        <rFont val="Courier New"/>
        <family val="3"/>
      </rPr>
      <t>1(</t>
    </r>
    <r>
      <rPr>
        <sz val="10"/>
        <rFont val="ＭＳ Ｐゴシック"/>
        <family val="3"/>
        <charset val="128"/>
      </rPr>
      <t>封筒トレイ</t>
    </r>
    <r>
      <rPr>
        <sz val="10"/>
        <rFont val="Courier New"/>
        <family val="3"/>
      </rPr>
      <t>)</t>
    </r>
    <rPh sb="5" eb="7">
      <t>フウトウ</t>
    </rPh>
    <phoneticPr fontId="2"/>
  </si>
  <si>
    <t>envelopeMedType</t>
    <phoneticPr fontId="2"/>
  </si>
  <si>
    <t>NULL</t>
    <phoneticPr fontId="2"/>
  </si>
  <si>
    <r>
      <t>US2</t>
    </r>
    <r>
      <rPr>
        <sz val="10"/>
        <rFont val="ＭＳ Ｐゴシック"/>
        <family val="3"/>
        <charset val="128"/>
      </rPr>
      <t>穴、</t>
    </r>
    <r>
      <rPr>
        <sz val="10"/>
        <rFont val="Courier New"/>
        <family val="3"/>
      </rPr>
      <t>SW4</t>
    </r>
    <r>
      <rPr>
        <sz val="10"/>
        <rFont val="ＭＳ Ｐゴシック"/>
        <family val="3"/>
        <charset val="128"/>
      </rPr>
      <t>穴を含む</t>
    </r>
    <rPh sb="3" eb="4">
      <t>ケツ</t>
    </rPh>
    <rPh sb="8" eb="9">
      <t>ケツ</t>
    </rPh>
    <rPh sb="10" eb="11">
      <t>フク</t>
    </rPh>
    <phoneticPr fontId="2"/>
  </si>
  <si>
    <t>envelope0MedType</t>
    <phoneticPr fontId="2"/>
  </si>
  <si>
    <t>hcfMedType</t>
    <phoneticPr fontId="2"/>
  </si>
  <si>
    <t>これらはダイアグサービスのみ指定可能。</t>
    <phoneticPr fontId="2"/>
  </si>
  <si>
    <r>
      <t>4</t>
    </r>
    <r>
      <rPr>
        <sz val="10"/>
        <rFont val="ＭＳ Ｐゴシック"/>
        <family val="3"/>
        <charset val="128"/>
      </rPr>
      <t>ヵ所</t>
    </r>
    <rPh sb="2" eb="3">
      <t>ショ</t>
    </rPh>
    <phoneticPr fontId="2"/>
  </si>
  <si>
    <r>
      <t>スウェーデン</t>
    </r>
    <r>
      <rPr>
        <sz val="10"/>
        <rFont val="Courier New"/>
        <family val="3"/>
      </rPr>
      <t>4</t>
    </r>
    <r>
      <rPr>
        <sz val="10"/>
        <rFont val="ＭＳ Ｐゴシック"/>
        <family val="3"/>
        <charset val="128"/>
      </rPr>
      <t>穴</t>
    </r>
    <phoneticPr fontId="2"/>
  </si>
  <si>
    <r>
      <t>P</t>
    </r>
    <r>
      <rPr>
        <sz val="10"/>
        <color indexed="55"/>
        <rFont val="ＭＳ Ｐゴシック"/>
        <family val="3"/>
        <charset val="128"/>
      </rPr>
      <t>構成におけるセンタートレイ</t>
    </r>
    <r>
      <rPr>
        <sz val="10"/>
        <color indexed="55"/>
        <rFont val="Courier New"/>
        <family val="3"/>
      </rPr>
      <t>1</t>
    </r>
    <r>
      <rPr>
        <sz val="10"/>
        <color indexed="55"/>
        <rFont val="ＭＳ Ｐゴシック"/>
        <family val="3"/>
        <charset val="128"/>
      </rPr>
      <t>オフセットは不可</t>
    </r>
    <phoneticPr fontId="2"/>
  </si>
  <si>
    <r>
      <t>US2</t>
    </r>
    <r>
      <rPr>
        <sz val="10"/>
        <rFont val="ＭＳ Ｐゴシック"/>
        <family val="3"/>
        <charset val="128"/>
      </rPr>
      <t>穴、</t>
    </r>
    <r>
      <rPr>
        <sz val="10"/>
        <rFont val="Courier New"/>
        <family val="3"/>
      </rPr>
      <t>SW4</t>
    </r>
    <r>
      <rPr>
        <sz val="10"/>
        <rFont val="ＭＳ Ｐゴシック"/>
        <family val="3"/>
        <charset val="128"/>
      </rPr>
      <t>穴を含む</t>
    </r>
    <rPh sb="3" eb="4">
      <t>ケツ</t>
    </rPh>
    <rPh sb="10" eb="11">
      <t>フク</t>
    </rPh>
    <phoneticPr fontId="2"/>
  </si>
  <si>
    <t>simpleSize1</t>
    <phoneticPr fontId="2"/>
  </si>
  <si>
    <t>tandemSize1</t>
    <phoneticPr fontId="2"/>
  </si>
  <si>
    <t>smhSize</t>
    <phoneticPr fontId="2"/>
  </si>
  <si>
    <t>dupSize</t>
    <phoneticPr fontId="2"/>
  </si>
  <si>
    <t>allSize</t>
    <phoneticPr fontId="2"/>
  </si>
  <si>
    <t>sideTraySize</t>
    <phoneticPr fontId="2"/>
  </si>
  <si>
    <t>centerOffsetSize</t>
    <phoneticPr fontId="2"/>
  </si>
  <si>
    <t>sbFinSw4hPchSize</t>
    <phoneticPr fontId="2"/>
  </si>
  <si>
    <t>A</t>
    <phoneticPr fontId="2"/>
  </si>
  <si>
    <t>A6</t>
    <phoneticPr fontId="2"/>
  </si>
  <si>
    <t>A5</t>
    <phoneticPr fontId="2"/>
  </si>
  <si>
    <t>テリトリによって初期値が異なる場合、それを下記に示す</t>
    <phoneticPr fontId="2"/>
  </si>
  <si>
    <t>NULL</t>
    <phoneticPr fontId="2"/>
  </si>
  <si>
    <t>normalSize1</t>
    <phoneticPr fontId="2"/>
  </si>
  <si>
    <r>
      <t>(1)</t>
    </r>
    <r>
      <rPr>
        <sz val="10"/>
        <rFont val="ＭＳ Ｐゴシック"/>
        <family val="3"/>
        <charset val="128"/>
      </rPr>
      <t>中綴じが指定されたときはオフセット不可</t>
    </r>
    <rPh sb="3" eb="4">
      <t>ナカ</t>
    </rPh>
    <rPh sb="4" eb="5">
      <t>ト</t>
    </rPh>
    <rPh sb="7" eb="9">
      <t>シテイ</t>
    </rPh>
    <rPh sb="20" eb="22">
      <t>フカ</t>
    </rPh>
    <phoneticPr fontId="2"/>
  </si>
  <si>
    <t>郵便はがき</t>
    <rPh sb="0" eb="2">
      <t>ユウビン</t>
    </rPh>
    <phoneticPr fontId="2"/>
  </si>
  <si>
    <r>
      <t>P</t>
    </r>
    <r>
      <rPr>
        <sz val="10"/>
        <color indexed="55"/>
        <rFont val="ＭＳ Ｐゴシック"/>
        <family val="3"/>
        <charset val="128"/>
      </rPr>
      <t>構成におけるセンタートレイ</t>
    </r>
    <r>
      <rPr>
        <sz val="10"/>
        <color indexed="55"/>
        <rFont val="Courier New"/>
        <family val="3"/>
      </rPr>
      <t>1</t>
    </r>
    <r>
      <rPr>
        <sz val="10"/>
        <color indexed="55"/>
        <rFont val="ＭＳ Ｐゴシック"/>
        <family val="3"/>
        <charset val="128"/>
      </rPr>
      <t>オフセットは不可</t>
    </r>
    <phoneticPr fontId="2"/>
  </si>
  <si>
    <t>本プロダクトでのフラップの位置</t>
    <rPh sb="0" eb="1">
      <t>ホン</t>
    </rPh>
    <rPh sb="13" eb="15">
      <t>イチ</t>
    </rPh>
    <phoneticPr fontId="2"/>
  </si>
  <si>
    <r>
      <t>上下左右の定義：印字面のリードエッジ側</t>
    </r>
    <r>
      <rPr>
        <sz val="10"/>
        <rFont val="Courier New"/>
        <family val="3"/>
      </rPr>
      <t>(</t>
    </r>
    <r>
      <rPr>
        <sz val="10"/>
        <rFont val="ＭＳ Ｐゴシック"/>
        <family val="3"/>
        <charset val="128"/>
      </rPr>
      <t>赤線</t>
    </r>
    <r>
      <rPr>
        <sz val="10"/>
        <rFont val="Courier New"/>
        <family val="3"/>
      </rPr>
      <t>)</t>
    </r>
    <r>
      <rPr>
        <sz val="10"/>
        <rFont val="ＭＳ Ｐゴシック"/>
        <family val="3"/>
        <charset val="128"/>
      </rPr>
      <t>を上に見たときの位置関係で定義される。</t>
    </r>
    <r>
      <rPr>
        <sz val="10"/>
        <rFont val="Courier New"/>
        <family val="3"/>
      </rPr>
      <t>ABCDE</t>
    </r>
    <r>
      <rPr>
        <sz val="10"/>
        <rFont val="ＭＳ Ｐゴシック"/>
        <family val="3"/>
        <charset val="128"/>
      </rPr>
      <t>の定義については給紙トレイ備考欄を参照。</t>
    </r>
    <rPh sb="0" eb="2">
      <t>ジョウゲ</t>
    </rPh>
    <rPh sb="2" eb="4">
      <t>サユウ</t>
    </rPh>
    <rPh sb="5" eb="7">
      <t>テイギ</t>
    </rPh>
    <rPh sb="8" eb="10">
      <t>インジ</t>
    </rPh>
    <rPh sb="10" eb="11">
      <t>メン</t>
    </rPh>
    <rPh sb="20" eb="22">
      <t>アカセン</t>
    </rPh>
    <rPh sb="26" eb="27">
      <t>ミ</t>
    </rPh>
    <rPh sb="31" eb="33">
      <t>イチ</t>
    </rPh>
    <rPh sb="33" eb="35">
      <t>カンケイ</t>
    </rPh>
    <rPh sb="36" eb="38">
      <t>テイギ</t>
    </rPh>
    <rPh sb="48" eb="50">
      <t>テイギ</t>
    </rPh>
    <rPh sb="55" eb="57">
      <t>キュウシ</t>
    </rPh>
    <rPh sb="60" eb="62">
      <t>ビコウ</t>
    </rPh>
    <rPh sb="62" eb="63">
      <t>ラン</t>
    </rPh>
    <rPh sb="64" eb="66">
      <t>サンショウ</t>
    </rPh>
    <phoneticPr fontId="2"/>
  </si>
  <si>
    <t>下</t>
    <rPh sb="0" eb="1">
      <t>シタ</t>
    </rPh>
    <phoneticPr fontId="2"/>
  </si>
  <si>
    <t>「上」の例</t>
    <phoneticPr fontId="2"/>
  </si>
  <si>
    <t>「左」の例</t>
    <rPh sb="1" eb="2">
      <t>ヒダリ</t>
    </rPh>
    <phoneticPr fontId="2"/>
  </si>
  <si>
    <t>上</t>
    <rPh sb="0" eb="1">
      <t>ウエ</t>
    </rPh>
    <phoneticPr fontId="2"/>
  </si>
  <si>
    <t>左</t>
    <rPh sb="0" eb="1">
      <t>ヒダリ</t>
    </rPh>
    <phoneticPr fontId="2"/>
  </si>
  <si>
    <t>「下」の例</t>
    <phoneticPr fontId="2"/>
  </si>
  <si>
    <t>「右」の例</t>
    <rPh sb="1" eb="2">
      <t>ミギ</t>
    </rPh>
    <phoneticPr fontId="2"/>
  </si>
  <si>
    <t>手差しトレイ
定型サイズ自動検知（P機）</t>
    <rPh sb="0" eb="2">
      <t>テザ</t>
    </rPh>
    <rPh sb="7" eb="9">
      <t>テイケイ</t>
    </rPh>
    <rPh sb="18" eb="19">
      <t>キ</t>
    </rPh>
    <phoneticPr fontId="2"/>
  </si>
  <si>
    <t>荒井宏康</t>
    <phoneticPr fontId="2"/>
  </si>
  <si>
    <r>
      <t>トレイ</t>
    </r>
    <r>
      <rPr>
        <sz val="10"/>
        <rFont val="Courier New"/>
        <family val="3"/>
      </rPr>
      <t>2-4(STM</t>
    </r>
    <r>
      <rPr>
        <sz val="10"/>
        <rFont val="ＭＳ Ｐゴシック"/>
        <family val="3"/>
        <charset val="128"/>
      </rPr>
      <t>、</t>
    </r>
    <r>
      <rPr>
        <sz val="10"/>
        <rFont val="Courier New"/>
        <family val="3"/>
      </rPr>
      <t>TTM</t>
    </r>
    <r>
      <rPr>
        <sz val="10"/>
        <rFont val="ＭＳ Ｐゴシック"/>
        <family val="3"/>
        <charset val="128"/>
      </rPr>
      <t>含む</t>
    </r>
    <r>
      <rPr>
        <sz val="10"/>
        <rFont val="Courier New"/>
        <family val="3"/>
      </rPr>
      <t>)</t>
    </r>
    <rPh sb="14" eb="15">
      <t>フク</t>
    </rPh>
    <phoneticPr fontId="2"/>
  </si>
  <si>
    <t>centerOffsetMedType</t>
    <phoneticPr fontId="2"/>
  </si>
  <si>
    <r>
      <t>P</t>
    </r>
    <r>
      <rPr>
        <sz val="10"/>
        <color indexed="22"/>
        <rFont val="ＭＳ Ｐゴシック"/>
        <family val="3"/>
        <charset val="128"/>
      </rPr>
      <t>構成におけるオフセットは不可</t>
    </r>
    <rPh sb="1" eb="3">
      <t>コウセイ</t>
    </rPh>
    <rPh sb="13" eb="15">
      <t>フカ</t>
    </rPh>
    <phoneticPr fontId="2"/>
  </si>
  <si>
    <t>hagakiSize</t>
    <phoneticPr fontId="2"/>
  </si>
  <si>
    <t>hagakiMedType</t>
    <phoneticPr fontId="2"/>
  </si>
  <si>
    <t>はがき</t>
    <phoneticPr fontId="2"/>
  </si>
  <si>
    <t>×</t>
    <phoneticPr fontId="2"/>
  </si>
  <si>
    <t>コイルパンチ機能</t>
    <rPh sb="6" eb="8">
      <t>キノウ</t>
    </rPh>
    <phoneticPr fontId="2"/>
  </si>
  <si>
    <r>
      <t>コイルパンチの穴は非コイルパンチと異なり、搬送された用紙の先端側に空けられる。またインターポーザ</t>
    </r>
    <r>
      <rPr>
        <sz val="10"/>
        <rFont val="Courier New"/>
        <family val="3"/>
      </rPr>
      <t>1</t>
    </r>
    <r>
      <rPr>
        <sz val="10"/>
        <rFont val="ＭＳ Ｐゴシック"/>
        <family val="3"/>
        <charset val="128"/>
      </rPr>
      <t>など、給紙トレイにコイルパンチャより後段にある給紙トレイを指定した場合、その用紙にパンチすることはできない。</t>
    </r>
    <phoneticPr fontId="2"/>
  </si>
  <si>
    <t>スクエア機能</t>
    <rPh sb="4" eb="6">
      <t>キノウ</t>
    </rPh>
    <phoneticPr fontId="2"/>
  </si>
  <si>
    <t>×</t>
    <phoneticPr fontId="2"/>
  </si>
  <si>
    <t>トリミング機能</t>
    <rPh sb="5" eb="7">
      <t>キノウ</t>
    </rPh>
    <phoneticPr fontId="2"/>
  </si>
  <si>
    <t>○</t>
    <phoneticPr fontId="2"/>
  </si>
  <si>
    <t>変更可否</t>
    <phoneticPr fontId="2"/>
  </si>
  <si>
    <t>×</t>
    <phoneticPr fontId="2"/>
  </si>
  <si>
    <r>
      <t>封筒</t>
    </r>
    <r>
      <rPr>
        <sz val="10"/>
        <rFont val="Courier New"/>
        <family val="3"/>
      </rPr>
      <t/>
    </r>
    <rPh sb="0" eb="2">
      <t>フウトウ</t>
    </rPh>
    <phoneticPr fontId="2"/>
  </si>
  <si>
    <t>YOUTYOUKEI_3</t>
    <phoneticPr fontId="2"/>
  </si>
  <si>
    <t>KAKUGATA_20</t>
    <phoneticPr fontId="2"/>
  </si>
  <si>
    <t>KAKUGATA_6</t>
    <phoneticPr fontId="2"/>
  </si>
  <si>
    <t>ISO_C4</t>
    <phoneticPr fontId="2"/>
  </si>
  <si>
    <t>ISO_C5</t>
    <phoneticPr fontId="2"/>
  </si>
  <si>
    <t>TYOUKEI_4</t>
    <phoneticPr fontId="2"/>
  </si>
  <si>
    <t>ABCDE</t>
    <phoneticPr fontId="2"/>
  </si>
  <si>
    <t>autoDetSize4</t>
    <phoneticPr fontId="2"/>
  </si>
  <si>
    <t>autoDetSize5</t>
    <phoneticPr fontId="2"/>
  </si>
  <si>
    <t>autoDetSize6</t>
    <phoneticPr fontId="2"/>
  </si>
  <si>
    <t>○</t>
    <phoneticPr fontId="2"/>
  </si>
  <si>
    <t>autoDetSize2</t>
    <phoneticPr fontId="2"/>
  </si>
  <si>
    <t>autoDetSize1</t>
    <phoneticPr fontId="2"/>
  </si>
  <si>
    <t>envelopeSize1</t>
    <phoneticPr fontId="2"/>
  </si>
  <si>
    <t>KAKUGATA_2</t>
    <phoneticPr fontId="2"/>
  </si>
  <si>
    <r>
      <t>封筒の用紙サイズを選択した場合、下記の用紙種類のみ同時指定できる。K</t>
    </r>
    <r>
      <rPr>
        <sz val="10"/>
        <rFont val="ＭＳ Ｐゴシック"/>
        <family val="3"/>
        <charset val="128"/>
      </rPr>
      <t>isyu</t>
    </r>
    <r>
      <rPr>
        <sz val="10"/>
        <rFont val="ＭＳ Ｐゴシック"/>
        <family val="3"/>
        <charset val="128"/>
      </rPr>
      <t xml:space="preserve">2のIOTは封筒紙質はサポートする。
　[封筒]
尚、封筒サイズを選択した場合のデフォルトの紙質は封筒とする。
手差しトレイ、HCFからの給紙時の印字面は下であるため、封筒を手差しトレイにセットするときは用紙のおもて側を下に向けてセットしなければならない
封筒Trayに封筒を置く場合は、印字面を上(SMHとは逆)にし、フラップを閉じて、フラップを先端にしてセットする
</t>
    </r>
    <phoneticPr fontId="2"/>
  </si>
  <si>
    <r>
      <t>センタートレイ</t>
    </r>
    <r>
      <rPr>
        <sz val="10"/>
        <rFont val="Courier New"/>
        <family val="3"/>
      </rPr>
      <t>1</t>
    </r>
    <phoneticPr fontId="2"/>
  </si>
  <si>
    <t>All</t>
    <phoneticPr fontId="2"/>
  </si>
  <si>
    <t>三つ折り排出トレイ</t>
    <phoneticPr fontId="2"/>
  </si>
  <si>
    <t>三つ折り排出トレイ</t>
    <rPh sb="0" eb="1">
      <t>ミ</t>
    </rPh>
    <rPh sb="2" eb="3">
      <t>オ</t>
    </rPh>
    <rPh sb="4" eb="6">
      <t>ハイシュツ</t>
    </rPh>
    <phoneticPr fontId="2"/>
  </si>
  <si>
    <r>
      <t>90gsm</t>
    </r>
    <r>
      <rPr>
        <sz val="10"/>
        <rFont val="ＭＳ Ｐゴシック"/>
        <family val="3"/>
        <charset val="128"/>
      </rPr>
      <t>以上の用紙の場合は保障外。</t>
    </r>
    <phoneticPr fontId="2"/>
  </si>
  <si>
    <t>三つ折り</t>
    <rPh sb="0" eb="1">
      <t>ミ</t>
    </rPh>
    <rPh sb="2" eb="3">
      <t>オ</t>
    </rPh>
    <phoneticPr fontId="2"/>
  </si>
  <si>
    <t>折り指示には「三つ折り」を指定しなければならない</t>
    <phoneticPr fontId="2"/>
  </si>
  <si>
    <t>トップトレイ</t>
    <phoneticPr fontId="2"/>
  </si>
  <si>
    <t>スタッカトレイ</t>
    <phoneticPr fontId="2"/>
  </si>
  <si>
    <r>
      <t>Z</t>
    </r>
    <r>
      <rPr>
        <sz val="10"/>
        <rFont val="ＭＳ Ｐゴシック"/>
        <family val="3"/>
        <charset val="128"/>
      </rPr>
      <t>折り</t>
    </r>
    <rPh sb="1" eb="2">
      <t>オ</t>
    </rPh>
    <phoneticPr fontId="2"/>
  </si>
  <si>
    <t>穴あき紙</t>
    <phoneticPr fontId="2"/>
  </si>
  <si>
    <t>・長尺用紙使用時の用紙種類は厚紙1、厚紙1（うら面）、厚紙2、厚紙2（うら面）に限定される。</t>
    <rPh sb="18" eb="20">
      <t>アツガミ</t>
    </rPh>
    <rPh sb="24" eb="25">
      <t>メン</t>
    </rPh>
    <phoneticPr fontId="2"/>
  </si>
  <si>
    <r>
      <t>・長尺用紙使用時の用紙種類は厚紙1、厚紙</t>
    </r>
    <r>
      <rPr>
        <sz val="10"/>
        <rFont val="ＭＳ Ｐゴシック"/>
        <family val="3"/>
        <charset val="128"/>
      </rPr>
      <t>1（うら面）、</t>
    </r>
    <r>
      <rPr>
        <sz val="10"/>
        <rFont val="ＭＳ Ｐゴシック"/>
        <family val="3"/>
        <charset val="128"/>
      </rPr>
      <t>厚紙2、厚紙2（うら面）に限定される。</t>
    </r>
    <rPh sb="18" eb="20">
      <t>アツガミ</t>
    </rPh>
    <rPh sb="24" eb="25">
      <t>メン</t>
    </rPh>
    <phoneticPr fontId="2"/>
  </si>
  <si>
    <r>
      <t>Tri-C/Tri-Z</t>
    </r>
    <r>
      <rPr>
        <sz val="10"/>
        <rFont val="ＭＳ Ｐゴシック"/>
        <family val="3"/>
        <charset val="128"/>
      </rPr>
      <t>の排出先。</t>
    </r>
    <rPh sb="12" eb="14">
      <t>ハイシュツ</t>
    </rPh>
    <rPh sb="14" eb="15">
      <t>サキ</t>
    </rPh>
    <phoneticPr fontId="2"/>
  </si>
  <si>
    <r>
      <t>各種後処理間の禁則はプロダクト編および共通編の</t>
    </r>
    <r>
      <rPr>
        <sz val="10"/>
        <rFont val="Courier New"/>
        <family val="3"/>
      </rPr>
      <t>4.4.4</t>
    </r>
    <r>
      <rPr>
        <sz val="10"/>
        <rFont val="ＭＳ Ｐゴシック"/>
        <family val="3"/>
        <charset val="128"/>
      </rPr>
      <t>節「</t>
    </r>
    <r>
      <rPr>
        <sz val="10"/>
        <rFont val="Courier New"/>
        <family val="3"/>
      </rPr>
      <t>Staple</t>
    </r>
    <r>
      <rPr>
        <sz val="10"/>
        <rFont val="ＭＳ Ｐゴシック"/>
        <family val="3"/>
        <charset val="128"/>
      </rPr>
      <t xml:space="preserve">指定」を参照。
</t>
    </r>
    <r>
      <rPr>
        <sz val="10"/>
        <rFont val="Courier New"/>
        <family val="3"/>
      </rPr>
      <t>CH</t>
    </r>
    <r>
      <rPr>
        <sz val="10"/>
        <rFont val="ＭＳ Ｐゴシック"/>
        <family val="3"/>
        <charset val="128"/>
      </rPr>
      <t>フィニッシャのスタッカトレイ</t>
    </r>
    <r>
      <rPr>
        <sz val="10"/>
        <rFont val="Courier New"/>
        <family val="3"/>
      </rPr>
      <t>(4</t>
    </r>
    <r>
      <rPr>
        <sz val="10"/>
        <rFont val="ＭＳ Ｐゴシック"/>
        <family val="3"/>
        <charset val="128"/>
      </rPr>
      <t>ヵ所</t>
    </r>
    <r>
      <rPr>
        <sz val="10"/>
        <rFont val="Courier New"/>
        <family val="3"/>
      </rPr>
      <t>)</t>
    </r>
    <r>
      <rPr>
        <sz val="10"/>
        <rFont val="ＭＳ Ｐゴシック"/>
        <family val="3"/>
        <charset val="128"/>
      </rPr>
      <t>は、「</t>
    </r>
    <r>
      <rPr>
        <sz val="10"/>
        <rFont val="Courier New"/>
        <family val="3"/>
      </rPr>
      <t>FS</t>
    </r>
    <r>
      <rPr>
        <sz val="10"/>
        <rFont val="ＭＳ Ｐゴシック"/>
        <family val="3"/>
        <charset val="128"/>
      </rPr>
      <t>方向長さが</t>
    </r>
    <r>
      <rPr>
        <sz val="10"/>
        <rFont val="Courier New"/>
        <family val="3"/>
      </rPr>
      <t>297.0mm</t>
    </r>
    <r>
      <rPr>
        <sz val="10"/>
        <rFont val="ＭＳ Ｐゴシック"/>
        <family val="3"/>
        <charset val="128"/>
      </rPr>
      <t>または</t>
    </r>
    <r>
      <rPr>
        <sz val="10"/>
        <rFont val="Courier New"/>
        <family val="3"/>
      </rPr>
      <t>279.4mm</t>
    </r>
    <r>
      <rPr>
        <sz val="10"/>
        <rFont val="ＭＳ Ｐゴシック"/>
        <family val="3"/>
        <charset val="128"/>
      </rPr>
      <t>、且つ</t>
    </r>
    <r>
      <rPr>
        <sz val="10"/>
        <rFont val="Courier New"/>
        <family val="3"/>
      </rPr>
      <t>SS</t>
    </r>
    <r>
      <rPr>
        <sz val="10"/>
        <rFont val="ＭＳ Ｐゴシック"/>
        <family val="3"/>
        <charset val="128"/>
      </rPr>
      <t>方向長さが</t>
    </r>
    <r>
      <rPr>
        <sz val="10"/>
        <rFont val="Courier New"/>
        <family val="3"/>
      </rPr>
      <t>182.0mm</t>
    </r>
    <r>
      <rPr>
        <sz val="10"/>
        <rFont val="ＭＳ Ｐゴシック"/>
        <family val="3"/>
        <charset val="128"/>
      </rPr>
      <t>以上</t>
    </r>
    <r>
      <rPr>
        <sz val="10"/>
        <rFont val="Courier New"/>
        <family val="3"/>
      </rPr>
      <t>216.0mm</t>
    </r>
    <r>
      <rPr>
        <sz val="10"/>
        <rFont val="ＭＳ Ｐゴシック"/>
        <family val="3"/>
        <charset val="128"/>
      </rPr>
      <t>以下」。</t>
    </r>
    <rPh sb="5" eb="6">
      <t>カン</t>
    </rPh>
    <rPh sb="64" eb="65">
      <t>ショ</t>
    </rPh>
    <phoneticPr fontId="2"/>
  </si>
  <si>
    <r>
      <t>Z</t>
    </r>
    <r>
      <rPr>
        <sz val="10"/>
        <rFont val="ＭＳ Ｐゴシック"/>
        <family val="3"/>
        <charset val="128"/>
      </rPr>
      <t>折り機能</t>
    </r>
    <rPh sb="1" eb="2">
      <t>オ</t>
    </rPh>
    <rPh sb="3" eb="5">
      <t>キノウ</t>
    </rPh>
    <phoneticPr fontId="2"/>
  </si>
  <si>
    <r>
      <t>Tri-C/Tri-Z</t>
    </r>
    <r>
      <rPr>
        <sz val="10"/>
        <rFont val="ＭＳ Ｐゴシック"/>
        <family val="3"/>
        <charset val="128"/>
      </rPr>
      <t>を意味する。</t>
    </r>
    <rPh sb="12" eb="14">
      <t>イミ</t>
    </rPh>
    <phoneticPr fontId="2"/>
  </si>
  <si>
    <r>
      <t>Half-Z</t>
    </r>
    <r>
      <rPr>
        <sz val="10"/>
        <rFont val="ＭＳ Ｐゴシック"/>
        <family val="3"/>
        <charset val="128"/>
      </rPr>
      <t>を意味する。</t>
    </r>
    <rPh sb="7" eb="9">
      <t>イミ</t>
    </rPh>
    <phoneticPr fontId="2"/>
  </si>
  <si>
    <t>×</t>
    <phoneticPr fontId="2"/>
  </si>
  <si>
    <t>手差しトレイ
定型サイズ自動検知（MF機）</t>
    <phoneticPr fontId="2"/>
  </si>
  <si>
    <t>SEF</t>
    <phoneticPr fontId="2"/>
  </si>
  <si>
    <t>普通紙(うら)A</t>
    <phoneticPr fontId="2"/>
  </si>
  <si>
    <t>普通紙(うら)B</t>
    <phoneticPr fontId="2"/>
  </si>
  <si>
    <t>普通紙(うら)C</t>
    <phoneticPr fontId="2"/>
  </si>
  <si>
    <t>普通紙(うら)D</t>
    <phoneticPr fontId="2"/>
  </si>
  <si>
    <t>普通紙(うら)S</t>
    <phoneticPr fontId="2"/>
  </si>
  <si>
    <t>上質紙A</t>
    <phoneticPr fontId="2"/>
  </si>
  <si>
    <t>上質紙B</t>
    <rPh sb="0" eb="3">
      <t>ジョウシツシ</t>
    </rPh>
    <phoneticPr fontId="2"/>
  </si>
  <si>
    <t>厚紙3A</t>
    <rPh sb="0" eb="2">
      <t>アツガミ</t>
    </rPh>
    <phoneticPr fontId="2"/>
  </si>
  <si>
    <t>厚紙3B</t>
    <rPh sb="0" eb="2">
      <t>アツガミ</t>
    </rPh>
    <phoneticPr fontId="2"/>
  </si>
  <si>
    <t>厚紙3S</t>
    <rPh sb="0" eb="2">
      <t>アツガミ</t>
    </rPh>
    <phoneticPr fontId="2"/>
  </si>
  <si>
    <t>再生紙C</t>
    <phoneticPr fontId="2"/>
  </si>
  <si>
    <t>再生紙D</t>
    <rPh sb="0" eb="3">
      <t>サイセイシ</t>
    </rPh>
    <phoneticPr fontId="2"/>
  </si>
  <si>
    <r>
      <t>厚紙</t>
    </r>
    <r>
      <rPr>
        <sz val="10"/>
        <rFont val="Courier New"/>
        <family val="3"/>
      </rPr>
      <t>2(</t>
    </r>
    <r>
      <rPr>
        <sz val="10"/>
        <rFont val="ＭＳ Ｐゴシック"/>
        <family val="3"/>
        <charset val="128"/>
      </rPr>
      <t>うら</t>
    </r>
    <r>
      <rPr>
        <sz val="10"/>
        <rFont val="Courier New"/>
        <family val="3"/>
      </rPr>
      <t>)S</t>
    </r>
    <phoneticPr fontId="2"/>
  </si>
  <si>
    <t>厚紙3(うら)A</t>
    <rPh sb="0" eb="2">
      <t>アツガミ</t>
    </rPh>
    <phoneticPr fontId="2"/>
  </si>
  <si>
    <t>厚紙3(うら)B</t>
    <rPh sb="0" eb="2">
      <t>アツガミ</t>
    </rPh>
    <phoneticPr fontId="2"/>
  </si>
  <si>
    <t>厚紙3(うら)S</t>
    <rPh sb="0" eb="2">
      <t>アツガミ</t>
    </rPh>
    <phoneticPr fontId="2"/>
  </si>
  <si>
    <r>
      <t>コート紙3</t>
    </r>
    <r>
      <rPr>
        <sz val="10"/>
        <rFont val="Courier New"/>
        <family val="3"/>
      </rPr>
      <t>A</t>
    </r>
    <phoneticPr fontId="2"/>
  </si>
  <si>
    <r>
      <t>コート紙3</t>
    </r>
    <r>
      <rPr>
        <sz val="10"/>
        <rFont val="Courier New"/>
        <family val="3"/>
      </rPr>
      <t>B</t>
    </r>
    <phoneticPr fontId="2"/>
  </si>
  <si>
    <r>
      <t>コート紙</t>
    </r>
    <r>
      <rPr>
        <sz val="10"/>
        <rFont val="Courier New"/>
        <family val="3"/>
      </rPr>
      <t>3(</t>
    </r>
    <r>
      <rPr>
        <sz val="10"/>
        <rFont val="ＭＳ Ｐゴシック"/>
        <family val="3"/>
        <charset val="128"/>
      </rPr>
      <t>うら</t>
    </r>
    <r>
      <rPr>
        <sz val="10"/>
        <rFont val="Courier New"/>
        <family val="3"/>
      </rPr>
      <t>)A</t>
    </r>
    <phoneticPr fontId="2"/>
  </si>
  <si>
    <r>
      <t>コート紙</t>
    </r>
    <r>
      <rPr>
        <sz val="10"/>
        <rFont val="Courier New"/>
        <family val="3"/>
      </rPr>
      <t>3(</t>
    </r>
    <r>
      <rPr>
        <sz val="10"/>
        <rFont val="ＭＳ Ｐゴシック"/>
        <family val="3"/>
        <charset val="128"/>
      </rPr>
      <t>うら</t>
    </r>
    <r>
      <rPr>
        <sz val="10"/>
        <rFont val="Courier New"/>
        <family val="3"/>
      </rPr>
      <t>)B</t>
    </r>
    <phoneticPr fontId="2"/>
  </si>
  <si>
    <t>コート紙1C</t>
    <rPh sb="3" eb="4">
      <t>シ</t>
    </rPh>
    <phoneticPr fontId="2"/>
  </si>
  <si>
    <t>コート紙1(うら)C</t>
    <rPh sb="3" eb="4">
      <t>シ</t>
    </rPh>
    <phoneticPr fontId="2"/>
  </si>
  <si>
    <t>FINE_A</t>
    <phoneticPr fontId="2"/>
  </si>
  <si>
    <t>FINE_B</t>
    <phoneticPr fontId="2"/>
  </si>
  <si>
    <t>STATIONARY_REV_A</t>
    <phoneticPr fontId="2"/>
  </si>
  <si>
    <t>STATIONARY_REV_B</t>
    <phoneticPr fontId="2"/>
  </si>
  <si>
    <t>STATIONARY_REV_C</t>
    <phoneticPr fontId="2"/>
  </si>
  <si>
    <t>RECYCLED_C</t>
    <phoneticPr fontId="2"/>
  </si>
  <si>
    <t>RECYCLED_D</t>
    <phoneticPr fontId="2"/>
  </si>
  <si>
    <t>THICK3_A</t>
    <phoneticPr fontId="2"/>
  </si>
  <si>
    <t>THICK3_B</t>
    <phoneticPr fontId="2"/>
  </si>
  <si>
    <t>THICK3_S</t>
    <phoneticPr fontId="2"/>
  </si>
  <si>
    <t>THICK3_REV_A</t>
    <phoneticPr fontId="2"/>
  </si>
  <si>
    <t>THICK3_REV_B</t>
    <phoneticPr fontId="2"/>
  </si>
  <si>
    <t>THICK3_REV_S</t>
    <phoneticPr fontId="2"/>
  </si>
  <si>
    <t>COATING1_C</t>
    <phoneticPr fontId="2"/>
  </si>
  <si>
    <t>COATING1_REV_C</t>
    <phoneticPr fontId="2"/>
  </si>
  <si>
    <t>COATING3_A</t>
    <phoneticPr fontId="2"/>
  </si>
  <si>
    <t>COATING3_B</t>
    <phoneticPr fontId="2"/>
  </si>
  <si>
    <t>COATING3_REV_A</t>
    <phoneticPr fontId="2"/>
  </si>
  <si>
    <t>COATING3_REV_B</t>
    <phoneticPr fontId="2"/>
  </si>
  <si>
    <t>普通紙うら</t>
    <rPh sb="0" eb="3">
      <t>フツウシ</t>
    </rPh>
    <phoneticPr fontId="2"/>
  </si>
  <si>
    <t>上質紙</t>
    <rPh sb="0" eb="3">
      <t>ジョウシツシ</t>
    </rPh>
    <phoneticPr fontId="2"/>
  </si>
  <si>
    <t>厚紙3</t>
    <rPh sb="0" eb="2">
      <t>アツガミ</t>
    </rPh>
    <phoneticPr fontId="2"/>
  </si>
  <si>
    <t>厚紙3うら</t>
    <rPh sb="0" eb="2">
      <t>アツガミ</t>
    </rPh>
    <phoneticPr fontId="2"/>
  </si>
  <si>
    <t>再生紙</t>
    <rPh sb="0" eb="3">
      <t>サイセイシ</t>
    </rPh>
    <phoneticPr fontId="2"/>
  </si>
  <si>
    <t>コート紙1</t>
    <rPh sb="3" eb="4">
      <t>シ</t>
    </rPh>
    <phoneticPr fontId="2"/>
  </si>
  <si>
    <t>コート紙1うら</t>
    <rPh sb="3" eb="4">
      <t>シ</t>
    </rPh>
    <phoneticPr fontId="2"/>
  </si>
  <si>
    <t>コート紙3</t>
    <phoneticPr fontId="2"/>
  </si>
  <si>
    <r>
      <rPr>
        <sz val="10"/>
        <rFont val="ＭＳ Ｐゴシック"/>
        <family val="3"/>
        <charset val="128"/>
      </rPr>
      <t>コート紙</t>
    </r>
    <r>
      <rPr>
        <sz val="10"/>
        <rFont val="Courier New"/>
        <family val="3"/>
      </rPr>
      <t>3</t>
    </r>
    <r>
      <rPr>
        <sz val="10"/>
        <rFont val="ＭＳ Ｐゴシック"/>
        <family val="3"/>
        <charset val="128"/>
      </rPr>
      <t>うら</t>
    </r>
    <rPh sb="3" eb="4">
      <t>シ</t>
    </rPh>
    <phoneticPr fontId="2"/>
  </si>
  <si>
    <r>
      <rPr>
        <sz val="10"/>
        <rFont val="ＭＳ Ｐゴシック"/>
        <family val="3"/>
        <charset val="128"/>
      </rPr>
      <t>○</t>
    </r>
  </si>
  <si>
    <r>
      <rPr>
        <sz val="10"/>
        <rFont val="ＭＳ Ｐゴシック"/>
        <family val="3"/>
        <charset val="128"/>
      </rPr>
      <t>○</t>
    </r>
    <phoneticPr fontId="2"/>
  </si>
  <si>
    <r>
      <rPr>
        <sz val="10"/>
        <rFont val="ＭＳ Ｐゴシック"/>
        <family val="3"/>
        <charset val="128"/>
      </rPr>
      <t>○</t>
    </r>
    <phoneticPr fontId="2"/>
  </si>
  <si>
    <r>
      <rPr>
        <sz val="10"/>
        <rFont val="ＭＳ Ｐゴシック"/>
        <family val="3"/>
        <charset val="128"/>
      </rPr>
      <t>○</t>
    </r>
    <r>
      <rPr>
        <sz val="10"/>
        <rFont val="Courier New"/>
        <family val="3"/>
      </rPr>
      <t>(1)</t>
    </r>
    <phoneticPr fontId="2"/>
  </si>
  <si>
    <r>
      <t>×</t>
    </r>
    <r>
      <rPr>
        <b/>
        <sz val="10"/>
        <color indexed="10"/>
        <rFont val="ＭＳ Ｐゴシック"/>
        <family val="3"/>
        <charset val="128"/>
      </rPr>
      <t/>
    </r>
    <phoneticPr fontId="2"/>
  </si>
  <si>
    <r>
      <rPr>
        <sz val="10"/>
        <rFont val="ＭＳ Ｐゴシック"/>
        <family val="3"/>
        <charset val="128"/>
      </rPr>
      <t>○</t>
    </r>
    <r>
      <rPr>
        <sz val="10"/>
        <rFont val="Courier New"/>
        <family val="3"/>
      </rPr>
      <t>(3)</t>
    </r>
    <phoneticPr fontId="2"/>
  </si>
  <si>
    <r>
      <rPr>
        <sz val="10"/>
        <rFont val="ＭＳ Ｐゴシック"/>
        <family val="3"/>
        <charset val="128"/>
      </rPr>
      <t>○</t>
    </r>
    <r>
      <rPr>
        <sz val="10"/>
        <rFont val="Courier New"/>
        <family val="3"/>
      </rPr>
      <t>(3)</t>
    </r>
  </si>
  <si>
    <r>
      <rPr>
        <sz val="10"/>
        <rFont val="ＭＳ Ｐゴシック"/>
        <family val="3"/>
        <charset val="128"/>
      </rPr>
      <t>○</t>
    </r>
    <r>
      <rPr>
        <sz val="10"/>
        <rFont val="Courier New"/>
        <family val="3"/>
      </rPr>
      <t>(1)</t>
    </r>
  </si>
  <si>
    <r>
      <rPr>
        <sz val="10"/>
        <rFont val="ＭＳ Ｐゴシック"/>
        <family val="3"/>
        <charset val="128"/>
      </rPr>
      <t>○</t>
    </r>
    <r>
      <rPr>
        <sz val="10"/>
        <rFont val="Courier New"/>
        <family val="3"/>
      </rPr>
      <t>(2)</t>
    </r>
  </si>
  <si>
    <r>
      <rPr>
        <sz val="10"/>
        <rFont val="ＭＳ Ｐゴシック"/>
        <family val="3"/>
        <charset val="128"/>
      </rPr>
      <t>○</t>
    </r>
    <r>
      <rPr>
        <sz val="10"/>
        <rFont val="Courier New"/>
        <family val="3"/>
      </rPr>
      <t>(2)</t>
    </r>
    <phoneticPr fontId="2"/>
  </si>
  <si>
    <r>
      <rPr>
        <sz val="10"/>
        <rFont val="ＭＳ Ｐゴシック"/>
        <family val="3"/>
        <charset val="128"/>
      </rPr>
      <t>◎</t>
    </r>
    <phoneticPr fontId="2"/>
  </si>
  <si>
    <r>
      <rPr>
        <sz val="10"/>
        <rFont val="ＭＳ Ｐゴシック"/>
        <family val="3"/>
        <charset val="128"/>
      </rPr>
      <t>○</t>
    </r>
    <phoneticPr fontId="2"/>
  </si>
  <si>
    <r>
      <rPr>
        <sz val="10"/>
        <rFont val="ＭＳ Ｐゴシック"/>
        <family val="3"/>
        <charset val="128"/>
      </rPr>
      <t>◎</t>
    </r>
    <phoneticPr fontId="2"/>
  </si>
  <si>
    <r>
      <rPr>
        <sz val="10"/>
        <rFont val="ＭＳ Ｐゴシック"/>
        <family val="3"/>
        <charset val="128"/>
      </rPr>
      <t>◎</t>
    </r>
    <phoneticPr fontId="2"/>
  </si>
  <si>
    <r>
      <rPr>
        <sz val="10"/>
        <rFont val="ＭＳ Ｐゴシック"/>
        <family val="3"/>
        <charset val="128"/>
      </rPr>
      <t>郵便はがき</t>
    </r>
  </si>
  <si>
    <r>
      <rPr>
        <sz val="10"/>
        <rFont val="ＭＳ Ｐゴシック"/>
        <family val="3"/>
        <charset val="128"/>
      </rPr>
      <t>往復はがき</t>
    </r>
  </si>
  <si>
    <r>
      <rPr>
        <sz val="10"/>
        <rFont val="ＭＳ Ｐゴシック"/>
        <family val="3"/>
        <charset val="128"/>
      </rPr>
      <t>定型サイズ自動検知</t>
    </r>
  </si>
  <si>
    <r>
      <rPr>
        <sz val="10"/>
        <rFont val="ＭＳ Ｐゴシック"/>
        <family val="3"/>
        <charset val="128"/>
      </rPr>
      <t>定型外</t>
    </r>
  </si>
  <si>
    <r>
      <rPr>
        <sz val="10"/>
        <rFont val="ＭＳ Ｐゴシック"/>
        <family val="3"/>
        <charset val="128"/>
      </rPr>
      <t>特</t>
    </r>
    <r>
      <rPr>
        <sz val="10"/>
        <rFont val="Courier New"/>
        <family val="3"/>
      </rPr>
      <t>A4</t>
    </r>
  </si>
  <si>
    <r>
      <rPr>
        <sz val="10"/>
        <rFont val="ＭＳ Ｐゴシック"/>
        <family val="3"/>
        <charset val="128"/>
      </rPr>
      <t>特</t>
    </r>
    <r>
      <rPr>
        <sz val="10"/>
        <rFont val="Courier New"/>
        <family val="3"/>
      </rPr>
      <t>A3</t>
    </r>
  </si>
  <si>
    <r>
      <rPr>
        <sz val="10"/>
        <rFont val="ＭＳ Ｐゴシック"/>
        <family val="3"/>
        <charset val="128"/>
      </rPr>
      <t>十六開</t>
    </r>
    <r>
      <rPr>
        <sz val="10"/>
        <rFont val="Courier New"/>
        <family val="3"/>
      </rPr>
      <t>(</t>
    </r>
    <r>
      <rPr>
        <sz val="10"/>
        <rFont val="ＭＳ Ｐゴシック"/>
        <family val="3"/>
        <charset val="128"/>
      </rPr>
      <t>台湾</t>
    </r>
    <r>
      <rPr>
        <sz val="10"/>
        <rFont val="Courier New"/>
        <family val="3"/>
      </rPr>
      <t>)</t>
    </r>
  </si>
  <si>
    <r>
      <rPr>
        <sz val="10"/>
        <rFont val="ＭＳ Ｐゴシック"/>
        <family val="3"/>
        <charset val="128"/>
      </rPr>
      <t>八開</t>
    </r>
    <r>
      <rPr>
        <sz val="10"/>
        <rFont val="Courier New"/>
        <family val="3"/>
      </rPr>
      <t>(</t>
    </r>
    <r>
      <rPr>
        <sz val="10"/>
        <rFont val="ＭＳ Ｐゴシック"/>
        <family val="3"/>
        <charset val="128"/>
      </rPr>
      <t>台湾</t>
    </r>
    <r>
      <rPr>
        <sz val="10"/>
        <rFont val="Courier New"/>
        <family val="3"/>
      </rPr>
      <t>)</t>
    </r>
  </si>
  <si>
    <r>
      <rPr>
        <sz val="10"/>
        <rFont val="ＭＳ Ｐゴシック"/>
        <family val="3"/>
        <charset val="128"/>
      </rPr>
      <t>十六開</t>
    </r>
    <r>
      <rPr>
        <sz val="10"/>
        <rFont val="Courier New"/>
        <family val="3"/>
      </rPr>
      <t>(</t>
    </r>
    <r>
      <rPr>
        <sz val="10"/>
        <rFont val="ＭＳ Ｐゴシック"/>
        <family val="3"/>
        <charset val="128"/>
      </rPr>
      <t>中国本土</t>
    </r>
    <r>
      <rPr>
        <sz val="10"/>
        <rFont val="Courier New"/>
        <family val="3"/>
      </rPr>
      <t>)</t>
    </r>
  </si>
  <si>
    <r>
      <rPr>
        <sz val="10"/>
        <rFont val="ＭＳ Ｐゴシック"/>
        <family val="3"/>
        <charset val="128"/>
      </rPr>
      <t>八開</t>
    </r>
    <r>
      <rPr>
        <sz val="10"/>
        <rFont val="Courier New"/>
        <family val="3"/>
      </rPr>
      <t>(</t>
    </r>
    <r>
      <rPr>
        <sz val="10"/>
        <rFont val="ＭＳ Ｐゴシック"/>
        <family val="3"/>
        <charset val="128"/>
      </rPr>
      <t>中国本土</t>
    </r>
    <r>
      <rPr>
        <sz val="10"/>
        <rFont val="Courier New"/>
        <family val="3"/>
      </rPr>
      <t>)</t>
    </r>
  </si>
  <si>
    <r>
      <rPr>
        <sz val="10"/>
        <rFont val="ＭＳ Ｐゴシック"/>
        <family val="3"/>
        <charset val="128"/>
      </rPr>
      <t>封筒：長形</t>
    </r>
    <r>
      <rPr>
        <sz val="10"/>
        <rFont val="Courier New"/>
        <family val="3"/>
      </rPr>
      <t>3</t>
    </r>
    <r>
      <rPr>
        <sz val="10"/>
        <rFont val="ＭＳ Ｐゴシック"/>
        <family val="3"/>
        <charset val="128"/>
      </rPr>
      <t>号</t>
    </r>
    <r>
      <rPr>
        <sz val="10"/>
        <rFont val="Courier New"/>
        <family val="3"/>
      </rPr>
      <t xml:space="preserve"> </t>
    </r>
    <phoneticPr fontId="2"/>
  </si>
  <si>
    <r>
      <rPr>
        <sz val="10"/>
        <rFont val="ＭＳ Ｐゴシック"/>
        <family val="3"/>
        <charset val="128"/>
      </rPr>
      <t>封筒：洋長形</t>
    </r>
    <r>
      <rPr>
        <sz val="10"/>
        <rFont val="Courier New"/>
        <family val="3"/>
      </rPr>
      <t>3</t>
    </r>
    <r>
      <rPr>
        <sz val="10"/>
        <rFont val="ＭＳ Ｐゴシック"/>
        <family val="3"/>
        <charset val="128"/>
      </rPr>
      <t>号</t>
    </r>
    <r>
      <rPr>
        <sz val="10"/>
        <rFont val="Courier New"/>
        <family val="3"/>
      </rPr>
      <t xml:space="preserve"> </t>
    </r>
  </si>
  <si>
    <r>
      <rPr>
        <sz val="10"/>
        <rFont val="ＭＳ Ｐゴシック"/>
        <family val="3"/>
        <charset val="128"/>
      </rPr>
      <t>封筒：角形</t>
    </r>
    <r>
      <rPr>
        <sz val="10"/>
        <rFont val="Courier New"/>
        <family val="3"/>
      </rPr>
      <t>2</t>
    </r>
    <r>
      <rPr>
        <sz val="10"/>
        <rFont val="ＭＳ Ｐゴシック"/>
        <family val="3"/>
        <charset val="128"/>
      </rPr>
      <t>号</t>
    </r>
    <r>
      <rPr>
        <sz val="10"/>
        <rFont val="Courier New"/>
        <family val="3"/>
      </rPr>
      <t xml:space="preserve"> </t>
    </r>
  </si>
  <si>
    <r>
      <rPr>
        <sz val="10"/>
        <rFont val="ＭＳ Ｐゴシック"/>
        <family val="3"/>
        <charset val="128"/>
      </rPr>
      <t>封筒：</t>
    </r>
    <r>
      <rPr>
        <sz val="10"/>
        <rFont val="Courier New"/>
        <family val="3"/>
      </rPr>
      <t xml:space="preserve">Commercial#9 </t>
    </r>
  </si>
  <si>
    <r>
      <rPr>
        <sz val="10"/>
        <rFont val="ＭＳ Ｐゴシック"/>
        <family val="3"/>
        <charset val="128"/>
      </rPr>
      <t>封筒：</t>
    </r>
    <r>
      <rPr>
        <sz val="10"/>
        <rFont val="Courier New"/>
        <family val="3"/>
      </rPr>
      <t xml:space="preserve">Commercial#10 </t>
    </r>
    <phoneticPr fontId="2"/>
  </si>
  <si>
    <r>
      <rPr>
        <sz val="10"/>
        <rFont val="ＭＳ Ｐゴシック"/>
        <family val="3"/>
        <charset val="128"/>
      </rPr>
      <t>封筒：</t>
    </r>
    <r>
      <rPr>
        <sz val="10"/>
        <rFont val="Courier New"/>
        <family val="3"/>
      </rPr>
      <t xml:space="preserve">Monarch7.3/4 </t>
    </r>
    <phoneticPr fontId="2"/>
  </si>
  <si>
    <r>
      <rPr>
        <sz val="10"/>
        <rFont val="ＭＳ Ｐゴシック"/>
        <family val="3"/>
        <charset val="128"/>
      </rPr>
      <t>封筒：</t>
    </r>
    <r>
      <rPr>
        <sz val="10"/>
        <rFont val="Courier New"/>
        <family val="3"/>
      </rPr>
      <t xml:space="preserve">DL </t>
    </r>
  </si>
  <si>
    <r>
      <rPr>
        <sz val="10"/>
        <rFont val="ＭＳ Ｐゴシック"/>
        <family val="3"/>
        <charset val="128"/>
      </rPr>
      <t>封筒：</t>
    </r>
    <r>
      <rPr>
        <sz val="10"/>
        <rFont val="Courier New"/>
        <family val="3"/>
      </rPr>
      <t>ISO-C4</t>
    </r>
  </si>
  <si>
    <r>
      <rPr>
        <sz val="10"/>
        <rFont val="ＭＳ Ｐゴシック"/>
        <family val="3"/>
        <charset val="128"/>
      </rPr>
      <t>封筒：</t>
    </r>
    <r>
      <rPr>
        <sz val="10"/>
        <rFont val="Courier New"/>
        <family val="3"/>
      </rPr>
      <t>ISO-C5</t>
    </r>
  </si>
  <si>
    <r>
      <rPr>
        <sz val="10"/>
        <rFont val="ＭＳ Ｐゴシック"/>
        <family val="3"/>
        <charset val="128"/>
      </rPr>
      <t>封筒：</t>
    </r>
    <r>
      <rPr>
        <sz val="10"/>
        <rFont val="Courier New"/>
        <family val="3"/>
      </rPr>
      <t>ISO-B5</t>
    </r>
  </si>
  <si>
    <r>
      <rPr>
        <sz val="10"/>
        <rFont val="ＭＳ Ｐゴシック"/>
        <family val="3"/>
        <charset val="128"/>
      </rPr>
      <t>封筒：洋形</t>
    </r>
    <r>
      <rPr>
        <sz val="10"/>
        <rFont val="Courier New"/>
        <family val="3"/>
      </rPr>
      <t>2</t>
    </r>
    <r>
      <rPr>
        <sz val="10"/>
        <rFont val="ＭＳ Ｐゴシック"/>
        <family val="3"/>
        <charset val="128"/>
      </rPr>
      <t>号</t>
    </r>
    <rPh sb="3" eb="4">
      <t>ヨウ</t>
    </rPh>
    <phoneticPr fontId="2"/>
  </si>
  <si>
    <r>
      <rPr>
        <sz val="10"/>
        <rFont val="ＭＳ Ｐゴシック"/>
        <family val="3"/>
        <charset val="128"/>
      </rPr>
      <t>封筒：洋形</t>
    </r>
    <r>
      <rPr>
        <sz val="10"/>
        <rFont val="Courier New"/>
        <family val="3"/>
      </rPr>
      <t>3</t>
    </r>
    <r>
      <rPr>
        <sz val="10"/>
        <rFont val="ＭＳ Ｐゴシック"/>
        <family val="3"/>
        <charset val="128"/>
      </rPr>
      <t>号</t>
    </r>
    <phoneticPr fontId="2"/>
  </si>
  <si>
    <r>
      <rPr>
        <sz val="10"/>
        <rFont val="ＭＳ Ｐゴシック"/>
        <family val="3"/>
        <charset val="128"/>
      </rPr>
      <t>封筒：洋形</t>
    </r>
    <r>
      <rPr>
        <sz val="10"/>
        <rFont val="Courier New"/>
        <family val="3"/>
      </rPr>
      <t>4</t>
    </r>
    <r>
      <rPr>
        <sz val="10"/>
        <rFont val="ＭＳ Ｐゴシック"/>
        <family val="3"/>
        <charset val="128"/>
      </rPr>
      <t>号</t>
    </r>
    <phoneticPr fontId="2"/>
  </si>
  <si>
    <r>
      <rPr>
        <sz val="10"/>
        <rFont val="ＭＳ Ｐゴシック"/>
        <family val="3"/>
        <charset val="128"/>
      </rPr>
      <t>封筒：長形</t>
    </r>
    <r>
      <rPr>
        <sz val="10"/>
        <rFont val="Courier New"/>
        <family val="3"/>
      </rPr>
      <t>4</t>
    </r>
    <r>
      <rPr>
        <sz val="10"/>
        <rFont val="ＭＳ Ｐゴシック"/>
        <family val="3"/>
        <charset val="128"/>
      </rPr>
      <t>号</t>
    </r>
    <rPh sb="0" eb="2">
      <t>フウトウ</t>
    </rPh>
    <rPh sb="3" eb="4">
      <t>チョウ</t>
    </rPh>
    <rPh sb="4" eb="5">
      <t>ケイ</t>
    </rPh>
    <rPh sb="6" eb="7">
      <t>ゴウ</t>
    </rPh>
    <phoneticPr fontId="2"/>
  </si>
  <si>
    <r>
      <rPr>
        <sz val="10"/>
        <rFont val="ＭＳ Ｐゴシック"/>
        <family val="3"/>
        <charset val="128"/>
      </rPr>
      <t>封筒：角形</t>
    </r>
    <r>
      <rPr>
        <sz val="10"/>
        <rFont val="Courier New"/>
        <family val="3"/>
      </rPr>
      <t>20</t>
    </r>
    <r>
      <rPr>
        <sz val="10"/>
        <rFont val="ＭＳ Ｐゴシック"/>
        <family val="3"/>
        <charset val="128"/>
      </rPr>
      <t>号</t>
    </r>
  </si>
  <si>
    <r>
      <rPr>
        <sz val="10"/>
        <rFont val="ＭＳ Ｐゴシック"/>
        <family val="3"/>
        <charset val="128"/>
      </rPr>
      <t>封筒：角形</t>
    </r>
    <r>
      <rPr>
        <sz val="10"/>
        <rFont val="Courier New"/>
        <family val="3"/>
      </rPr>
      <t>6</t>
    </r>
    <r>
      <rPr>
        <sz val="10"/>
        <rFont val="ＭＳ Ｐゴシック"/>
        <family val="3"/>
        <charset val="128"/>
      </rPr>
      <t>号</t>
    </r>
  </si>
  <si>
    <r>
      <rPr>
        <sz val="10"/>
        <rFont val="ＭＳ Ｐゴシック"/>
        <family val="3"/>
        <charset val="128"/>
      </rPr>
      <t>タックフィルム</t>
    </r>
  </si>
  <si>
    <r>
      <rPr>
        <sz val="10"/>
        <rFont val="ＭＳ Ｐゴシック"/>
        <family val="3"/>
        <charset val="128"/>
      </rPr>
      <t>上質紙</t>
    </r>
  </si>
  <si>
    <r>
      <rPr>
        <sz val="10"/>
        <rFont val="ＭＳ Ｐゴシック"/>
        <family val="3"/>
        <charset val="128"/>
      </rPr>
      <t>普通紙</t>
    </r>
    <phoneticPr fontId="2"/>
  </si>
  <si>
    <r>
      <rPr>
        <sz val="10"/>
        <rFont val="ＭＳ Ｐゴシック"/>
        <family val="3"/>
        <charset val="128"/>
      </rPr>
      <t>再生紙</t>
    </r>
    <phoneticPr fontId="2"/>
  </si>
  <si>
    <r>
      <rPr>
        <sz val="10"/>
        <rFont val="ＭＳ Ｐゴシック"/>
        <family val="3"/>
        <charset val="128"/>
      </rPr>
      <t>穴あき紙</t>
    </r>
    <phoneticPr fontId="2"/>
  </si>
  <si>
    <r>
      <rPr>
        <sz val="10"/>
        <rFont val="ＭＳ Ｐゴシック"/>
        <family val="3"/>
        <charset val="128"/>
      </rPr>
      <t>うす紙</t>
    </r>
  </si>
  <si>
    <r>
      <rPr>
        <sz val="10"/>
        <rFont val="ＭＳ Ｐゴシック"/>
        <family val="3"/>
        <charset val="128"/>
      </rPr>
      <t>封筒</t>
    </r>
    <r>
      <rPr>
        <sz val="10"/>
        <rFont val="Courier New"/>
        <family val="3"/>
      </rPr>
      <t/>
    </r>
    <rPh sb="0" eb="2">
      <t>フウトウ</t>
    </rPh>
    <phoneticPr fontId="2"/>
  </si>
  <si>
    <r>
      <rPr>
        <sz val="10"/>
        <rFont val="ＭＳ Ｐゴシック"/>
        <family val="3"/>
        <charset val="128"/>
      </rPr>
      <t>ラベル紙</t>
    </r>
  </si>
  <si>
    <r>
      <rPr>
        <sz val="10"/>
        <rFont val="ＭＳ Ｐゴシック"/>
        <family val="3"/>
        <charset val="128"/>
      </rPr>
      <t>布地転写紙</t>
    </r>
  </si>
  <si>
    <r>
      <rPr>
        <sz val="10"/>
        <rFont val="ＭＳ Ｐゴシック"/>
        <family val="3"/>
        <charset val="128"/>
      </rPr>
      <t>普通紙</t>
    </r>
    <r>
      <rPr>
        <sz val="10"/>
        <rFont val="Courier New"/>
        <family val="3"/>
      </rPr>
      <t>(</t>
    </r>
    <r>
      <rPr>
        <sz val="10"/>
        <rFont val="ＭＳ Ｐゴシック"/>
        <family val="3"/>
        <charset val="128"/>
      </rPr>
      <t>うら</t>
    </r>
    <r>
      <rPr>
        <sz val="10"/>
        <rFont val="Courier New"/>
        <family val="3"/>
      </rPr>
      <t>)</t>
    </r>
    <phoneticPr fontId="2"/>
  </si>
  <si>
    <r>
      <rPr>
        <sz val="10"/>
        <rFont val="ＭＳ Ｐゴシック"/>
        <family val="3"/>
        <charset val="128"/>
      </rPr>
      <t>ユーザー定義用紙</t>
    </r>
    <r>
      <rPr>
        <sz val="10"/>
        <rFont val="Courier New"/>
        <family val="3"/>
      </rPr>
      <t>1</t>
    </r>
    <phoneticPr fontId="2"/>
  </si>
  <si>
    <r>
      <rPr>
        <sz val="10"/>
        <rFont val="ＭＳ Ｐゴシック"/>
        <family val="3"/>
        <charset val="128"/>
      </rPr>
      <t>ユーザー定義用紙</t>
    </r>
    <r>
      <rPr>
        <sz val="10"/>
        <rFont val="Courier New"/>
        <family val="3"/>
      </rPr>
      <t>2</t>
    </r>
  </si>
  <si>
    <r>
      <rPr>
        <sz val="10"/>
        <rFont val="ＭＳ Ｐゴシック"/>
        <family val="3"/>
        <charset val="128"/>
      </rPr>
      <t>ユーザー定義用紙</t>
    </r>
    <r>
      <rPr>
        <sz val="10"/>
        <rFont val="Courier New"/>
        <family val="3"/>
      </rPr>
      <t>3</t>
    </r>
  </si>
  <si>
    <r>
      <rPr>
        <sz val="10"/>
        <rFont val="ＭＳ Ｐゴシック"/>
        <family val="3"/>
        <charset val="128"/>
      </rPr>
      <t>ユーザー定義用紙</t>
    </r>
    <r>
      <rPr>
        <sz val="10"/>
        <rFont val="Courier New"/>
        <family val="3"/>
      </rPr>
      <t>4</t>
    </r>
  </si>
  <si>
    <r>
      <rPr>
        <sz val="10"/>
        <rFont val="ＭＳ Ｐゴシック"/>
        <family val="3"/>
        <charset val="128"/>
      </rPr>
      <t>ユーザー定義用紙</t>
    </r>
    <r>
      <rPr>
        <sz val="10"/>
        <rFont val="Courier New"/>
        <family val="3"/>
      </rPr>
      <t>5</t>
    </r>
  </si>
  <si>
    <r>
      <rPr>
        <sz val="10"/>
        <rFont val="ＭＳ Ｐゴシック"/>
        <family val="3"/>
        <charset val="128"/>
      </rPr>
      <t>レターヘッド紙</t>
    </r>
    <r>
      <rPr>
        <sz val="10"/>
        <rFont val="Courier New"/>
        <family val="3"/>
      </rPr>
      <t>[</t>
    </r>
    <r>
      <rPr>
        <sz val="10"/>
        <rFont val="ＭＳ Ｐゴシック"/>
        <family val="3"/>
        <charset val="128"/>
      </rPr>
      <t>★</t>
    </r>
    <r>
      <rPr>
        <sz val="10"/>
        <rFont val="Courier New"/>
        <family val="3"/>
      </rPr>
      <t>]</t>
    </r>
  </si>
  <si>
    <r>
      <rPr>
        <sz val="10"/>
        <rFont val="ＭＳ Ｐゴシック"/>
        <family val="3"/>
        <charset val="128"/>
      </rPr>
      <t>プレプリント紙</t>
    </r>
    <r>
      <rPr>
        <sz val="10"/>
        <rFont val="Courier New"/>
        <family val="3"/>
      </rPr>
      <t>[</t>
    </r>
    <r>
      <rPr>
        <sz val="10"/>
        <rFont val="ＭＳ Ｐゴシック"/>
        <family val="3"/>
        <charset val="128"/>
      </rPr>
      <t>★</t>
    </r>
    <r>
      <rPr>
        <sz val="10"/>
        <rFont val="Courier New"/>
        <family val="3"/>
      </rPr>
      <t>]</t>
    </r>
  </si>
  <si>
    <r>
      <rPr>
        <sz val="10"/>
        <rFont val="ＭＳ Ｐゴシック"/>
        <family val="3"/>
        <charset val="128"/>
      </rPr>
      <t>その他</t>
    </r>
    <r>
      <rPr>
        <sz val="10"/>
        <rFont val="Courier New"/>
        <family val="3"/>
      </rPr>
      <t>[</t>
    </r>
    <r>
      <rPr>
        <sz val="10"/>
        <rFont val="ＭＳ Ｐゴシック"/>
        <family val="3"/>
        <charset val="128"/>
      </rPr>
      <t>★</t>
    </r>
    <r>
      <rPr>
        <sz val="10"/>
        <rFont val="Courier New"/>
        <family val="3"/>
      </rPr>
      <t>]</t>
    </r>
  </si>
  <si>
    <r>
      <rPr>
        <sz val="10"/>
        <rFont val="ＭＳ Ｐゴシック"/>
        <family val="3"/>
        <charset val="128"/>
      </rPr>
      <t>厚紙</t>
    </r>
    <r>
      <rPr>
        <sz val="10"/>
        <rFont val="Courier New"/>
        <family val="3"/>
      </rPr>
      <t>1</t>
    </r>
  </si>
  <si>
    <r>
      <rPr>
        <sz val="10"/>
        <rFont val="ＭＳ Ｐゴシック"/>
        <family val="3"/>
        <charset val="128"/>
      </rPr>
      <t>厚紙</t>
    </r>
    <r>
      <rPr>
        <sz val="10"/>
        <rFont val="Courier New"/>
        <family val="3"/>
      </rPr>
      <t>1F</t>
    </r>
  </si>
  <si>
    <r>
      <rPr>
        <sz val="10"/>
        <rFont val="ＭＳ Ｐゴシック"/>
        <family val="3"/>
        <charset val="128"/>
      </rPr>
      <t>厚紙</t>
    </r>
    <r>
      <rPr>
        <sz val="10"/>
        <rFont val="Courier New"/>
        <family val="3"/>
      </rPr>
      <t>1(</t>
    </r>
    <r>
      <rPr>
        <sz val="10"/>
        <rFont val="ＭＳ Ｐゴシック"/>
        <family val="3"/>
        <charset val="128"/>
      </rPr>
      <t>うら</t>
    </r>
    <r>
      <rPr>
        <sz val="10"/>
        <rFont val="Courier New"/>
        <family val="3"/>
      </rPr>
      <t>)</t>
    </r>
  </si>
  <si>
    <r>
      <rPr>
        <sz val="10"/>
        <rFont val="ＭＳ Ｐゴシック"/>
        <family val="3"/>
        <charset val="128"/>
      </rPr>
      <t>厚紙</t>
    </r>
    <r>
      <rPr>
        <sz val="10"/>
        <rFont val="Courier New"/>
        <family val="3"/>
      </rPr>
      <t>2</t>
    </r>
  </si>
  <si>
    <r>
      <rPr>
        <sz val="10"/>
        <rFont val="ＭＳ Ｐゴシック"/>
        <family val="3"/>
        <charset val="128"/>
      </rPr>
      <t>厚紙</t>
    </r>
    <r>
      <rPr>
        <sz val="10"/>
        <rFont val="Courier New"/>
        <family val="3"/>
      </rPr>
      <t>2(</t>
    </r>
    <r>
      <rPr>
        <sz val="10"/>
        <rFont val="ＭＳ Ｐゴシック"/>
        <family val="3"/>
        <charset val="128"/>
      </rPr>
      <t>うら</t>
    </r>
    <r>
      <rPr>
        <sz val="10"/>
        <rFont val="Courier New"/>
        <family val="3"/>
      </rPr>
      <t>)</t>
    </r>
  </si>
  <si>
    <r>
      <rPr>
        <sz val="10"/>
        <rFont val="ＭＳ Ｐゴシック"/>
        <family val="3"/>
        <charset val="128"/>
      </rPr>
      <t>厚紙</t>
    </r>
    <r>
      <rPr>
        <sz val="10"/>
        <rFont val="Courier New"/>
        <family val="3"/>
      </rPr>
      <t>3</t>
    </r>
  </si>
  <si>
    <r>
      <rPr>
        <sz val="10"/>
        <rFont val="ＭＳ Ｐゴシック"/>
        <family val="3"/>
        <charset val="128"/>
      </rPr>
      <t>厚紙</t>
    </r>
    <r>
      <rPr>
        <sz val="10"/>
        <rFont val="Courier New"/>
        <family val="3"/>
      </rPr>
      <t>3(</t>
    </r>
    <r>
      <rPr>
        <sz val="10"/>
        <rFont val="ＭＳ Ｐゴシック"/>
        <family val="3"/>
        <charset val="128"/>
      </rPr>
      <t>うら</t>
    </r>
    <r>
      <rPr>
        <sz val="10"/>
        <rFont val="Courier New"/>
        <family val="3"/>
      </rPr>
      <t>)</t>
    </r>
  </si>
  <si>
    <r>
      <rPr>
        <sz val="10"/>
        <rFont val="ＭＳ Ｐゴシック"/>
        <family val="3"/>
        <charset val="128"/>
      </rPr>
      <t>厚紙</t>
    </r>
    <r>
      <rPr>
        <sz val="10"/>
        <rFont val="Courier New"/>
        <family val="3"/>
      </rPr>
      <t>4</t>
    </r>
  </si>
  <si>
    <r>
      <rPr>
        <sz val="10"/>
        <rFont val="ＭＳ Ｐゴシック"/>
        <family val="3"/>
        <charset val="128"/>
      </rPr>
      <t>厚紙</t>
    </r>
    <r>
      <rPr>
        <sz val="10"/>
        <rFont val="Courier New"/>
        <family val="3"/>
      </rPr>
      <t>4(</t>
    </r>
    <r>
      <rPr>
        <sz val="10"/>
        <rFont val="ＭＳ Ｐゴシック"/>
        <family val="3"/>
        <charset val="128"/>
      </rPr>
      <t>うら</t>
    </r>
    <r>
      <rPr>
        <sz val="10"/>
        <rFont val="Courier New"/>
        <family val="3"/>
      </rPr>
      <t>)</t>
    </r>
  </si>
  <si>
    <r>
      <rPr>
        <sz val="10"/>
        <rFont val="ＭＳ Ｐゴシック"/>
        <family val="3"/>
        <charset val="128"/>
      </rPr>
      <t>穴あき紙厚</t>
    </r>
    <r>
      <rPr>
        <sz val="10"/>
        <rFont val="Courier New"/>
        <family val="3"/>
      </rPr>
      <t>1</t>
    </r>
    <rPh sb="0" eb="1">
      <t>アナ</t>
    </rPh>
    <rPh sb="3" eb="4">
      <t>カミ</t>
    </rPh>
    <rPh sb="4" eb="5">
      <t>アツ</t>
    </rPh>
    <phoneticPr fontId="2"/>
  </si>
  <si>
    <r>
      <rPr>
        <sz val="10"/>
        <rFont val="ＭＳ Ｐゴシック"/>
        <family val="3"/>
        <charset val="128"/>
      </rPr>
      <t>穴あき紙厚</t>
    </r>
    <r>
      <rPr>
        <sz val="10"/>
        <rFont val="Courier New"/>
        <family val="3"/>
      </rPr>
      <t>2</t>
    </r>
    <rPh sb="0" eb="1">
      <t>アナ</t>
    </rPh>
    <rPh sb="3" eb="4">
      <t>カミ</t>
    </rPh>
    <rPh sb="4" eb="5">
      <t>アツ</t>
    </rPh>
    <phoneticPr fontId="2"/>
  </si>
  <si>
    <r>
      <rPr>
        <sz val="10"/>
        <rFont val="ＭＳ Ｐゴシック"/>
        <family val="3"/>
        <charset val="128"/>
      </rPr>
      <t>穴あき紙厚</t>
    </r>
    <r>
      <rPr>
        <sz val="10"/>
        <rFont val="Courier New"/>
        <family val="3"/>
      </rPr>
      <t>3</t>
    </r>
    <phoneticPr fontId="2"/>
  </si>
  <si>
    <r>
      <rPr>
        <sz val="10"/>
        <rFont val="ＭＳ Ｐゴシック"/>
        <family val="3"/>
        <charset val="128"/>
      </rPr>
      <t>穴あき紙厚</t>
    </r>
    <r>
      <rPr>
        <sz val="10"/>
        <rFont val="Courier New"/>
        <family val="3"/>
      </rPr>
      <t>4</t>
    </r>
    <phoneticPr fontId="2"/>
  </si>
  <si>
    <r>
      <rPr>
        <sz val="10"/>
        <rFont val="ＭＳ Ｐゴシック"/>
        <family val="3"/>
        <charset val="128"/>
      </rPr>
      <t>ボンド紙</t>
    </r>
    <r>
      <rPr>
        <sz val="10"/>
        <rFont val="Courier New"/>
        <family val="3"/>
      </rPr>
      <t>[</t>
    </r>
    <r>
      <rPr>
        <sz val="10"/>
        <rFont val="ＭＳ Ｐゴシック"/>
        <family val="3"/>
        <charset val="128"/>
      </rPr>
      <t>★</t>
    </r>
    <r>
      <rPr>
        <sz val="10"/>
        <rFont val="Courier New"/>
        <family val="3"/>
      </rPr>
      <t>]</t>
    </r>
    <phoneticPr fontId="2"/>
  </si>
  <si>
    <r>
      <rPr>
        <sz val="10"/>
        <rFont val="ＭＳ Ｐゴシック"/>
        <family val="3"/>
        <charset val="128"/>
      </rPr>
      <t>はがき</t>
    </r>
    <r>
      <rPr>
        <sz val="10"/>
        <rFont val="Courier New"/>
        <family val="3"/>
      </rPr>
      <t>(</t>
    </r>
    <r>
      <rPr>
        <sz val="10"/>
        <rFont val="ＭＳ Ｐゴシック"/>
        <family val="3"/>
        <charset val="128"/>
      </rPr>
      <t>うら）</t>
    </r>
  </si>
  <si>
    <r>
      <rPr>
        <sz val="10"/>
        <rFont val="ＭＳ Ｐゴシック"/>
        <family val="3"/>
        <charset val="128"/>
      </rPr>
      <t>封筒</t>
    </r>
    <r>
      <rPr>
        <sz val="10"/>
        <rFont val="Courier New"/>
        <family val="3"/>
      </rPr>
      <t>(</t>
    </r>
    <r>
      <rPr>
        <sz val="10"/>
        <rFont val="ＭＳ Ｐゴシック"/>
        <family val="3"/>
        <charset val="128"/>
      </rPr>
      <t>うら）</t>
    </r>
  </si>
  <si>
    <r>
      <rPr>
        <sz val="10"/>
        <rFont val="ＭＳ Ｐゴシック"/>
        <family val="3"/>
        <charset val="128"/>
      </rPr>
      <t>コート紙</t>
    </r>
    <r>
      <rPr>
        <sz val="10"/>
        <rFont val="Courier New"/>
        <family val="3"/>
      </rPr>
      <t>1</t>
    </r>
  </si>
  <si>
    <r>
      <rPr>
        <sz val="10"/>
        <rFont val="ＭＳ Ｐゴシック"/>
        <family val="3"/>
        <charset val="128"/>
      </rPr>
      <t>コート紙</t>
    </r>
    <r>
      <rPr>
        <sz val="10"/>
        <rFont val="Courier New"/>
        <family val="3"/>
      </rPr>
      <t>1F</t>
    </r>
  </si>
  <si>
    <r>
      <rPr>
        <sz val="10"/>
        <rFont val="ＭＳ Ｐゴシック"/>
        <family val="3"/>
        <charset val="128"/>
      </rPr>
      <t>コート紙</t>
    </r>
    <r>
      <rPr>
        <sz val="10"/>
        <rFont val="Courier New"/>
        <family val="3"/>
      </rPr>
      <t>1(</t>
    </r>
    <r>
      <rPr>
        <sz val="10"/>
        <rFont val="ＭＳ Ｐゴシック"/>
        <family val="3"/>
        <charset val="128"/>
      </rPr>
      <t>うら</t>
    </r>
    <r>
      <rPr>
        <sz val="10"/>
        <rFont val="Courier New"/>
        <family val="3"/>
      </rPr>
      <t>)</t>
    </r>
  </si>
  <si>
    <r>
      <rPr>
        <sz val="10"/>
        <rFont val="ＭＳ Ｐゴシック"/>
        <family val="3"/>
        <charset val="128"/>
      </rPr>
      <t>コート紙</t>
    </r>
    <r>
      <rPr>
        <sz val="10"/>
        <rFont val="Courier New"/>
        <family val="3"/>
      </rPr>
      <t>2</t>
    </r>
  </si>
  <si>
    <r>
      <rPr>
        <sz val="10"/>
        <rFont val="ＭＳ Ｐゴシック"/>
        <family val="3"/>
        <charset val="128"/>
      </rPr>
      <t>コート紙</t>
    </r>
    <r>
      <rPr>
        <sz val="10"/>
        <rFont val="Courier New"/>
        <family val="3"/>
      </rPr>
      <t>2(</t>
    </r>
    <r>
      <rPr>
        <sz val="10"/>
        <rFont val="ＭＳ Ｐゴシック"/>
        <family val="3"/>
        <charset val="128"/>
      </rPr>
      <t>うら</t>
    </r>
    <r>
      <rPr>
        <sz val="10"/>
        <rFont val="Courier New"/>
        <family val="3"/>
      </rPr>
      <t>)</t>
    </r>
  </si>
  <si>
    <r>
      <rPr>
        <sz val="10"/>
        <rFont val="ＭＳ Ｐゴシック"/>
        <family val="3"/>
        <charset val="128"/>
      </rPr>
      <t>コート紙</t>
    </r>
    <r>
      <rPr>
        <sz val="10"/>
        <rFont val="Courier New"/>
        <family val="3"/>
      </rPr>
      <t>3</t>
    </r>
  </si>
  <si>
    <r>
      <rPr>
        <sz val="10"/>
        <rFont val="ＭＳ Ｐゴシック"/>
        <family val="3"/>
        <charset val="128"/>
      </rPr>
      <t>コート紙</t>
    </r>
    <r>
      <rPr>
        <sz val="10"/>
        <rFont val="Courier New"/>
        <family val="3"/>
      </rPr>
      <t>3(</t>
    </r>
    <r>
      <rPr>
        <sz val="10"/>
        <rFont val="ＭＳ Ｐゴシック"/>
        <family val="3"/>
        <charset val="128"/>
      </rPr>
      <t>うら</t>
    </r>
    <r>
      <rPr>
        <sz val="10"/>
        <rFont val="Courier New"/>
        <family val="3"/>
      </rPr>
      <t>)</t>
    </r>
  </si>
  <si>
    <r>
      <rPr>
        <sz val="10"/>
        <rFont val="ＭＳ Ｐゴシック"/>
        <family val="3"/>
        <charset val="128"/>
      </rPr>
      <t>コート紙</t>
    </r>
    <r>
      <rPr>
        <sz val="10"/>
        <rFont val="Courier New"/>
        <family val="3"/>
      </rPr>
      <t>4</t>
    </r>
  </si>
  <si>
    <r>
      <rPr>
        <sz val="10"/>
        <rFont val="ＭＳ Ｐゴシック"/>
        <family val="3"/>
        <charset val="128"/>
      </rPr>
      <t>コート紙</t>
    </r>
    <r>
      <rPr>
        <sz val="10"/>
        <rFont val="Courier New"/>
        <family val="3"/>
      </rPr>
      <t>4(</t>
    </r>
    <r>
      <rPr>
        <sz val="10"/>
        <rFont val="ＭＳ Ｐゴシック"/>
        <family val="3"/>
        <charset val="128"/>
      </rPr>
      <t>うら</t>
    </r>
    <r>
      <rPr>
        <sz val="10"/>
        <rFont val="Courier New"/>
        <family val="3"/>
      </rPr>
      <t>)</t>
    </r>
  </si>
  <si>
    <r>
      <rPr>
        <sz val="10"/>
        <rFont val="ＭＳ Ｐゴシック"/>
        <family val="3"/>
        <charset val="128"/>
      </rPr>
      <t>ラベル紙</t>
    </r>
    <r>
      <rPr>
        <sz val="10"/>
        <rFont val="Courier New"/>
        <family val="3"/>
      </rPr>
      <t>1</t>
    </r>
  </si>
  <si>
    <r>
      <rPr>
        <sz val="10"/>
        <rFont val="ＭＳ Ｐゴシック"/>
        <family val="3"/>
        <charset val="128"/>
      </rPr>
      <t>ラベル紙</t>
    </r>
    <r>
      <rPr>
        <sz val="10"/>
        <rFont val="Courier New"/>
        <family val="3"/>
      </rPr>
      <t>2</t>
    </r>
  </si>
  <si>
    <r>
      <rPr>
        <sz val="10"/>
        <rFont val="ＭＳ Ｐゴシック"/>
        <family val="3"/>
        <charset val="128"/>
      </rPr>
      <t>ラベル紙</t>
    </r>
    <r>
      <rPr>
        <sz val="10"/>
        <rFont val="Courier New"/>
        <family val="3"/>
      </rPr>
      <t>3</t>
    </r>
    <phoneticPr fontId="2"/>
  </si>
  <si>
    <r>
      <rPr>
        <sz val="10"/>
        <rFont val="ＭＳ Ｐゴシック"/>
        <family val="3"/>
        <charset val="128"/>
      </rPr>
      <t>タブ紙厚</t>
    </r>
    <r>
      <rPr>
        <sz val="10"/>
        <rFont val="Courier New"/>
        <family val="3"/>
      </rPr>
      <t>1</t>
    </r>
  </si>
  <si>
    <r>
      <rPr>
        <sz val="10"/>
        <rFont val="ＭＳ Ｐゴシック"/>
        <family val="3"/>
        <charset val="128"/>
      </rPr>
      <t>タブ紙厚</t>
    </r>
    <r>
      <rPr>
        <sz val="10"/>
        <rFont val="Courier New"/>
        <family val="3"/>
      </rPr>
      <t>2</t>
    </r>
  </si>
  <si>
    <r>
      <rPr>
        <sz val="10"/>
        <rFont val="ＭＳ Ｐゴシック"/>
        <family val="3"/>
        <charset val="128"/>
      </rPr>
      <t>タブ紙厚</t>
    </r>
    <r>
      <rPr>
        <sz val="10"/>
        <rFont val="Courier New"/>
        <family val="3"/>
      </rPr>
      <t>3</t>
    </r>
    <phoneticPr fontId="2"/>
  </si>
  <si>
    <r>
      <rPr>
        <sz val="10"/>
        <rFont val="ＭＳ Ｐゴシック"/>
        <family val="3"/>
        <charset val="128"/>
      </rPr>
      <t>タブ紙厚</t>
    </r>
    <r>
      <rPr>
        <sz val="10"/>
        <rFont val="Courier New"/>
        <family val="3"/>
      </rPr>
      <t>4</t>
    </r>
  </si>
  <si>
    <r>
      <rPr>
        <sz val="10"/>
        <rFont val="ＭＳ Ｐゴシック"/>
        <family val="3"/>
        <charset val="128"/>
      </rPr>
      <t>上質紙</t>
    </r>
    <r>
      <rPr>
        <sz val="10"/>
        <rFont val="Courier New"/>
        <family val="3"/>
      </rPr>
      <t>A</t>
    </r>
  </si>
  <si>
    <r>
      <rPr>
        <sz val="10"/>
        <rFont val="ＭＳ Ｐゴシック"/>
        <family val="3"/>
        <charset val="128"/>
      </rPr>
      <t>上質紙</t>
    </r>
    <r>
      <rPr>
        <sz val="10"/>
        <rFont val="Courier New"/>
        <family val="3"/>
      </rPr>
      <t>B</t>
    </r>
    <rPh sb="0" eb="3">
      <t>ジョウシツシ</t>
    </rPh>
    <phoneticPr fontId="2"/>
  </si>
  <si>
    <r>
      <rPr>
        <sz val="10"/>
        <rFont val="ＭＳ Ｐゴシック"/>
        <family val="3"/>
        <charset val="128"/>
      </rPr>
      <t>普通紙</t>
    </r>
    <r>
      <rPr>
        <sz val="10"/>
        <rFont val="Courier New"/>
        <family val="3"/>
      </rPr>
      <t>A</t>
    </r>
  </si>
  <si>
    <r>
      <rPr>
        <sz val="10"/>
        <rFont val="ＭＳ Ｐゴシック"/>
        <family val="3"/>
        <charset val="128"/>
      </rPr>
      <t>普通紙</t>
    </r>
    <r>
      <rPr>
        <sz val="10"/>
        <rFont val="Courier New"/>
        <family val="3"/>
      </rPr>
      <t>B</t>
    </r>
  </si>
  <si>
    <r>
      <rPr>
        <sz val="10"/>
        <rFont val="ＭＳ Ｐゴシック"/>
        <family val="3"/>
        <charset val="128"/>
      </rPr>
      <t>普通紙</t>
    </r>
    <r>
      <rPr>
        <sz val="10"/>
        <rFont val="Courier New"/>
        <family val="3"/>
      </rPr>
      <t>C</t>
    </r>
  </si>
  <si>
    <r>
      <rPr>
        <sz val="10"/>
        <rFont val="ＭＳ Ｐゴシック"/>
        <family val="3"/>
        <charset val="128"/>
      </rPr>
      <t>普通紙</t>
    </r>
    <r>
      <rPr>
        <sz val="10"/>
        <rFont val="Courier New"/>
        <family val="3"/>
      </rPr>
      <t>D</t>
    </r>
  </si>
  <si>
    <r>
      <rPr>
        <sz val="10"/>
        <rFont val="ＭＳ Ｐゴシック"/>
        <family val="3"/>
        <charset val="128"/>
      </rPr>
      <t>普通紙</t>
    </r>
    <r>
      <rPr>
        <sz val="10"/>
        <rFont val="Courier New"/>
        <family val="3"/>
      </rPr>
      <t>E</t>
    </r>
  </si>
  <si>
    <r>
      <rPr>
        <sz val="10"/>
        <rFont val="ＭＳ Ｐゴシック"/>
        <family val="3"/>
        <charset val="128"/>
      </rPr>
      <t>普通紙</t>
    </r>
    <r>
      <rPr>
        <sz val="10"/>
        <rFont val="Courier New"/>
        <family val="3"/>
      </rPr>
      <t>F</t>
    </r>
  </si>
  <si>
    <r>
      <rPr>
        <sz val="10"/>
        <rFont val="ＭＳ Ｐゴシック"/>
        <family val="3"/>
        <charset val="128"/>
      </rPr>
      <t>普通紙</t>
    </r>
    <r>
      <rPr>
        <sz val="10"/>
        <rFont val="Courier New"/>
        <family val="3"/>
      </rPr>
      <t>G</t>
    </r>
  </si>
  <si>
    <r>
      <rPr>
        <sz val="10"/>
        <rFont val="ＭＳ Ｐゴシック"/>
        <family val="3"/>
        <charset val="128"/>
      </rPr>
      <t>普通紙</t>
    </r>
    <r>
      <rPr>
        <sz val="10"/>
        <rFont val="Courier New"/>
        <family val="3"/>
      </rPr>
      <t>S</t>
    </r>
  </si>
  <si>
    <r>
      <rPr>
        <sz val="10"/>
        <rFont val="ＭＳ Ｐゴシック"/>
        <family val="3"/>
        <charset val="128"/>
      </rPr>
      <t>普通紙</t>
    </r>
    <r>
      <rPr>
        <sz val="10"/>
        <rFont val="Courier New"/>
        <family val="3"/>
      </rPr>
      <t>S1</t>
    </r>
  </si>
  <si>
    <r>
      <rPr>
        <sz val="10"/>
        <rFont val="ＭＳ Ｐゴシック"/>
        <family val="3"/>
        <charset val="128"/>
      </rPr>
      <t>普通紙</t>
    </r>
    <r>
      <rPr>
        <sz val="10"/>
        <rFont val="Courier New"/>
        <family val="3"/>
      </rPr>
      <t>S2</t>
    </r>
  </si>
  <si>
    <r>
      <rPr>
        <sz val="10"/>
        <rFont val="ＭＳ Ｐゴシック"/>
        <family val="3"/>
        <charset val="128"/>
      </rPr>
      <t>普通紙</t>
    </r>
    <r>
      <rPr>
        <sz val="10"/>
        <rFont val="Courier New"/>
        <family val="3"/>
      </rPr>
      <t>(</t>
    </r>
    <r>
      <rPr>
        <sz val="10"/>
        <rFont val="ＭＳ Ｐゴシック"/>
        <family val="3"/>
        <charset val="128"/>
      </rPr>
      <t>うら</t>
    </r>
    <r>
      <rPr>
        <sz val="10"/>
        <rFont val="Courier New"/>
        <family val="3"/>
      </rPr>
      <t>)A</t>
    </r>
  </si>
  <si>
    <r>
      <rPr>
        <sz val="10"/>
        <rFont val="ＭＳ Ｐゴシック"/>
        <family val="3"/>
        <charset val="128"/>
      </rPr>
      <t>普通紙</t>
    </r>
    <r>
      <rPr>
        <sz val="10"/>
        <rFont val="Courier New"/>
        <family val="3"/>
      </rPr>
      <t>(</t>
    </r>
    <r>
      <rPr>
        <sz val="10"/>
        <rFont val="ＭＳ Ｐゴシック"/>
        <family val="3"/>
        <charset val="128"/>
      </rPr>
      <t>うら</t>
    </r>
    <r>
      <rPr>
        <sz val="10"/>
        <rFont val="Courier New"/>
        <family val="3"/>
      </rPr>
      <t>)B</t>
    </r>
  </si>
  <si>
    <r>
      <rPr>
        <sz val="10"/>
        <rFont val="ＭＳ Ｐゴシック"/>
        <family val="3"/>
        <charset val="128"/>
      </rPr>
      <t>普通紙</t>
    </r>
    <r>
      <rPr>
        <sz val="10"/>
        <rFont val="Courier New"/>
        <family val="3"/>
      </rPr>
      <t>(</t>
    </r>
    <r>
      <rPr>
        <sz val="10"/>
        <rFont val="ＭＳ Ｐゴシック"/>
        <family val="3"/>
        <charset val="128"/>
      </rPr>
      <t>うら</t>
    </r>
    <r>
      <rPr>
        <sz val="10"/>
        <rFont val="Courier New"/>
        <family val="3"/>
      </rPr>
      <t>)C</t>
    </r>
  </si>
  <si>
    <r>
      <rPr>
        <sz val="10"/>
        <rFont val="ＭＳ Ｐゴシック"/>
        <family val="3"/>
        <charset val="128"/>
      </rPr>
      <t>普通紙</t>
    </r>
    <r>
      <rPr>
        <sz val="10"/>
        <rFont val="Courier New"/>
        <family val="3"/>
      </rPr>
      <t>(</t>
    </r>
    <r>
      <rPr>
        <sz val="10"/>
        <rFont val="ＭＳ Ｐゴシック"/>
        <family val="3"/>
        <charset val="128"/>
      </rPr>
      <t>うら</t>
    </r>
    <r>
      <rPr>
        <sz val="10"/>
        <rFont val="Courier New"/>
        <family val="3"/>
      </rPr>
      <t>)D</t>
    </r>
  </si>
  <si>
    <r>
      <rPr>
        <sz val="10"/>
        <rFont val="ＭＳ Ｐゴシック"/>
        <family val="3"/>
        <charset val="128"/>
      </rPr>
      <t>普通紙</t>
    </r>
    <r>
      <rPr>
        <sz val="10"/>
        <rFont val="Courier New"/>
        <family val="3"/>
      </rPr>
      <t>(</t>
    </r>
    <r>
      <rPr>
        <sz val="10"/>
        <rFont val="ＭＳ Ｐゴシック"/>
        <family val="3"/>
        <charset val="128"/>
      </rPr>
      <t>うら</t>
    </r>
    <r>
      <rPr>
        <sz val="10"/>
        <rFont val="Courier New"/>
        <family val="3"/>
      </rPr>
      <t>)S</t>
    </r>
  </si>
  <si>
    <r>
      <rPr>
        <sz val="10"/>
        <rFont val="ＭＳ Ｐゴシック"/>
        <family val="3"/>
        <charset val="128"/>
      </rPr>
      <t>普通紙</t>
    </r>
    <r>
      <rPr>
        <sz val="10"/>
        <rFont val="Courier New"/>
        <family val="3"/>
      </rPr>
      <t>(</t>
    </r>
    <r>
      <rPr>
        <sz val="10"/>
        <rFont val="ＭＳ Ｐゴシック"/>
        <family val="3"/>
        <charset val="128"/>
      </rPr>
      <t>うら</t>
    </r>
    <r>
      <rPr>
        <sz val="10"/>
        <rFont val="Courier New"/>
        <family val="3"/>
      </rPr>
      <t>)S1</t>
    </r>
  </si>
  <si>
    <r>
      <rPr>
        <sz val="10"/>
        <rFont val="ＭＳ Ｐゴシック"/>
        <family val="3"/>
        <charset val="128"/>
      </rPr>
      <t>再生紙</t>
    </r>
    <r>
      <rPr>
        <sz val="10"/>
        <rFont val="Courier New"/>
        <family val="3"/>
      </rPr>
      <t>A</t>
    </r>
  </si>
  <si>
    <r>
      <rPr>
        <sz val="10"/>
        <rFont val="ＭＳ Ｐゴシック"/>
        <family val="3"/>
        <charset val="128"/>
      </rPr>
      <t>再生紙</t>
    </r>
    <r>
      <rPr>
        <sz val="10"/>
        <rFont val="Courier New"/>
        <family val="3"/>
      </rPr>
      <t>B</t>
    </r>
  </si>
  <si>
    <r>
      <rPr>
        <sz val="10"/>
        <rFont val="ＭＳ Ｐゴシック"/>
        <family val="3"/>
        <charset val="128"/>
      </rPr>
      <t>再生紙</t>
    </r>
    <r>
      <rPr>
        <sz val="10"/>
        <rFont val="Courier New"/>
        <family val="3"/>
      </rPr>
      <t>C</t>
    </r>
  </si>
  <si>
    <r>
      <rPr>
        <sz val="10"/>
        <rFont val="ＭＳ Ｐゴシック"/>
        <family val="3"/>
        <charset val="128"/>
      </rPr>
      <t>再生紙</t>
    </r>
    <r>
      <rPr>
        <sz val="10"/>
        <rFont val="Courier New"/>
        <family val="3"/>
      </rPr>
      <t>D</t>
    </r>
    <rPh sb="0" eb="3">
      <t>サイセイシ</t>
    </rPh>
    <phoneticPr fontId="2"/>
  </si>
  <si>
    <r>
      <rPr>
        <sz val="10"/>
        <rFont val="ＭＳ Ｐゴシック"/>
        <family val="3"/>
        <charset val="128"/>
      </rPr>
      <t>再生紙</t>
    </r>
    <r>
      <rPr>
        <sz val="10"/>
        <rFont val="Courier New"/>
        <family val="3"/>
      </rPr>
      <t>S1</t>
    </r>
  </si>
  <si>
    <r>
      <rPr>
        <sz val="10"/>
        <rFont val="ＭＳ Ｐゴシック"/>
        <family val="3"/>
        <charset val="128"/>
      </rPr>
      <t>厚紙</t>
    </r>
    <r>
      <rPr>
        <sz val="10"/>
        <rFont val="Courier New"/>
        <family val="3"/>
      </rPr>
      <t>1A</t>
    </r>
  </si>
  <si>
    <r>
      <rPr>
        <sz val="10"/>
        <rFont val="ＭＳ Ｐゴシック"/>
        <family val="3"/>
        <charset val="128"/>
      </rPr>
      <t>厚紙</t>
    </r>
    <r>
      <rPr>
        <sz val="10"/>
        <rFont val="Courier New"/>
        <family val="3"/>
      </rPr>
      <t>1B</t>
    </r>
  </si>
  <si>
    <r>
      <rPr>
        <sz val="10"/>
        <rFont val="ＭＳ Ｐゴシック"/>
        <family val="3"/>
        <charset val="128"/>
      </rPr>
      <t>厚紙</t>
    </r>
    <r>
      <rPr>
        <sz val="10"/>
        <rFont val="Courier New"/>
        <family val="3"/>
      </rPr>
      <t>1C</t>
    </r>
  </si>
  <si>
    <r>
      <rPr>
        <sz val="10"/>
        <rFont val="ＭＳ Ｐゴシック"/>
        <family val="3"/>
        <charset val="128"/>
      </rPr>
      <t>厚紙</t>
    </r>
    <r>
      <rPr>
        <sz val="10"/>
        <rFont val="Courier New"/>
        <family val="3"/>
      </rPr>
      <t>1S</t>
    </r>
  </si>
  <si>
    <r>
      <rPr>
        <sz val="10"/>
        <rFont val="ＭＳ Ｐゴシック"/>
        <family val="3"/>
        <charset val="128"/>
      </rPr>
      <t>厚紙</t>
    </r>
    <r>
      <rPr>
        <sz val="10"/>
        <rFont val="Courier New"/>
        <family val="3"/>
      </rPr>
      <t>1S1</t>
    </r>
  </si>
  <si>
    <r>
      <rPr>
        <sz val="10"/>
        <rFont val="ＭＳ Ｐゴシック"/>
        <family val="3"/>
        <charset val="128"/>
      </rPr>
      <t>厚紙</t>
    </r>
    <r>
      <rPr>
        <sz val="10"/>
        <rFont val="Courier New"/>
        <family val="3"/>
      </rPr>
      <t>1S2</t>
    </r>
  </si>
  <si>
    <r>
      <rPr>
        <sz val="10"/>
        <rFont val="ＭＳ Ｐゴシック"/>
        <family val="3"/>
        <charset val="128"/>
      </rPr>
      <t>厚紙</t>
    </r>
    <r>
      <rPr>
        <sz val="10"/>
        <rFont val="Courier New"/>
        <family val="3"/>
      </rPr>
      <t>1FA</t>
    </r>
  </si>
  <si>
    <r>
      <rPr>
        <sz val="10"/>
        <rFont val="ＭＳ Ｐゴシック"/>
        <family val="3"/>
        <charset val="128"/>
      </rPr>
      <t>厚紙</t>
    </r>
    <r>
      <rPr>
        <sz val="10"/>
        <rFont val="Courier New"/>
        <family val="3"/>
      </rPr>
      <t>1FB</t>
    </r>
  </si>
  <si>
    <r>
      <rPr>
        <sz val="10"/>
        <rFont val="ＭＳ Ｐゴシック"/>
        <family val="3"/>
        <charset val="128"/>
      </rPr>
      <t>厚紙</t>
    </r>
    <r>
      <rPr>
        <sz val="10"/>
        <rFont val="Courier New"/>
        <family val="3"/>
      </rPr>
      <t>1FC</t>
    </r>
  </si>
  <si>
    <r>
      <rPr>
        <sz val="10"/>
        <rFont val="ＭＳ Ｐゴシック"/>
        <family val="3"/>
        <charset val="128"/>
      </rPr>
      <t>厚紙</t>
    </r>
    <r>
      <rPr>
        <sz val="10"/>
        <rFont val="Courier New"/>
        <family val="3"/>
      </rPr>
      <t>1FS</t>
    </r>
  </si>
  <si>
    <r>
      <rPr>
        <sz val="10"/>
        <rFont val="ＭＳ Ｐゴシック"/>
        <family val="3"/>
        <charset val="128"/>
      </rPr>
      <t>厚紙</t>
    </r>
    <r>
      <rPr>
        <sz val="10"/>
        <rFont val="Courier New"/>
        <family val="3"/>
      </rPr>
      <t>1(</t>
    </r>
    <r>
      <rPr>
        <sz val="10"/>
        <rFont val="ＭＳ Ｐゴシック"/>
        <family val="3"/>
        <charset val="128"/>
      </rPr>
      <t>うら</t>
    </r>
    <r>
      <rPr>
        <sz val="10"/>
        <rFont val="Courier New"/>
        <family val="3"/>
      </rPr>
      <t>)A</t>
    </r>
  </si>
  <si>
    <r>
      <rPr>
        <sz val="10"/>
        <rFont val="ＭＳ Ｐゴシック"/>
        <family val="3"/>
        <charset val="128"/>
      </rPr>
      <t>厚紙</t>
    </r>
    <r>
      <rPr>
        <sz val="10"/>
        <rFont val="Courier New"/>
        <family val="3"/>
      </rPr>
      <t>1(</t>
    </r>
    <r>
      <rPr>
        <sz val="10"/>
        <rFont val="ＭＳ Ｐゴシック"/>
        <family val="3"/>
        <charset val="128"/>
      </rPr>
      <t>うら</t>
    </r>
    <r>
      <rPr>
        <sz val="10"/>
        <rFont val="Courier New"/>
        <family val="3"/>
      </rPr>
      <t>)B</t>
    </r>
  </si>
  <si>
    <r>
      <rPr>
        <sz val="10"/>
        <rFont val="ＭＳ Ｐゴシック"/>
        <family val="3"/>
        <charset val="128"/>
      </rPr>
      <t>厚紙</t>
    </r>
    <r>
      <rPr>
        <sz val="10"/>
        <rFont val="Courier New"/>
        <family val="3"/>
      </rPr>
      <t>1(</t>
    </r>
    <r>
      <rPr>
        <sz val="10"/>
        <rFont val="ＭＳ Ｐゴシック"/>
        <family val="3"/>
        <charset val="128"/>
      </rPr>
      <t>うら</t>
    </r>
    <r>
      <rPr>
        <sz val="10"/>
        <rFont val="Courier New"/>
        <family val="3"/>
      </rPr>
      <t>)C</t>
    </r>
  </si>
  <si>
    <r>
      <rPr>
        <sz val="10"/>
        <rFont val="ＭＳ Ｐゴシック"/>
        <family val="3"/>
        <charset val="128"/>
      </rPr>
      <t>厚紙</t>
    </r>
    <r>
      <rPr>
        <sz val="10"/>
        <rFont val="Courier New"/>
        <family val="3"/>
      </rPr>
      <t>1(</t>
    </r>
    <r>
      <rPr>
        <sz val="10"/>
        <rFont val="ＭＳ Ｐゴシック"/>
        <family val="3"/>
        <charset val="128"/>
      </rPr>
      <t>うら</t>
    </r>
    <r>
      <rPr>
        <sz val="10"/>
        <rFont val="Courier New"/>
        <family val="3"/>
      </rPr>
      <t>)S</t>
    </r>
  </si>
  <si>
    <r>
      <rPr>
        <sz val="10"/>
        <rFont val="ＭＳ Ｐゴシック"/>
        <family val="3"/>
        <charset val="128"/>
      </rPr>
      <t>厚紙</t>
    </r>
    <r>
      <rPr>
        <sz val="10"/>
        <rFont val="Courier New"/>
        <family val="3"/>
      </rPr>
      <t>2A</t>
    </r>
  </si>
  <si>
    <r>
      <rPr>
        <sz val="10"/>
        <rFont val="ＭＳ Ｐゴシック"/>
        <family val="3"/>
        <charset val="128"/>
      </rPr>
      <t>厚紙</t>
    </r>
    <r>
      <rPr>
        <sz val="10"/>
        <rFont val="Courier New"/>
        <family val="3"/>
      </rPr>
      <t>2B</t>
    </r>
  </si>
  <si>
    <r>
      <rPr>
        <sz val="10"/>
        <rFont val="ＭＳ Ｐゴシック"/>
        <family val="3"/>
        <charset val="128"/>
      </rPr>
      <t>厚紙</t>
    </r>
    <r>
      <rPr>
        <sz val="10"/>
        <rFont val="Courier New"/>
        <family val="3"/>
      </rPr>
      <t>2C</t>
    </r>
  </si>
  <si>
    <r>
      <rPr>
        <sz val="10"/>
        <rFont val="ＭＳ Ｐゴシック"/>
        <family val="3"/>
        <charset val="128"/>
      </rPr>
      <t>厚紙</t>
    </r>
    <r>
      <rPr>
        <sz val="10"/>
        <rFont val="Courier New"/>
        <family val="3"/>
      </rPr>
      <t>2D</t>
    </r>
  </si>
  <si>
    <r>
      <rPr>
        <sz val="10"/>
        <rFont val="ＭＳ Ｐゴシック"/>
        <family val="3"/>
        <charset val="128"/>
      </rPr>
      <t>厚紙</t>
    </r>
    <r>
      <rPr>
        <sz val="10"/>
        <rFont val="Courier New"/>
        <family val="3"/>
      </rPr>
      <t>2E</t>
    </r>
  </si>
  <si>
    <r>
      <rPr>
        <sz val="10"/>
        <rFont val="ＭＳ Ｐゴシック"/>
        <family val="3"/>
        <charset val="128"/>
      </rPr>
      <t>厚紙</t>
    </r>
    <r>
      <rPr>
        <sz val="10"/>
        <rFont val="Courier New"/>
        <family val="3"/>
      </rPr>
      <t>2S</t>
    </r>
  </si>
  <si>
    <r>
      <rPr>
        <sz val="10"/>
        <rFont val="ＭＳ Ｐゴシック"/>
        <family val="3"/>
        <charset val="128"/>
      </rPr>
      <t>厚紙</t>
    </r>
    <r>
      <rPr>
        <sz val="10"/>
        <rFont val="Courier New"/>
        <family val="3"/>
      </rPr>
      <t>2S1</t>
    </r>
  </si>
  <si>
    <r>
      <rPr>
        <sz val="10"/>
        <rFont val="ＭＳ Ｐゴシック"/>
        <family val="3"/>
        <charset val="128"/>
      </rPr>
      <t>厚紙</t>
    </r>
    <r>
      <rPr>
        <sz val="10"/>
        <rFont val="Courier New"/>
        <family val="3"/>
      </rPr>
      <t>2S2</t>
    </r>
  </si>
  <si>
    <r>
      <rPr>
        <sz val="10"/>
        <rFont val="ＭＳ Ｐゴシック"/>
        <family val="3"/>
        <charset val="128"/>
      </rPr>
      <t>厚紙</t>
    </r>
    <r>
      <rPr>
        <sz val="10"/>
        <rFont val="Courier New"/>
        <family val="3"/>
      </rPr>
      <t>2(</t>
    </r>
    <r>
      <rPr>
        <sz val="10"/>
        <rFont val="ＭＳ Ｐゴシック"/>
        <family val="3"/>
        <charset val="128"/>
      </rPr>
      <t>うら</t>
    </r>
    <r>
      <rPr>
        <sz val="10"/>
        <rFont val="Courier New"/>
        <family val="3"/>
      </rPr>
      <t>)A</t>
    </r>
  </si>
  <si>
    <r>
      <rPr>
        <sz val="10"/>
        <rFont val="ＭＳ Ｐゴシック"/>
        <family val="3"/>
        <charset val="128"/>
      </rPr>
      <t>厚紙</t>
    </r>
    <r>
      <rPr>
        <sz val="10"/>
        <rFont val="Courier New"/>
        <family val="3"/>
      </rPr>
      <t>2(</t>
    </r>
    <r>
      <rPr>
        <sz val="10"/>
        <rFont val="ＭＳ Ｐゴシック"/>
        <family val="3"/>
        <charset val="128"/>
      </rPr>
      <t>うら</t>
    </r>
    <r>
      <rPr>
        <sz val="10"/>
        <rFont val="Courier New"/>
        <family val="3"/>
      </rPr>
      <t>)B</t>
    </r>
  </si>
  <si>
    <r>
      <rPr>
        <sz val="10"/>
        <rFont val="ＭＳ Ｐゴシック"/>
        <family val="3"/>
        <charset val="128"/>
      </rPr>
      <t>厚紙</t>
    </r>
    <r>
      <rPr>
        <sz val="10"/>
        <rFont val="Courier New"/>
        <family val="3"/>
      </rPr>
      <t>2(</t>
    </r>
    <r>
      <rPr>
        <sz val="10"/>
        <rFont val="ＭＳ Ｐゴシック"/>
        <family val="3"/>
        <charset val="128"/>
      </rPr>
      <t>うら</t>
    </r>
    <r>
      <rPr>
        <sz val="10"/>
        <rFont val="Courier New"/>
        <family val="3"/>
      </rPr>
      <t>)C</t>
    </r>
  </si>
  <si>
    <r>
      <rPr>
        <sz val="10"/>
        <rFont val="ＭＳ Ｐゴシック"/>
        <family val="3"/>
        <charset val="128"/>
      </rPr>
      <t>厚紙</t>
    </r>
    <r>
      <rPr>
        <sz val="10"/>
        <rFont val="Courier New"/>
        <family val="3"/>
      </rPr>
      <t>2(</t>
    </r>
    <r>
      <rPr>
        <sz val="10"/>
        <rFont val="ＭＳ Ｐゴシック"/>
        <family val="3"/>
        <charset val="128"/>
      </rPr>
      <t>うら</t>
    </r>
    <r>
      <rPr>
        <sz val="10"/>
        <rFont val="Courier New"/>
        <family val="3"/>
      </rPr>
      <t>)D</t>
    </r>
  </si>
  <si>
    <r>
      <rPr>
        <sz val="10"/>
        <rFont val="ＭＳ Ｐゴシック"/>
        <family val="3"/>
        <charset val="128"/>
      </rPr>
      <t>厚紙</t>
    </r>
    <r>
      <rPr>
        <sz val="10"/>
        <rFont val="Courier New"/>
        <family val="3"/>
      </rPr>
      <t>2(</t>
    </r>
    <r>
      <rPr>
        <sz val="10"/>
        <rFont val="ＭＳ Ｐゴシック"/>
        <family val="3"/>
        <charset val="128"/>
      </rPr>
      <t>うら</t>
    </r>
    <r>
      <rPr>
        <sz val="10"/>
        <rFont val="Courier New"/>
        <family val="3"/>
      </rPr>
      <t>)S</t>
    </r>
  </si>
  <si>
    <r>
      <rPr>
        <sz val="10"/>
        <rFont val="ＭＳ Ｐゴシック"/>
        <family val="3"/>
        <charset val="128"/>
      </rPr>
      <t>コート紙</t>
    </r>
    <r>
      <rPr>
        <sz val="10"/>
        <rFont val="Courier New"/>
        <family val="3"/>
      </rPr>
      <t>1A</t>
    </r>
  </si>
  <si>
    <r>
      <rPr>
        <sz val="10"/>
        <rFont val="ＭＳ Ｐゴシック"/>
        <family val="3"/>
        <charset val="128"/>
      </rPr>
      <t>コート紙</t>
    </r>
    <r>
      <rPr>
        <sz val="10"/>
        <rFont val="Courier New"/>
        <family val="3"/>
      </rPr>
      <t>1B</t>
    </r>
  </si>
  <si>
    <r>
      <rPr>
        <sz val="10"/>
        <rFont val="ＭＳ Ｐゴシック"/>
        <family val="3"/>
        <charset val="128"/>
      </rPr>
      <t>コート紙</t>
    </r>
    <r>
      <rPr>
        <sz val="10"/>
        <rFont val="Courier New"/>
        <family val="3"/>
      </rPr>
      <t>1C</t>
    </r>
    <rPh sb="3" eb="4">
      <t>シ</t>
    </rPh>
    <phoneticPr fontId="2"/>
  </si>
  <si>
    <r>
      <rPr>
        <sz val="10"/>
        <rFont val="ＭＳ Ｐゴシック"/>
        <family val="3"/>
        <charset val="128"/>
      </rPr>
      <t>コート紙</t>
    </r>
    <r>
      <rPr>
        <sz val="10"/>
        <rFont val="Courier New"/>
        <family val="3"/>
      </rPr>
      <t>1(</t>
    </r>
    <r>
      <rPr>
        <sz val="10"/>
        <rFont val="ＭＳ Ｐゴシック"/>
        <family val="3"/>
        <charset val="128"/>
      </rPr>
      <t>うら</t>
    </r>
    <r>
      <rPr>
        <sz val="10"/>
        <rFont val="Courier New"/>
        <family val="3"/>
      </rPr>
      <t>)A</t>
    </r>
  </si>
  <si>
    <r>
      <rPr>
        <sz val="10"/>
        <rFont val="ＭＳ Ｐゴシック"/>
        <family val="3"/>
        <charset val="128"/>
      </rPr>
      <t>コート紙</t>
    </r>
    <r>
      <rPr>
        <sz val="10"/>
        <rFont val="Courier New"/>
        <family val="3"/>
      </rPr>
      <t>1(</t>
    </r>
    <r>
      <rPr>
        <sz val="10"/>
        <rFont val="ＭＳ Ｐゴシック"/>
        <family val="3"/>
        <charset val="128"/>
      </rPr>
      <t>うら</t>
    </r>
    <r>
      <rPr>
        <sz val="10"/>
        <rFont val="Courier New"/>
        <family val="3"/>
      </rPr>
      <t>)B</t>
    </r>
  </si>
  <si>
    <r>
      <rPr>
        <sz val="10"/>
        <rFont val="ＭＳ Ｐゴシック"/>
        <family val="3"/>
        <charset val="128"/>
      </rPr>
      <t>コート紙</t>
    </r>
    <r>
      <rPr>
        <sz val="10"/>
        <rFont val="Courier New"/>
        <family val="3"/>
      </rPr>
      <t>1(</t>
    </r>
    <r>
      <rPr>
        <sz val="10"/>
        <rFont val="ＭＳ Ｐゴシック"/>
        <family val="3"/>
        <charset val="128"/>
      </rPr>
      <t>うら</t>
    </r>
    <r>
      <rPr>
        <sz val="10"/>
        <rFont val="Courier New"/>
        <family val="3"/>
      </rPr>
      <t>)C</t>
    </r>
    <rPh sb="3" eb="4">
      <t>シ</t>
    </rPh>
    <phoneticPr fontId="2"/>
  </si>
  <si>
    <r>
      <rPr>
        <sz val="10"/>
        <rFont val="ＭＳ Ｐゴシック"/>
        <family val="3"/>
        <charset val="128"/>
      </rPr>
      <t>コート紙</t>
    </r>
    <r>
      <rPr>
        <sz val="10"/>
        <rFont val="Courier New"/>
        <family val="3"/>
      </rPr>
      <t>3A</t>
    </r>
  </si>
  <si>
    <r>
      <rPr>
        <sz val="10"/>
        <rFont val="ＭＳ Ｐゴシック"/>
        <family val="3"/>
        <charset val="128"/>
      </rPr>
      <t>コート紙</t>
    </r>
    <r>
      <rPr>
        <sz val="10"/>
        <rFont val="Courier New"/>
        <family val="3"/>
      </rPr>
      <t>3B</t>
    </r>
  </si>
  <si>
    <r>
      <rPr>
        <sz val="10"/>
        <rFont val="ＭＳ Ｐゴシック"/>
        <family val="3"/>
        <charset val="128"/>
      </rPr>
      <t>コート紙</t>
    </r>
    <r>
      <rPr>
        <sz val="10"/>
        <rFont val="Courier New"/>
        <family val="3"/>
      </rPr>
      <t>3(</t>
    </r>
    <r>
      <rPr>
        <sz val="10"/>
        <rFont val="ＭＳ Ｐゴシック"/>
        <family val="3"/>
        <charset val="128"/>
      </rPr>
      <t>うら</t>
    </r>
    <r>
      <rPr>
        <sz val="10"/>
        <rFont val="Courier New"/>
        <family val="3"/>
      </rPr>
      <t>)A</t>
    </r>
  </si>
  <si>
    <r>
      <rPr>
        <sz val="10"/>
        <rFont val="ＭＳ Ｐゴシック"/>
        <family val="3"/>
        <charset val="128"/>
      </rPr>
      <t>コート紙</t>
    </r>
    <r>
      <rPr>
        <sz val="10"/>
        <rFont val="Courier New"/>
        <family val="3"/>
      </rPr>
      <t>3(</t>
    </r>
    <r>
      <rPr>
        <sz val="10"/>
        <rFont val="ＭＳ Ｐゴシック"/>
        <family val="3"/>
        <charset val="128"/>
      </rPr>
      <t>うら</t>
    </r>
    <r>
      <rPr>
        <sz val="10"/>
        <rFont val="Courier New"/>
        <family val="3"/>
      </rPr>
      <t>)B</t>
    </r>
  </si>
  <si>
    <r>
      <rPr>
        <sz val="10"/>
        <rFont val="ＭＳ Ｐゴシック"/>
        <family val="3"/>
        <charset val="128"/>
      </rPr>
      <t>ラベル紙</t>
    </r>
    <rPh sb="3" eb="4">
      <t>シ</t>
    </rPh>
    <phoneticPr fontId="2"/>
  </si>
  <si>
    <r>
      <t>OHP</t>
    </r>
    <r>
      <rPr>
        <sz val="10"/>
        <rFont val="ＭＳ Ｐゴシック"/>
        <family val="3"/>
        <charset val="128"/>
      </rPr>
      <t>フィルム</t>
    </r>
    <phoneticPr fontId="2"/>
  </si>
  <si>
    <r>
      <rPr>
        <sz val="10"/>
        <rFont val="ＭＳ Ｐゴシック"/>
        <family val="3"/>
        <charset val="128"/>
      </rPr>
      <t>普通紙</t>
    </r>
    <r>
      <rPr>
        <sz val="10"/>
        <rFont val="Courier New"/>
        <family val="3"/>
      </rPr>
      <t>A</t>
    </r>
    <rPh sb="0" eb="3">
      <t>フツウシ</t>
    </rPh>
    <phoneticPr fontId="2"/>
  </si>
  <si>
    <r>
      <rPr>
        <sz val="10"/>
        <rFont val="ＭＳ Ｐゴシック"/>
        <family val="3"/>
        <charset val="128"/>
      </rPr>
      <t>普通紙</t>
    </r>
    <r>
      <rPr>
        <sz val="10"/>
        <rFont val="Courier New"/>
        <family val="3"/>
      </rPr>
      <t>B</t>
    </r>
    <rPh sb="0" eb="3">
      <t>フツウシ</t>
    </rPh>
    <phoneticPr fontId="2"/>
  </si>
  <si>
    <r>
      <rPr>
        <sz val="10"/>
        <rFont val="ＭＳ Ｐゴシック"/>
        <family val="3"/>
        <charset val="128"/>
      </rPr>
      <t>普通紙</t>
    </r>
    <r>
      <rPr>
        <sz val="10"/>
        <rFont val="Courier New"/>
        <family val="3"/>
      </rPr>
      <t>C</t>
    </r>
    <rPh sb="0" eb="3">
      <t>フツウシ</t>
    </rPh>
    <phoneticPr fontId="2"/>
  </si>
  <si>
    <r>
      <rPr>
        <sz val="10"/>
        <rFont val="ＭＳ Ｐゴシック"/>
        <family val="3"/>
        <charset val="128"/>
      </rPr>
      <t>普通紙</t>
    </r>
    <r>
      <rPr>
        <sz val="10"/>
        <rFont val="Courier New"/>
        <family val="3"/>
      </rPr>
      <t>D</t>
    </r>
    <rPh sb="0" eb="3">
      <t>フツウシ</t>
    </rPh>
    <phoneticPr fontId="2"/>
  </si>
  <si>
    <r>
      <rPr>
        <sz val="10"/>
        <rFont val="ＭＳ Ｐゴシック"/>
        <family val="3"/>
        <charset val="128"/>
      </rPr>
      <t>普通紙</t>
    </r>
    <r>
      <rPr>
        <sz val="10"/>
        <rFont val="Courier New"/>
        <family val="3"/>
      </rPr>
      <t>E</t>
    </r>
    <rPh sb="0" eb="3">
      <t>フツウシ</t>
    </rPh>
    <phoneticPr fontId="2"/>
  </si>
  <si>
    <r>
      <rPr>
        <sz val="10"/>
        <rFont val="ＭＳ Ｐゴシック"/>
        <family val="3"/>
        <charset val="128"/>
      </rPr>
      <t>普通紙</t>
    </r>
    <r>
      <rPr>
        <sz val="10"/>
        <rFont val="Courier New"/>
        <family val="3"/>
      </rPr>
      <t>F</t>
    </r>
    <rPh sb="0" eb="3">
      <t>フツウシ</t>
    </rPh>
    <phoneticPr fontId="2"/>
  </si>
  <si>
    <r>
      <rPr>
        <sz val="10"/>
        <rFont val="ＭＳ Ｐゴシック"/>
        <family val="3"/>
        <charset val="128"/>
      </rPr>
      <t>普通紙</t>
    </r>
    <r>
      <rPr>
        <sz val="10"/>
        <rFont val="Courier New"/>
        <family val="3"/>
      </rPr>
      <t>G</t>
    </r>
    <rPh sb="0" eb="3">
      <t>フツウシ</t>
    </rPh>
    <phoneticPr fontId="2"/>
  </si>
  <si>
    <r>
      <rPr>
        <sz val="10"/>
        <rFont val="ＭＳ Ｐゴシック"/>
        <family val="3"/>
        <charset val="128"/>
      </rPr>
      <t>再生紙</t>
    </r>
    <r>
      <rPr>
        <sz val="10"/>
        <rFont val="Courier New"/>
        <family val="3"/>
      </rPr>
      <t>A</t>
    </r>
    <rPh sb="0" eb="3">
      <t>サイセイシ</t>
    </rPh>
    <phoneticPr fontId="2"/>
  </si>
  <si>
    <r>
      <rPr>
        <sz val="10"/>
        <rFont val="ＭＳ Ｐゴシック"/>
        <family val="3"/>
        <charset val="128"/>
      </rPr>
      <t>再生紙</t>
    </r>
    <r>
      <rPr>
        <sz val="10"/>
        <rFont val="Courier New"/>
        <family val="3"/>
      </rPr>
      <t>B</t>
    </r>
    <rPh sb="0" eb="3">
      <t>サイセイシ</t>
    </rPh>
    <phoneticPr fontId="2"/>
  </si>
  <si>
    <r>
      <rPr>
        <sz val="10"/>
        <rFont val="ＭＳ Ｐゴシック"/>
        <family val="3"/>
        <charset val="128"/>
      </rPr>
      <t>厚紙</t>
    </r>
    <r>
      <rPr>
        <sz val="10"/>
        <rFont val="Courier New"/>
        <family val="3"/>
      </rPr>
      <t>1A</t>
    </r>
    <rPh sb="0" eb="2">
      <t>アツガミ</t>
    </rPh>
    <phoneticPr fontId="2"/>
  </si>
  <si>
    <r>
      <rPr>
        <sz val="10"/>
        <rFont val="ＭＳ Ｐゴシック"/>
        <family val="3"/>
        <charset val="128"/>
      </rPr>
      <t>厚紙</t>
    </r>
    <r>
      <rPr>
        <sz val="10"/>
        <rFont val="Courier New"/>
        <family val="3"/>
      </rPr>
      <t>1B</t>
    </r>
    <rPh sb="0" eb="2">
      <t>アツガミ</t>
    </rPh>
    <phoneticPr fontId="2"/>
  </si>
  <si>
    <r>
      <rPr>
        <sz val="10"/>
        <rFont val="ＭＳ Ｐゴシック"/>
        <family val="3"/>
        <charset val="128"/>
      </rPr>
      <t>厚紙</t>
    </r>
    <r>
      <rPr>
        <sz val="10"/>
        <rFont val="Courier New"/>
        <family val="3"/>
      </rPr>
      <t>1C</t>
    </r>
    <rPh sb="0" eb="2">
      <t>アツガミ</t>
    </rPh>
    <phoneticPr fontId="2"/>
  </si>
  <si>
    <r>
      <rPr>
        <sz val="10"/>
        <rFont val="ＭＳ Ｐゴシック"/>
        <family val="3"/>
        <charset val="128"/>
      </rPr>
      <t>厚紙</t>
    </r>
    <r>
      <rPr>
        <sz val="10"/>
        <rFont val="Courier New"/>
        <family val="3"/>
      </rPr>
      <t>1S</t>
    </r>
    <rPh sb="0" eb="2">
      <t>アツガミ</t>
    </rPh>
    <phoneticPr fontId="2"/>
  </si>
  <si>
    <r>
      <rPr>
        <sz val="10"/>
        <rFont val="ＭＳ Ｐゴシック"/>
        <family val="3"/>
        <charset val="128"/>
      </rPr>
      <t>厚紙</t>
    </r>
    <r>
      <rPr>
        <sz val="10"/>
        <rFont val="Courier New"/>
        <family val="3"/>
      </rPr>
      <t>1(</t>
    </r>
    <r>
      <rPr>
        <sz val="10"/>
        <rFont val="ＭＳ Ｐゴシック"/>
        <family val="3"/>
        <charset val="128"/>
      </rPr>
      <t>うら</t>
    </r>
    <r>
      <rPr>
        <sz val="10"/>
        <rFont val="Courier New"/>
        <family val="3"/>
      </rPr>
      <t>)A</t>
    </r>
    <rPh sb="0" eb="2">
      <t>アツガミ</t>
    </rPh>
    <phoneticPr fontId="2"/>
  </si>
  <si>
    <r>
      <rPr>
        <sz val="10"/>
        <rFont val="ＭＳ Ｐゴシック"/>
        <family val="3"/>
        <charset val="128"/>
      </rPr>
      <t>厚紙</t>
    </r>
    <r>
      <rPr>
        <sz val="10"/>
        <rFont val="Courier New"/>
        <family val="3"/>
      </rPr>
      <t>1(</t>
    </r>
    <r>
      <rPr>
        <sz val="10"/>
        <rFont val="ＭＳ Ｐゴシック"/>
        <family val="3"/>
        <charset val="128"/>
      </rPr>
      <t>うら</t>
    </r>
    <r>
      <rPr>
        <sz val="10"/>
        <rFont val="Courier New"/>
        <family val="3"/>
      </rPr>
      <t>)B</t>
    </r>
    <rPh sb="0" eb="2">
      <t>アツガミ</t>
    </rPh>
    <phoneticPr fontId="2"/>
  </si>
  <si>
    <r>
      <rPr>
        <sz val="10"/>
        <rFont val="ＭＳ Ｐゴシック"/>
        <family val="3"/>
        <charset val="128"/>
      </rPr>
      <t>厚紙</t>
    </r>
    <r>
      <rPr>
        <sz val="10"/>
        <rFont val="Courier New"/>
        <family val="3"/>
      </rPr>
      <t>1(</t>
    </r>
    <r>
      <rPr>
        <sz val="10"/>
        <rFont val="ＭＳ Ｐゴシック"/>
        <family val="3"/>
        <charset val="128"/>
      </rPr>
      <t>うら</t>
    </r>
    <r>
      <rPr>
        <sz val="10"/>
        <rFont val="Courier New"/>
        <family val="3"/>
      </rPr>
      <t>)C</t>
    </r>
    <rPh sb="0" eb="2">
      <t>アツガミ</t>
    </rPh>
    <phoneticPr fontId="2"/>
  </si>
  <si>
    <r>
      <rPr>
        <sz val="10"/>
        <rFont val="ＭＳ Ｐゴシック"/>
        <family val="3"/>
        <charset val="128"/>
      </rPr>
      <t>厚紙</t>
    </r>
    <r>
      <rPr>
        <sz val="10"/>
        <rFont val="Courier New"/>
        <family val="3"/>
      </rPr>
      <t>1(</t>
    </r>
    <r>
      <rPr>
        <sz val="10"/>
        <rFont val="ＭＳ Ｐゴシック"/>
        <family val="3"/>
        <charset val="128"/>
      </rPr>
      <t>うら</t>
    </r>
    <r>
      <rPr>
        <sz val="10"/>
        <rFont val="Courier New"/>
        <family val="3"/>
      </rPr>
      <t>)S</t>
    </r>
    <rPh sb="0" eb="2">
      <t>アツガミ</t>
    </rPh>
    <phoneticPr fontId="2"/>
  </si>
  <si>
    <r>
      <rPr>
        <sz val="10"/>
        <rFont val="ＭＳ Ｐゴシック"/>
        <family val="3"/>
        <charset val="128"/>
      </rPr>
      <t>厚紙</t>
    </r>
    <r>
      <rPr>
        <sz val="10"/>
        <rFont val="Courier New"/>
        <family val="3"/>
      </rPr>
      <t>2A</t>
    </r>
    <rPh sb="0" eb="2">
      <t>アツガミ</t>
    </rPh>
    <phoneticPr fontId="2"/>
  </si>
  <si>
    <r>
      <rPr>
        <sz val="10"/>
        <rFont val="ＭＳ Ｐゴシック"/>
        <family val="3"/>
        <charset val="128"/>
      </rPr>
      <t>厚紙</t>
    </r>
    <r>
      <rPr>
        <sz val="10"/>
        <rFont val="Courier New"/>
        <family val="3"/>
      </rPr>
      <t>2B</t>
    </r>
    <rPh sb="0" eb="2">
      <t>アツガミ</t>
    </rPh>
    <phoneticPr fontId="2"/>
  </si>
  <si>
    <r>
      <rPr>
        <sz val="10"/>
        <rFont val="ＭＳ Ｐゴシック"/>
        <family val="3"/>
        <charset val="128"/>
      </rPr>
      <t>厚紙</t>
    </r>
    <r>
      <rPr>
        <sz val="10"/>
        <rFont val="Courier New"/>
        <family val="3"/>
      </rPr>
      <t>2C</t>
    </r>
    <rPh sb="0" eb="2">
      <t>アツガミ</t>
    </rPh>
    <phoneticPr fontId="2"/>
  </si>
  <si>
    <r>
      <rPr>
        <sz val="10"/>
        <rFont val="ＭＳ Ｐゴシック"/>
        <family val="3"/>
        <charset val="128"/>
      </rPr>
      <t>厚紙</t>
    </r>
    <r>
      <rPr>
        <sz val="10"/>
        <rFont val="Courier New"/>
        <family val="3"/>
      </rPr>
      <t>2D</t>
    </r>
    <rPh sb="0" eb="2">
      <t>アツガミ</t>
    </rPh>
    <phoneticPr fontId="2"/>
  </si>
  <si>
    <r>
      <rPr>
        <sz val="10"/>
        <rFont val="ＭＳ Ｐゴシック"/>
        <family val="3"/>
        <charset val="128"/>
      </rPr>
      <t>厚紙</t>
    </r>
    <r>
      <rPr>
        <sz val="10"/>
        <rFont val="Courier New"/>
        <family val="3"/>
      </rPr>
      <t>2S</t>
    </r>
    <rPh sb="0" eb="2">
      <t>アツガミ</t>
    </rPh>
    <phoneticPr fontId="2"/>
  </si>
  <si>
    <r>
      <rPr>
        <sz val="10"/>
        <rFont val="ＭＳ Ｐゴシック"/>
        <family val="3"/>
        <charset val="128"/>
      </rPr>
      <t>厚紙</t>
    </r>
    <r>
      <rPr>
        <sz val="10"/>
        <rFont val="Courier New"/>
        <family val="3"/>
      </rPr>
      <t>2(</t>
    </r>
    <r>
      <rPr>
        <sz val="10"/>
        <rFont val="ＭＳ Ｐゴシック"/>
        <family val="3"/>
        <charset val="128"/>
      </rPr>
      <t>うら</t>
    </r>
    <r>
      <rPr>
        <sz val="10"/>
        <rFont val="Courier New"/>
        <family val="3"/>
      </rPr>
      <t>)A</t>
    </r>
    <rPh sb="0" eb="2">
      <t>アツガミ</t>
    </rPh>
    <phoneticPr fontId="2"/>
  </si>
  <si>
    <r>
      <rPr>
        <sz val="10"/>
        <rFont val="ＭＳ Ｐゴシック"/>
        <family val="3"/>
        <charset val="128"/>
      </rPr>
      <t>厚紙</t>
    </r>
    <r>
      <rPr>
        <sz val="10"/>
        <rFont val="Courier New"/>
        <family val="3"/>
      </rPr>
      <t>2(</t>
    </r>
    <r>
      <rPr>
        <sz val="10"/>
        <rFont val="ＭＳ Ｐゴシック"/>
        <family val="3"/>
        <charset val="128"/>
      </rPr>
      <t>うら</t>
    </r>
    <r>
      <rPr>
        <sz val="10"/>
        <rFont val="Courier New"/>
        <family val="3"/>
      </rPr>
      <t>)B</t>
    </r>
    <rPh sb="0" eb="2">
      <t>アツガミ</t>
    </rPh>
    <phoneticPr fontId="2"/>
  </si>
  <si>
    <r>
      <rPr>
        <sz val="10"/>
        <rFont val="ＭＳ Ｐゴシック"/>
        <family val="3"/>
        <charset val="128"/>
      </rPr>
      <t>厚紙</t>
    </r>
    <r>
      <rPr>
        <sz val="10"/>
        <rFont val="Courier New"/>
        <family val="3"/>
      </rPr>
      <t>2(</t>
    </r>
    <r>
      <rPr>
        <sz val="10"/>
        <rFont val="ＭＳ Ｐゴシック"/>
        <family val="3"/>
        <charset val="128"/>
      </rPr>
      <t>うら</t>
    </r>
    <r>
      <rPr>
        <sz val="10"/>
        <rFont val="Courier New"/>
        <family val="3"/>
      </rPr>
      <t>)C</t>
    </r>
    <rPh sb="0" eb="2">
      <t>アツガミ</t>
    </rPh>
    <phoneticPr fontId="2"/>
  </si>
  <si>
    <r>
      <rPr>
        <sz val="10"/>
        <rFont val="ＭＳ Ｐゴシック"/>
        <family val="3"/>
        <charset val="128"/>
      </rPr>
      <t>厚紙</t>
    </r>
    <r>
      <rPr>
        <sz val="10"/>
        <rFont val="Courier New"/>
        <family val="3"/>
      </rPr>
      <t>2(</t>
    </r>
    <r>
      <rPr>
        <sz val="10"/>
        <rFont val="ＭＳ Ｐゴシック"/>
        <family val="3"/>
        <charset val="128"/>
      </rPr>
      <t>うら</t>
    </r>
    <r>
      <rPr>
        <sz val="10"/>
        <rFont val="Courier New"/>
        <family val="3"/>
      </rPr>
      <t>)D</t>
    </r>
    <rPh sb="0" eb="2">
      <t>アツガミ</t>
    </rPh>
    <phoneticPr fontId="2"/>
  </si>
  <si>
    <r>
      <rPr>
        <sz val="10"/>
        <rFont val="ＭＳ Ｐゴシック"/>
        <family val="3"/>
        <charset val="128"/>
      </rPr>
      <t>厚紙</t>
    </r>
    <r>
      <rPr>
        <sz val="10"/>
        <rFont val="Courier New"/>
        <family val="3"/>
      </rPr>
      <t>2(</t>
    </r>
    <r>
      <rPr>
        <sz val="10"/>
        <rFont val="ＭＳ Ｐゴシック"/>
        <family val="3"/>
        <charset val="128"/>
      </rPr>
      <t>うら</t>
    </r>
    <r>
      <rPr>
        <sz val="10"/>
        <rFont val="Courier New"/>
        <family val="3"/>
      </rPr>
      <t>)S</t>
    </r>
    <rPh sb="0" eb="2">
      <t>アツガミ</t>
    </rPh>
    <phoneticPr fontId="2"/>
  </si>
  <si>
    <r>
      <rPr>
        <sz val="10"/>
        <rFont val="ＭＳ Ｐゴシック"/>
        <family val="3"/>
        <charset val="128"/>
      </rPr>
      <t>厚紙</t>
    </r>
    <r>
      <rPr>
        <sz val="10"/>
        <rFont val="Courier New"/>
        <family val="3"/>
      </rPr>
      <t>3A</t>
    </r>
    <rPh sb="0" eb="2">
      <t>アツガミ</t>
    </rPh>
    <phoneticPr fontId="2"/>
  </si>
  <si>
    <r>
      <rPr>
        <sz val="10"/>
        <rFont val="ＭＳ Ｐゴシック"/>
        <family val="3"/>
        <charset val="128"/>
      </rPr>
      <t>厚紙</t>
    </r>
    <r>
      <rPr>
        <sz val="10"/>
        <rFont val="Courier New"/>
        <family val="3"/>
      </rPr>
      <t>3B</t>
    </r>
    <rPh sb="0" eb="2">
      <t>アツガミ</t>
    </rPh>
    <phoneticPr fontId="2"/>
  </si>
  <si>
    <r>
      <rPr>
        <sz val="10"/>
        <rFont val="ＭＳ Ｐゴシック"/>
        <family val="3"/>
        <charset val="128"/>
      </rPr>
      <t>厚紙</t>
    </r>
    <r>
      <rPr>
        <sz val="10"/>
        <rFont val="Courier New"/>
        <family val="3"/>
      </rPr>
      <t>3S</t>
    </r>
    <rPh sb="0" eb="2">
      <t>アツガミ</t>
    </rPh>
    <phoneticPr fontId="2"/>
  </si>
  <si>
    <r>
      <rPr>
        <sz val="10"/>
        <rFont val="ＭＳ Ｐゴシック"/>
        <family val="3"/>
        <charset val="128"/>
      </rPr>
      <t>厚紙</t>
    </r>
    <r>
      <rPr>
        <sz val="10"/>
        <rFont val="Courier New"/>
        <family val="3"/>
      </rPr>
      <t>3(</t>
    </r>
    <r>
      <rPr>
        <sz val="10"/>
        <rFont val="ＭＳ Ｐゴシック"/>
        <family val="3"/>
        <charset val="128"/>
      </rPr>
      <t>うら</t>
    </r>
    <r>
      <rPr>
        <sz val="10"/>
        <rFont val="Courier New"/>
        <family val="3"/>
      </rPr>
      <t>)A</t>
    </r>
    <rPh sb="0" eb="2">
      <t>アツガミ</t>
    </rPh>
    <phoneticPr fontId="2"/>
  </si>
  <si>
    <r>
      <rPr>
        <sz val="10"/>
        <rFont val="ＭＳ Ｐゴシック"/>
        <family val="3"/>
        <charset val="128"/>
      </rPr>
      <t>厚紙</t>
    </r>
    <r>
      <rPr>
        <sz val="10"/>
        <rFont val="Courier New"/>
        <family val="3"/>
      </rPr>
      <t>3(</t>
    </r>
    <r>
      <rPr>
        <sz val="10"/>
        <rFont val="ＭＳ Ｐゴシック"/>
        <family val="3"/>
        <charset val="128"/>
      </rPr>
      <t>うら</t>
    </r>
    <r>
      <rPr>
        <sz val="10"/>
        <rFont val="Courier New"/>
        <family val="3"/>
      </rPr>
      <t>)B</t>
    </r>
    <rPh sb="0" eb="2">
      <t>アツガミ</t>
    </rPh>
    <phoneticPr fontId="2"/>
  </si>
  <si>
    <r>
      <rPr>
        <sz val="10"/>
        <rFont val="ＭＳ Ｐゴシック"/>
        <family val="3"/>
        <charset val="128"/>
      </rPr>
      <t>厚紙</t>
    </r>
    <r>
      <rPr>
        <sz val="10"/>
        <rFont val="Courier New"/>
        <family val="3"/>
      </rPr>
      <t>3(</t>
    </r>
    <r>
      <rPr>
        <sz val="10"/>
        <rFont val="ＭＳ Ｐゴシック"/>
        <family val="3"/>
        <charset val="128"/>
      </rPr>
      <t>うら</t>
    </r>
    <r>
      <rPr>
        <sz val="10"/>
        <rFont val="Courier New"/>
        <family val="3"/>
      </rPr>
      <t>)S</t>
    </r>
    <rPh sb="0" eb="2">
      <t>アツガミ</t>
    </rPh>
    <phoneticPr fontId="2"/>
  </si>
  <si>
    <r>
      <rPr>
        <sz val="10"/>
        <rFont val="ＭＳ Ｐゴシック"/>
        <family val="3"/>
        <charset val="128"/>
      </rPr>
      <t>普通紙</t>
    </r>
    <r>
      <rPr>
        <sz val="10"/>
        <rFont val="Courier New"/>
        <family val="3"/>
      </rPr>
      <t>S</t>
    </r>
    <phoneticPr fontId="2"/>
  </si>
  <si>
    <r>
      <rPr>
        <sz val="10"/>
        <rFont val="ＭＳ Ｐゴシック"/>
        <family val="3"/>
        <charset val="128"/>
      </rPr>
      <t>普通紙</t>
    </r>
  </si>
  <si>
    <r>
      <rPr>
        <sz val="10"/>
        <rFont val="ＭＳ Ｐゴシック"/>
        <family val="3"/>
        <charset val="128"/>
      </rPr>
      <t>再生紙</t>
    </r>
  </si>
  <si>
    <r>
      <rPr>
        <sz val="10"/>
        <rFont val="ＭＳ Ｐゴシック"/>
        <family val="3"/>
        <charset val="128"/>
      </rPr>
      <t>穴あき紙</t>
    </r>
  </si>
  <si>
    <r>
      <rPr>
        <sz val="10"/>
        <rFont val="ＭＳ Ｐゴシック"/>
        <family val="3"/>
        <charset val="128"/>
      </rPr>
      <t>はがき</t>
    </r>
  </si>
  <si>
    <r>
      <rPr>
        <sz val="10"/>
        <rFont val="ＭＳ Ｐゴシック"/>
        <family val="3"/>
        <charset val="128"/>
      </rPr>
      <t>普通紙</t>
    </r>
    <r>
      <rPr>
        <sz val="10"/>
        <rFont val="Courier New"/>
        <family val="3"/>
      </rPr>
      <t>(</t>
    </r>
    <r>
      <rPr>
        <sz val="10"/>
        <rFont val="ＭＳ Ｐゴシック"/>
        <family val="3"/>
        <charset val="128"/>
      </rPr>
      <t>うら</t>
    </r>
    <r>
      <rPr>
        <sz val="10"/>
        <rFont val="Courier New"/>
        <family val="3"/>
      </rPr>
      <t>)</t>
    </r>
  </si>
  <si>
    <r>
      <rPr>
        <sz val="10"/>
        <rFont val="ＭＳ Ｐゴシック"/>
        <family val="3"/>
        <charset val="128"/>
      </rPr>
      <t>ユーザー定義用紙</t>
    </r>
    <r>
      <rPr>
        <sz val="10"/>
        <rFont val="Courier New"/>
        <family val="3"/>
      </rPr>
      <t>1</t>
    </r>
  </si>
  <si>
    <r>
      <rPr>
        <sz val="10"/>
        <rFont val="ＭＳ Ｐゴシック"/>
        <family val="3"/>
        <charset val="128"/>
      </rPr>
      <t>ボンド紙</t>
    </r>
    <r>
      <rPr>
        <sz val="10"/>
        <rFont val="Courier New"/>
        <family val="3"/>
      </rPr>
      <t>[</t>
    </r>
    <r>
      <rPr>
        <sz val="10"/>
        <rFont val="ＭＳ Ｐゴシック"/>
        <family val="3"/>
        <charset val="128"/>
      </rPr>
      <t>★</t>
    </r>
    <r>
      <rPr>
        <sz val="10"/>
        <rFont val="Courier New"/>
        <family val="3"/>
      </rPr>
      <t>]</t>
    </r>
  </si>
  <si>
    <r>
      <rPr>
        <sz val="10"/>
        <rFont val="ＭＳ Ｐゴシック"/>
        <family val="3"/>
        <charset val="128"/>
      </rPr>
      <t>コート紙</t>
    </r>
    <r>
      <rPr>
        <sz val="10"/>
        <rFont val="Courier New"/>
        <family val="3"/>
      </rPr>
      <t>2A</t>
    </r>
    <rPh sb="3" eb="4">
      <t>シ</t>
    </rPh>
    <phoneticPr fontId="2"/>
  </si>
  <si>
    <t>COATING2_A</t>
    <phoneticPr fontId="2"/>
  </si>
  <si>
    <r>
      <rPr>
        <sz val="10"/>
        <rFont val="ＭＳ Ｐゴシック"/>
        <family val="3"/>
        <charset val="128"/>
      </rPr>
      <t>コート紙</t>
    </r>
    <r>
      <rPr>
        <sz val="10"/>
        <rFont val="Courier New"/>
        <family val="3"/>
      </rPr>
      <t>2(</t>
    </r>
    <r>
      <rPr>
        <sz val="10"/>
        <rFont val="ＭＳ Ｐゴシック"/>
        <family val="3"/>
        <charset val="128"/>
      </rPr>
      <t>うら</t>
    </r>
    <r>
      <rPr>
        <sz val="10"/>
        <rFont val="Courier New"/>
        <family val="3"/>
      </rPr>
      <t>)A</t>
    </r>
    <rPh sb="3" eb="4">
      <t>シ</t>
    </rPh>
    <phoneticPr fontId="2"/>
  </si>
  <si>
    <t>COATING2_REV_A</t>
    <phoneticPr fontId="2"/>
  </si>
  <si>
    <t>×</t>
    <phoneticPr fontId="2"/>
  </si>
  <si>
    <r>
      <rPr>
        <sz val="10"/>
        <rFont val="ＭＳ Ｐゴシック"/>
        <family val="3"/>
        <charset val="128"/>
      </rPr>
      <t>○</t>
    </r>
    <phoneticPr fontId="2"/>
  </si>
  <si>
    <t>普通紙(うら)A</t>
  </si>
  <si>
    <t>◎</t>
    <phoneticPr fontId="2"/>
  </si>
  <si>
    <t>◎</t>
    <phoneticPr fontId="2"/>
  </si>
  <si>
    <t>普通紙(うら)B</t>
  </si>
  <si>
    <t>普通紙(うら)C</t>
  </si>
  <si>
    <t>普通紙(うら)D</t>
  </si>
  <si>
    <t>×</t>
    <phoneticPr fontId="2"/>
  </si>
  <si>
    <t>普通紙(うら)S</t>
  </si>
  <si>
    <t>◎</t>
    <phoneticPr fontId="2"/>
  </si>
  <si>
    <t>再生紙C</t>
  </si>
  <si>
    <t>×</t>
    <phoneticPr fontId="2"/>
  </si>
  <si>
    <t>gaFinStkTraySize</t>
    <phoneticPr fontId="2"/>
  </si>
  <si>
    <t>○</t>
    <phoneticPr fontId="2"/>
  </si>
  <si>
    <t>×</t>
    <phoneticPr fontId="2"/>
  </si>
  <si>
    <r>
      <rPr>
        <sz val="10"/>
        <rFont val="ＭＳ Ｐゴシック"/>
        <family val="3"/>
        <charset val="128"/>
      </rPr>
      <t>○</t>
    </r>
    <phoneticPr fontId="2"/>
  </si>
  <si>
    <t>はがき</t>
    <phoneticPr fontId="2"/>
  </si>
  <si>
    <t>上質紙A</t>
  </si>
  <si>
    <t>○</t>
    <phoneticPr fontId="2"/>
  </si>
  <si>
    <t>◎</t>
    <phoneticPr fontId="2"/>
  </si>
  <si>
    <t>両面</t>
    <phoneticPr fontId="2"/>
  </si>
  <si>
    <t>オフセット</t>
    <phoneticPr fontId="2"/>
  </si>
  <si>
    <t>ステープル</t>
    <phoneticPr fontId="2"/>
  </si>
  <si>
    <t>パンチ</t>
    <phoneticPr fontId="2"/>
  </si>
  <si>
    <t>トレイ</t>
    <phoneticPr fontId="2"/>
  </si>
  <si>
    <r>
      <t>トレイ</t>
    </r>
    <r>
      <rPr>
        <sz val="10"/>
        <rFont val="Courier New"/>
        <family val="3"/>
      </rPr>
      <t>1</t>
    </r>
    <phoneticPr fontId="2"/>
  </si>
  <si>
    <t>向き</t>
    <phoneticPr fontId="2"/>
  </si>
  <si>
    <t>Z折り</t>
    <phoneticPr fontId="2"/>
  </si>
  <si>
    <t>三つ折り</t>
    <phoneticPr fontId="2"/>
  </si>
  <si>
    <t>envelopeSize2</t>
    <phoneticPr fontId="2"/>
  </si>
  <si>
    <t>envelopeSize3</t>
    <phoneticPr fontId="2"/>
  </si>
  <si>
    <t>simpleSize2</t>
    <phoneticPr fontId="2"/>
  </si>
  <si>
    <t>simpleSize3</t>
    <phoneticPr fontId="2"/>
  </si>
  <si>
    <t>normalSize2</t>
    <phoneticPr fontId="2"/>
  </si>
  <si>
    <t>normalSize3</t>
    <phoneticPr fontId="2"/>
  </si>
  <si>
    <t>bigSize1</t>
    <phoneticPr fontId="2"/>
  </si>
  <si>
    <t>bigSize2</t>
    <phoneticPr fontId="2"/>
  </si>
  <si>
    <t>bigSize3</t>
    <phoneticPr fontId="2"/>
  </si>
  <si>
    <t>tandemSize2</t>
    <phoneticPr fontId="2"/>
  </si>
  <si>
    <t>autoDetSize3</t>
    <phoneticPr fontId="2"/>
  </si>
  <si>
    <t>sbFinStkTraySize</t>
    <phoneticPr fontId="2"/>
  </si>
  <si>
    <t>sbFinOffsetSize</t>
    <phoneticPr fontId="2"/>
  </si>
  <si>
    <t>sbFinStplSize</t>
    <phoneticPr fontId="2"/>
  </si>
  <si>
    <t>sbFinSadlStplSize</t>
    <phoneticPr fontId="2"/>
  </si>
  <si>
    <t>chFinQuadStplSize</t>
    <phoneticPr fontId="2"/>
  </si>
  <si>
    <t>sbFin2hPchSize</t>
    <phoneticPr fontId="2"/>
  </si>
  <si>
    <t>sbFin3hPchSize</t>
    <phoneticPr fontId="2"/>
  </si>
  <si>
    <t>sbFin4hPchSize</t>
    <phoneticPr fontId="2"/>
  </si>
  <si>
    <t>sbFinBiFoldSize</t>
    <phoneticPr fontId="2"/>
  </si>
  <si>
    <r>
      <t>トレイ</t>
    </r>
    <r>
      <rPr>
        <sz val="10"/>
        <rFont val="Courier New"/>
        <family val="3"/>
      </rPr>
      <t xml:space="preserve">1 + </t>
    </r>
    <r>
      <rPr>
        <sz val="10"/>
        <rFont val="ＭＳ Ｐゴシック"/>
        <family val="3"/>
        <charset val="128"/>
      </rPr>
      <t>トレイ</t>
    </r>
    <r>
      <rPr>
        <sz val="10"/>
        <rFont val="Courier New"/>
        <family val="3"/>
      </rPr>
      <t>1(</t>
    </r>
    <r>
      <rPr>
        <sz val="10"/>
        <rFont val="ＭＳ Ｐゴシック"/>
        <family val="3"/>
        <charset val="128"/>
      </rPr>
      <t>封筒トレイ</t>
    </r>
    <r>
      <rPr>
        <sz val="10"/>
        <rFont val="Courier New"/>
        <family val="3"/>
      </rPr>
      <t>)</t>
    </r>
    <phoneticPr fontId="2"/>
  </si>
  <si>
    <r>
      <t>トレイ</t>
    </r>
    <r>
      <rPr>
        <sz val="10"/>
        <rFont val="Courier New"/>
        <family val="3"/>
      </rPr>
      <t>1(</t>
    </r>
    <r>
      <rPr>
        <sz val="10"/>
        <rFont val="ＭＳ Ｐゴシック"/>
        <family val="3"/>
        <charset val="128"/>
      </rPr>
      <t>はがきトレイ</t>
    </r>
    <r>
      <rPr>
        <sz val="10"/>
        <rFont val="Courier New"/>
        <family val="3"/>
      </rPr>
      <t>)</t>
    </r>
    <phoneticPr fontId="2"/>
  </si>
  <si>
    <r>
      <t>トレイ</t>
    </r>
    <r>
      <rPr>
        <sz val="10"/>
        <rFont val="Courier New"/>
        <family val="3"/>
      </rPr>
      <t>2</t>
    </r>
    <r>
      <rPr>
        <sz val="10"/>
        <rFont val="ＭＳ Ｐゴシック"/>
        <family val="3"/>
        <charset val="128"/>
      </rPr>
      <t>（</t>
    </r>
    <r>
      <rPr>
        <sz val="10"/>
        <rFont val="Courier New"/>
        <family val="3"/>
      </rPr>
      <t>STM)</t>
    </r>
    <phoneticPr fontId="2"/>
  </si>
  <si>
    <r>
      <t>トレイ</t>
    </r>
    <r>
      <rPr>
        <sz val="10"/>
        <rFont val="Courier New"/>
        <family val="3"/>
      </rPr>
      <t>2-4</t>
    </r>
    <r>
      <rPr>
        <sz val="10"/>
        <rFont val="ＭＳ Ｐゴシック"/>
        <family val="3"/>
        <charset val="128"/>
      </rPr>
      <t>（</t>
    </r>
    <r>
      <rPr>
        <sz val="10"/>
        <rFont val="Courier New"/>
        <family val="3"/>
      </rPr>
      <t>3TM</t>
    </r>
    <r>
      <rPr>
        <sz val="10"/>
        <rFont val="ＭＳ Ｐゴシック"/>
        <family val="3"/>
        <charset val="128"/>
      </rPr>
      <t>）</t>
    </r>
    <phoneticPr fontId="2"/>
  </si>
  <si>
    <r>
      <t>トレイ</t>
    </r>
    <r>
      <rPr>
        <sz val="10"/>
        <rFont val="Courier New"/>
        <family val="3"/>
      </rPr>
      <t xml:space="preserve">2
</t>
    </r>
    <r>
      <rPr>
        <sz val="10"/>
        <rFont val="ＭＳ Ｐゴシック"/>
        <family val="3"/>
        <charset val="128"/>
      </rPr>
      <t>トレイ</t>
    </r>
    <r>
      <rPr>
        <sz val="10"/>
        <rFont val="Courier New"/>
        <family val="3"/>
      </rPr>
      <t>3-4</t>
    </r>
    <r>
      <rPr>
        <sz val="10"/>
        <rFont val="ＭＳ Ｐゴシック"/>
        <family val="3"/>
        <charset val="128"/>
      </rPr>
      <t>（</t>
    </r>
    <r>
      <rPr>
        <sz val="10"/>
        <rFont val="Courier New"/>
        <family val="3"/>
      </rPr>
      <t>2TM</t>
    </r>
    <r>
      <rPr>
        <sz val="10"/>
        <rFont val="ＭＳ Ｐゴシック"/>
        <family val="3"/>
        <charset val="128"/>
      </rPr>
      <t>）</t>
    </r>
    <phoneticPr fontId="2"/>
  </si>
  <si>
    <r>
      <t>トレイ</t>
    </r>
    <r>
      <rPr>
        <sz val="10"/>
        <rFont val="Courier New"/>
        <family val="3"/>
      </rPr>
      <t>3-4</t>
    </r>
    <r>
      <rPr>
        <sz val="10"/>
        <rFont val="ＭＳ Ｐゴシック"/>
        <family val="3"/>
        <charset val="128"/>
      </rPr>
      <t>（</t>
    </r>
    <r>
      <rPr>
        <sz val="10"/>
        <rFont val="Courier New"/>
        <family val="3"/>
      </rPr>
      <t>TTM</t>
    </r>
    <r>
      <rPr>
        <sz val="10"/>
        <rFont val="ＭＳ Ｐゴシック"/>
        <family val="3"/>
        <charset val="128"/>
      </rPr>
      <t>）</t>
    </r>
    <phoneticPr fontId="2"/>
  </si>
  <si>
    <r>
      <t>センタートレイ</t>
    </r>
    <r>
      <rPr>
        <sz val="10"/>
        <rFont val="Courier New"/>
        <family val="3"/>
      </rPr>
      <t>1</t>
    </r>
    <r>
      <rPr>
        <sz val="10"/>
        <rFont val="ＭＳ Ｐゴシック"/>
        <family val="3"/>
        <charset val="128"/>
      </rPr>
      <t>、</t>
    </r>
    <r>
      <rPr>
        <sz val="10"/>
        <rFont val="Courier New"/>
        <family val="3"/>
      </rPr>
      <t>2</t>
    </r>
    <phoneticPr fontId="2"/>
  </si>
  <si>
    <r>
      <t>GA</t>
    </r>
    <r>
      <rPr>
        <sz val="10"/>
        <rFont val="ＭＳ Ｐゴシック"/>
        <family val="3"/>
        <charset val="128"/>
      </rPr>
      <t>フィニッシャ</t>
    </r>
    <phoneticPr fontId="2"/>
  </si>
  <si>
    <r>
      <t>SB</t>
    </r>
    <r>
      <rPr>
        <sz val="10"/>
        <rFont val="ＭＳ Ｐゴシック"/>
        <family val="3"/>
        <charset val="128"/>
      </rPr>
      <t>フィニッシャ</t>
    </r>
    <phoneticPr fontId="2"/>
  </si>
  <si>
    <r>
      <t>センタートレイ</t>
    </r>
    <r>
      <rPr>
        <sz val="10"/>
        <rFont val="Courier New"/>
        <family val="3"/>
      </rPr>
      <t>1,2</t>
    </r>
    <phoneticPr fontId="2"/>
  </si>
  <si>
    <r>
      <t>GA</t>
    </r>
    <r>
      <rPr>
        <sz val="10"/>
        <rFont val="ＭＳ Ｐゴシック"/>
        <family val="3"/>
        <charset val="128"/>
      </rPr>
      <t>フィニッシャスタッカトレイ</t>
    </r>
    <phoneticPr fontId="2"/>
  </si>
  <si>
    <r>
      <t>SB</t>
    </r>
    <r>
      <rPr>
        <sz val="10"/>
        <rFont val="ＭＳ Ｐゴシック"/>
        <family val="3"/>
        <charset val="128"/>
      </rPr>
      <t>フィニッシャスタッカトレイ</t>
    </r>
    <phoneticPr fontId="2"/>
  </si>
  <si>
    <r>
      <t>SB</t>
    </r>
    <r>
      <rPr>
        <sz val="10"/>
        <rFont val="ＭＳ Ｐゴシック"/>
        <family val="3"/>
        <charset val="128"/>
      </rPr>
      <t>フィニッシャ
スタッカトレイ</t>
    </r>
    <phoneticPr fontId="2"/>
  </si>
  <si>
    <r>
      <t>A/</t>
    </r>
    <r>
      <rPr>
        <sz val="10"/>
        <rFont val="ＭＳ Ｐゴシック"/>
        <family val="3"/>
        <charset val="128"/>
      </rPr>
      <t>日本</t>
    </r>
    <phoneticPr fontId="2"/>
  </si>
  <si>
    <r>
      <t>A/</t>
    </r>
    <r>
      <rPr>
        <sz val="10"/>
        <rFont val="ＭＳ Ｐゴシック"/>
        <family val="3"/>
        <charset val="128"/>
      </rPr>
      <t>中国</t>
    </r>
    <phoneticPr fontId="2"/>
  </si>
  <si>
    <r>
      <t>E/</t>
    </r>
    <r>
      <rPr>
        <sz val="10"/>
        <rFont val="ＭＳ Ｐゴシック"/>
        <family val="3"/>
        <charset val="128"/>
      </rPr>
      <t>日本</t>
    </r>
    <phoneticPr fontId="2"/>
  </si>
  <si>
    <r>
      <t>E/</t>
    </r>
    <r>
      <rPr>
        <sz val="10"/>
        <rFont val="ＭＳ Ｐゴシック"/>
        <family val="3"/>
        <charset val="128"/>
      </rPr>
      <t>中国</t>
    </r>
    <phoneticPr fontId="2"/>
  </si>
  <si>
    <t>gaFinOffsetSize</t>
    <phoneticPr fontId="2"/>
  </si>
  <si>
    <r>
      <t>トレイ</t>
    </r>
    <r>
      <rPr>
        <sz val="10"/>
        <rFont val="Courier New"/>
        <family val="3"/>
      </rPr>
      <t>1</t>
    </r>
    <phoneticPr fontId="2"/>
  </si>
  <si>
    <r>
      <t>トレイ</t>
    </r>
    <r>
      <rPr>
        <sz val="10"/>
        <rFont val="Courier New"/>
        <family val="3"/>
      </rPr>
      <t>1(</t>
    </r>
    <r>
      <rPr>
        <sz val="10"/>
        <rFont val="ＭＳ Ｐゴシック"/>
        <family val="3"/>
        <charset val="128"/>
      </rPr>
      <t>小サイズトレイ</t>
    </r>
    <r>
      <rPr>
        <sz val="10"/>
        <rFont val="Courier New"/>
        <family val="3"/>
      </rPr>
      <t>)</t>
    </r>
    <rPh sb="5" eb="6">
      <t>ショウ</t>
    </rPh>
    <phoneticPr fontId="2"/>
  </si>
  <si>
    <r>
      <t>トレイ</t>
    </r>
    <r>
      <rPr>
        <sz val="10"/>
        <rFont val="Courier New"/>
        <family val="3"/>
      </rPr>
      <t xml:space="preserve">1 + </t>
    </r>
    <r>
      <rPr>
        <sz val="10"/>
        <rFont val="ＭＳ Ｐゴシック"/>
        <family val="3"/>
        <charset val="128"/>
      </rPr>
      <t>トレイ</t>
    </r>
    <r>
      <rPr>
        <sz val="10"/>
        <rFont val="Courier New"/>
        <family val="3"/>
      </rPr>
      <t>1(</t>
    </r>
    <r>
      <rPr>
        <sz val="10"/>
        <rFont val="ＭＳ Ｐゴシック"/>
        <family val="3"/>
        <charset val="128"/>
      </rPr>
      <t>封筒トレイ</t>
    </r>
    <r>
      <rPr>
        <sz val="10"/>
        <rFont val="Courier New"/>
        <family val="3"/>
      </rPr>
      <t>)</t>
    </r>
    <rPh sb="12" eb="14">
      <t>フウトウ</t>
    </rPh>
    <phoneticPr fontId="2"/>
  </si>
  <si>
    <r>
      <t>トレイ</t>
    </r>
    <r>
      <rPr>
        <sz val="10"/>
        <rFont val="Courier New"/>
        <family val="3"/>
      </rPr>
      <t>1(</t>
    </r>
    <r>
      <rPr>
        <sz val="10"/>
        <rFont val="ＭＳ Ｐゴシック"/>
        <family val="3"/>
        <charset val="128"/>
      </rPr>
      <t>はがきトレイ</t>
    </r>
    <r>
      <rPr>
        <sz val="10"/>
        <rFont val="Courier New"/>
        <family val="3"/>
      </rPr>
      <t>)</t>
    </r>
    <phoneticPr fontId="2"/>
  </si>
  <si>
    <r>
      <t>センタートレイ</t>
    </r>
    <r>
      <rPr>
        <sz val="10"/>
        <rFont val="Courier New"/>
        <family val="3"/>
      </rPr>
      <t>1</t>
    </r>
    <r>
      <rPr>
        <sz val="10"/>
        <rFont val="ＭＳ Ｐゴシック"/>
        <family val="3"/>
        <charset val="128"/>
      </rPr>
      <t>、</t>
    </r>
    <r>
      <rPr>
        <sz val="10"/>
        <rFont val="Courier New"/>
        <family val="3"/>
      </rPr>
      <t>2</t>
    </r>
    <phoneticPr fontId="2"/>
  </si>
  <si>
    <r>
      <t>GA</t>
    </r>
    <r>
      <rPr>
        <sz val="10"/>
        <rFont val="ＭＳ Ｐゴシック"/>
        <family val="3"/>
        <charset val="128"/>
      </rPr>
      <t>フィニッシャ</t>
    </r>
    <r>
      <rPr>
        <sz val="10"/>
        <rFont val="Courier New"/>
        <family val="3"/>
      </rPr>
      <t/>
    </r>
    <phoneticPr fontId="2"/>
  </si>
  <si>
    <r>
      <t>SB</t>
    </r>
    <r>
      <rPr>
        <sz val="10"/>
        <rFont val="ＭＳ Ｐゴシック"/>
        <family val="3"/>
        <charset val="128"/>
      </rPr>
      <t>フィニッシャ</t>
    </r>
    <phoneticPr fontId="2"/>
  </si>
  <si>
    <r>
      <t>センタートレイ</t>
    </r>
    <r>
      <rPr>
        <sz val="10"/>
        <rFont val="Courier New"/>
        <family val="3"/>
      </rPr>
      <t>1,2</t>
    </r>
    <phoneticPr fontId="2"/>
  </si>
  <si>
    <r>
      <t>GA</t>
    </r>
    <r>
      <rPr>
        <sz val="10"/>
        <rFont val="ＭＳ Ｐゴシック"/>
        <family val="3"/>
        <charset val="128"/>
      </rPr>
      <t>フィニッシャスタッカトレイ</t>
    </r>
    <phoneticPr fontId="2"/>
  </si>
  <si>
    <r>
      <t>SB</t>
    </r>
    <r>
      <rPr>
        <sz val="10"/>
        <rFont val="ＭＳ Ｐゴシック"/>
        <family val="3"/>
        <charset val="128"/>
      </rPr>
      <t>フィニッシャスタッカトレイ</t>
    </r>
    <phoneticPr fontId="2"/>
  </si>
  <si>
    <r>
      <t>SB</t>
    </r>
    <r>
      <rPr>
        <sz val="10"/>
        <rFont val="ＭＳ Ｐゴシック"/>
        <family val="3"/>
        <charset val="128"/>
      </rPr>
      <t>フィニッシャ
スタッカトレイ</t>
    </r>
    <phoneticPr fontId="2"/>
  </si>
  <si>
    <r>
      <t>GA</t>
    </r>
    <r>
      <rPr>
        <sz val="10"/>
        <rFont val="ＭＳ Ｐゴシック"/>
        <family val="3"/>
        <charset val="128"/>
      </rPr>
      <t>フィニッシャ</t>
    </r>
    <phoneticPr fontId="2"/>
  </si>
  <si>
    <t>○</t>
    <phoneticPr fontId="2"/>
  </si>
  <si>
    <t>gaFinStplSize</t>
    <phoneticPr fontId="2"/>
  </si>
  <si>
    <r>
      <t>フロント</t>
    </r>
    <r>
      <rPr>
        <sz val="10"/>
        <rFont val="Courier New"/>
        <family val="3"/>
      </rPr>
      <t>/</t>
    </r>
    <r>
      <rPr>
        <sz val="10"/>
        <rFont val="ＭＳ Ｐゴシック"/>
        <family val="3"/>
        <charset val="128"/>
      </rPr>
      <t>リア</t>
    </r>
    <r>
      <rPr>
        <sz val="10"/>
        <rFont val="Courier New"/>
        <family val="3"/>
      </rPr>
      <t>/</t>
    </r>
    <r>
      <rPr>
        <sz val="10"/>
        <rFont val="ＭＳ Ｐゴシック"/>
        <family val="3"/>
        <charset val="128"/>
      </rPr>
      <t>デュアル</t>
    </r>
    <phoneticPr fontId="2"/>
  </si>
  <si>
    <t>×</t>
    <phoneticPr fontId="2"/>
  </si>
  <si>
    <t>×</t>
    <phoneticPr fontId="2"/>
  </si>
  <si>
    <r>
      <t>封筒：角形</t>
    </r>
    <r>
      <rPr>
        <sz val="10"/>
        <rFont val="Courier New"/>
        <family val="3"/>
      </rPr>
      <t>20</t>
    </r>
    <r>
      <rPr>
        <sz val="10"/>
        <rFont val="ＭＳ Ｐゴシック"/>
        <family val="3"/>
        <charset val="128"/>
      </rPr>
      <t>号</t>
    </r>
    <phoneticPr fontId="2"/>
  </si>
  <si>
    <r>
      <t>封筒：角形</t>
    </r>
    <r>
      <rPr>
        <sz val="10"/>
        <rFont val="Courier New"/>
        <family val="3"/>
      </rPr>
      <t>6</t>
    </r>
    <r>
      <rPr>
        <sz val="10"/>
        <rFont val="ＭＳ Ｐゴシック"/>
        <family val="3"/>
        <charset val="128"/>
      </rPr>
      <t>号</t>
    </r>
    <phoneticPr fontId="2"/>
  </si>
  <si>
    <r>
      <t>封筒：</t>
    </r>
    <r>
      <rPr>
        <sz val="10"/>
        <rFont val="Courier New"/>
        <family val="3"/>
      </rPr>
      <t>ISO-B5</t>
    </r>
    <phoneticPr fontId="2"/>
  </si>
  <si>
    <r>
      <t>封筒：洋形</t>
    </r>
    <r>
      <rPr>
        <sz val="10"/>
        <rFont val="Courier New"/>
        <family val="3"/>
      </rPr>
      <t>2</t>
    </r>
    <r>
      <rPr>
        <sz val="10"/>
        <rFont val="ＭＳ Ｐゴシック"/>
        <family val="3"/>
        <charset val="128"/>
      </rPr>
      <t>号</t>
    </r>
    <rPh sb="3" eb="4">
      <t>ヨウ</t>
    </rPh>
    <phoneticPr fontId="2"/>
  </si>
  <si>
    <r>
      <t>封筒：長形</t>
    </r>
    <r>
      <rPr>
        <sz val="10"/>
        <rFont val="Courier New"/>
        <family val="3"/>
      </rPr>
      <t>4</t>
    </r>
    <r>
      <rPr>
        <sz val="10"/>
        <rFont val="ＭＳ Ｐゴシック"/>
        <family val="3"/>
        <charset val="128"/>
      </rPr>
      <t>号</t>
    </r>
    <rPh sb="0" eb="2">
      <t>フウトウ</t>
    </rPh>
    <rPh sb="3" eb="4">
      <t>チョウ</t>
    </rPh>
    <rPh sb="4" eb="5">
      <t>ケイ</t>
    </rPh>
    <rPh sb="6" eb="7">
      <t>ゴウ</t>
    </rPh>
    <phoneticPr fontId="2"/>
  </si>
  <si>
    <r>
      <t>封筒：</t>
    </r>
    <r>
      <rPr>
        <sz val="10"/>
        <rFont val="Courier New"/>
        <family val="3"/>
      </rPr>
      <t>ISO-C4</t>
    </r>
    <phoneticPr fontId="2"/>
  </si>
  <si>
    <r>
      <t>封筒：</t>
    </r>
    <r>
      <rPr>
        <sz val="10"/>
        <rFont val="Courier New"/>
        <family val="3"/>
      </rPr>
      <t>ISO-C5</t>
    </r>
    <phoneticPr fontId="2"/>
  </si>
  <si>
    <r>
      <t>封筒：</t>
    </r>
    <r>
      <rPr>
        <sz val="10"/>
        <rFont val="Courier New"/>
        <family val="3"/>
      </rPr>
      <t>ISO-C6</t>
    </r>
    <phoneticPr fontId="2"/>
  </si>
  <si>
    <t>×</t>
    <phoneticPr fontId="2"/>
  </si>
  <si>
    <t>PLAIN</t>
    <phoneticPr fontId="2"/>
  </si>
  <si>
    <t>これらはダイアグサービスのみ指定可能。</t>
    <phoneticPr fontId="2"/>
  </si>
  <si>
    <t>STATIONARY_REV_D</t>
    <phoneticPr fontId="2"/>
  </si>
  <si>
    <t>STATIONARY_REV_S</t>
    <phoneticPr fontId="2"/>
  </si>
  <si>
    <t>穴あき紙</t>
    <phoneticPr fontId="2"/>
  </si>
  <si>
    <t>これらはダイアグサービスのみ指定可能。</t>
  </si>
  <si>
    <t>gaFinStkTrayMedType</t>
    <phoneticPr fontId="2"/>
  </si>
  <si>
    <t>gaFinOffsetMedType</t>
    <phoneticPr fontId="2"/>
  </si>
  <si>
    <t>gaFinStplMedType</t>
    <phoneticPr fontId="2"/>
  </si>
  <si>
    <r>
      <t>FX:</t>
    </r>
    <r>
      <rPr>
        <sz val="10"/>
        <rFont val="ＭＳ Ｐゴシック"/>
        <family val="3"/>
        <charset val="128"/>
      </rPr>
      <t>再生紙A</t>
    </r>
    <r>
      <rPr>
        <sz val="10"/>
        <rFont val="Courier New"/>
        <family val="3"/>
      </rPr>
      <t>,AP:</t>
    </r>
    <r>
      <rPr>
        <sz val="10"/>
        <rFont val="ＭＳ Ｐゴシック"/>
        <family val="3"/>
        <charset val="128"/>
      </rPr>
      <t>再生紙B</t>
    </r>
    <rPh sb="3" eb="6">
      <t>サイセイシ</t>
    </rPh>
    <rPh sb="11" eb="14">
      <t>サイセイシ</t>
    </rPh>
    <phoneticPr fontId="2"/>
  </si>
  <si>
    <r>
      <rPr>
        <sz val="10"/>
        <rFont val="ＭＳ Ｐゴシック"/>
        <family val="3"/>
        <charset val="128"/>
      </rPr>
      <t>厚紙</t>
    </r>
    <r>
      <rPr>
        <sz val="10"/>
        <rFont val="Courier New"/>
        <family val="3"/>
      </rPr>
      <t>3</t>
    </r>
    <phoneticPr fontId="2"/>
  </si>
  <si>
    <r>
      <rPr>
        <sz val="10"/>
        <rFont val="ＭＳ Ｐゴシック"/>
        <family val="3"/>
        <charset val="128"/>
      </rPr>
      <t>厚紙</t>
    </r>
    <r>
      <rPr>
        <sz val="10"/>
        <rFont val="Courier New"/>
        <family val="3"/>
      </rPr>
      <t>3(</t>
    </r>
    <r>
      <rPr>
        <sz val="10"/>
        <rFont val="ＭＳ Ｐゴシック"/>
        <family val="3"/>
        <charset val="128"/>
      </rPr>
      <t>うら</t>
    </r>
    <r>
      <rPr>
        <sz val="10"/>
        <rFont val="Courier New"/>
        <family val="3"/>
      </rPr>
      <t>)</t>
    </r>
    <phoneticPr fontId="2"/>
  </si>
  <si>
    <r>
      <rPr>
        <sz val="10"/>
        <rFont val="ＭＳ Ｐゴシック"/>
        <family val="3"/>
        <charset val="128"/>
      </rPr>
      <t>コート紙</t>
    </r>
    <r>
      <rPr>
        <sz val="10"/>
        <rFont val="Courier New"/>
        <family val="3"/>
      </rPr>
      <t>3</t>
    </r>
    <phoneticPr fontId="2"/>
  </si>
  <si>
    <r>
      <rPr>
        <sz val="10"/>
        <rFont val="ＭＳ Ｐゴシック"/>
        <family val="3"/>
        <charset val="128"/>
      </rPr>
      <t>コート紙</t>
    </r>
    <r>
      <rPr>
        <sz val="10"/>
        <rFont val="Courier New"/>
        <family val="3"/>
      </rPr>
      <t>3(</t>
    </r>
    <r>
      <rPr>
        <sz val="10"/>
        <rFont val="ＭＳ Ｐゴシック"/>
        <family val="3"/>
        <charset val="128"/>
      </rPr>
      <t>うら</t>
    </r>
    <r>
      <rPr>
        <sz val="10"/>
        <rFont val="Courier New"/>
        <family val="3"/>
      </rPr>
      <t>)</t>
    </r>
    <phoneticPr fontId="2"/>
  </si>
  <si>
    <t>envelopenormalSize0</t>
    <phoneticPr fontId="2"/>
  </si>
  <si>
    <t>envelopenormalSize1</t>
  </si>
  <si>
    <t>envelopenormalSize2</t>
  </si>
  <si>
    <t>envelopenormalSize3</t>
  </si>
  <si>
    <t>envelopenormalSize4</t>
  </si>
  <si>
    <r>
      <rPr>
        <sz val="10"/>
        <rFont val="ＭＳ Ｐゴシック"/>
        <family val="3"/>
        <charset val="128"/>
      </rPr>
      <t>○</t>
    </r>
    <phoneticPr fontId="2"/>
  </si>
  <si>
    <t>手差しトレイ（長尺仕様）</t>
    <rPh sb="0" eb="2">
      <t>テザ</t>
    </rPh>
    <rPh sb="7" eb="8">
      <t>チョウ</t>
    </rPh>
    <rPh sb="8" eb="9">
      <t>シャク</t>
    </rPh>
    <rPh sb="9" eb="11">
      <t>シヨウ</t>
    </rPh>
    <phoneticPr fontId="2"/>
  </si>
  <si>
    <t>longSmhSize</t>
    <phoneticPr fontId="2"/>
  </si>
  <si>
    <t>給紙トレイに設定可能な紙質</t>
    <rPh sb="0" eb="2">
      <t>キュウシ</t>
    </rPh>
    <rPh sb="6" eb="8">
      <t>セッテイ</t>
    </rPh>
    <rPh sb="8" eb="10">
      <t>カノウ</t>
    </rPh>
    <rPh sb="11" eb="13">
      <t>シシツ</t>
    </rPh>
    <phoneticPr fontId="2"/>
  </si>
  <si>
    <t>FX</t>
    <phoneticPr fontId="2"/>
  </si>
  <si>
    <t>AP</t>
    <phoneticPr fontId="2"/>
  </si>
  <si>
    <t>D2G-Finisher</t>
    <phoneticPr fontId="2"/>
  </si>
  <si>
    <t>Controller</t>
    <phoneticPr fontId="2"/>
  </si>
  <si>
    <t>PfVMediumWeight</t>
    <phoneticPr fontId="2"/>
  </si>
  <si>
    <t>Finisher</t>
    <phoneticPr fontId="2"/>
  </si>
  <si>
    <t>Cont</t>
    <phoneticPr fontId="2"/>
  </si>
  <si>
    <t>D2G-Fin</t>
    <phoneticPr fontId="2"/>
  </si>
  <si>
    <t>CH-Finisher</t>
    <phoneticPr fontId="2"/>
  </si>
  <si>
    <t>GPFA4-Fin</t>
    <phoneticPr fontId="2"/>
  </si>
  <si>
    <t>CH-Fin</t>
    <phoneticPr fontId="2"/>
  </si>
  <si>
    <r>
      <rPr>
        <sz val="10"/>
        <rFont val="ＭＳ Ｐゴシック"/>
        <family val="3"/>
        <charset val="128"/>
      </rPr>
      <t>○</t>
    </r>
  </si>
  <si>
    <r>
      <rPr>
        <sz val="10"/>
        <rFont val="ＭＳ Ｐゴシック"/>
        <family val="3"/>
        <charset val="128"/>
      </rPr>
      <t>コート紙</t>
    </r>
    <r>
      <rPr>
        <sz val="10"/>
        <rFont val="Courier New"/>
        <family val="3"/>
      </rPr>
      <t>1A</t>
    </r>
    <phoneticPr fontId="2"/>
  </si>
  <si>
    <r>
      <rPr>
        <sz val="9"/>
        <rFont val="ＭＳ Ｐゴシック"/>
        <family val="3"/>
        <charset val="128"/>
      </rPr>
      <t>画質制御分類</t>
    </r>
    <rPh sb="0" eb="2">
      <t>ガシツ</t>
    </rPh>
    <rPh sb="2" eb="4">
      <t>セイギョ</t>
    </rPh>
    <rPh sb="4" eb="6">
      <t>ブンルイ</t>
    </rPh>
    <phoneticPr fontId="2"/>
  </si>
  <si>
    <r>
      <rPr>
        <sz val="9"/>
        <rFont val="ＭＳ Ｐゴシック"/>
        <family val="3"/>
        <charset val="128"/>
      </rPr>
      <t>コート</t>
    </r>
    <r>
      <rPr>
        <sz val="9"/>
        <rFont val="Courier New"/>
        <family val="3"/>
      </rPr>
      <t>/</t>
    </r>
    <r>
      <rPr>
        <sz val="9"/>
        <rFont val="ＭＳ Ｐゴシック"/>
        <family val="3"/>
        <charset val="128"/>
      </rPr>
      <t>非コート</t>
    </r>
    <rPh sb="4" eb="5">
      <t>ヒ</t>
    </rPh>
    <phoneticPr fontId="2"/>
  </si>
  <si>
    <r>
      <rPr>
        <sz val="9"/>
        <rFont val="ＭＳ Ｐゴシック"/>
        <family val="3"/>
        <charset val="128"/>
      </rPr>
      <t>坪量範囲</t>
    </r>
    <rPh sb="0" eb="1">
      <t>ツボ</t>
    </rPh>
    <rPh sb="1" eb="2">
      <t>リョウ</t>
    </rPh>
    <rPh sb="2" eb="4">
      <t>ハンイ</t>
    </rPh>
    <phoneticPr fontId="2"/>
  </si>
  <si>
    <r>
      <rPr>
        <sz val="9"/>
        <rFont val="ＭＳ Ｐゴシック"/>
        <family val="3"/>
        <charset val="128"/>
      </rPr>
      <t>備考</t>
    </r>
    <phoneticPr fontId="2"/>
  </si>
  <si>
    <r>
      <rPr>
        <sz val="9"/>
        <rFont val="ＭＳ Ｐゴシック"/>
        <family val="3"/>
        <charset val="128"/>
      </rPr>
      <t xml:space="preserve">用紙の坪量分類
</t>
    </r>
    <r>
      <rPr>
        <sz val="9"/>
        <rFont val="Courier New"/>
        <family val="3"/>
      </rPr>
      <t>PfVMediumWeight(*1)</t>
    </r>
    <rPh sb="5" eb="7">
      <t>ブンルイ</t>
    </rPh>
    <phoneticPr fontId="2"/>
  </si>
  <si>
    <r>
      <rPr>
        <b/>
        <sz val="9"/>
        <rFont val="ＭＳ Ｐゴシック"/>
        <family val="3"/>
        <charset val="128"/>
      </rPr>
      <t>坪量クラスと制御分類の関係表</t>
    </r>
    <rPh sb="0" eb="1">
      <t>ツボ</t>
    </rPh>
    <rPh sb="1" eb="2">
      <t>リョウ</t>
    </rPh>
    <rPh sb="6" eb="8">
      <t>セイギョ</t>
    </rPh>
    <rPh sb="8" eb="10">
      <t>ブンルイ</t>
    </rPh>
    <rPh sb="11" eb="13">
      <t>カンケイ</t>
    </rPh>
    <rPh sb="13" eb="14">
      <t>ヒョウ</t>
    </rPh>
    <phoneticPr fontId="2"/>
  </si>
  <si>
    <r>
      <rPr>
        <sz val="9"/>
        <rFont val="ＭＳ Ｐゴシック"/>
        <family val="3"/>
        <charset val="128"/>
      </rPr>
      <t>本プロダクトでは坪量クラス分類をサポートしない。</t>
    </r>
    <rPh sb="0" eb="1">
      <t>ホン</t>
    </rPh>
    <rPh sb="8" eb="9">
      <t>ツボ</t>
    </rPh>
    <rPh sb="9" eb="10">
      <t>リョウ</t>
    </rPh>
    <rPh sb="13" eb="15">
      <t>ブンルイ</t>
    </rPh>
    <phoneticPr fontId="2"/>
  </si>
  <si>
    <r>
      <rPr>
        <sz val="9"/>
        <rFont val="ＭＳ Ｐゴシック"/>
        <family val="3"/>
        <charset val="128"/>
      </rPr>
      <t>坪量クラス</t>
    </r>
    <rPh sb="0" eb="1">
      <t>ツボ</t>
    </rPh>
    <rPh sb="1" eb="2">
      <t>リョウ</t>
    </rPh>
    <phoneticPr fontId="2"/>
  </si>
  <si>
    <r>
      <rPr>
        <sz val="9"/>
        <rFont val="ＭＳ Ｐゴシック"/>
        <family val="3"/>
        <charset val="128"/>
      </rPr>
      <t>制御分類</t>
    </r>
    <rPh sb="0" eb="2">
      <t>セイギョ</t>
    </rPh>
    <rPh sb="2" eb="4">
      <t>ブンルイ</t>
    </rPh>
    <phoneticPr fontId="2"/>
  </si>
  <si>
    <r>
      <rPr>
        <sz val="9"/>
        <rFont val="ＭＳ Ｐゴシック"/>
        <family val="3"/>
        <charset val="128"/>
      </rPr>
      <t>備考</t>
    </r>
    <phoneticPr fontId="2"/>
  </si>
  <si>
    <r>
      <t>(*1)</t>
    </r>
    <r>
      <rPr>
        <sz val="9"/>
        <rFont val="ＭＳ Ｐゴシック"/>
        <family val="3"/>
        <charset val="128"/>
      </rPr>
      <t>各プロダクトごとに下限～上限</t>
    </r>
    <r>
      <rPr>
        <sz val="9"/>
        <rFont val="Courier New"/>
        <family val="3"/>
      </rPr>
      <t>(gsm)</t>
    </r>
    <r>
      <rPr>
        <sz val="9"/>
        <rFont val="ＭＳ Ｐゴシック"/>
        <family val="3"/>
        <charset val="128"/>
      </rPr>
      <t>の範囲をもつ。</t>
    </r>
    <phoneticPr fontId="2"/>
  </si>
  <si>
    <r>
      <rPr>
        <sz val="9"/>
        <rFont val="ＭＳ Ｐゴシック"/>
        <family val="3"/>
        <charset val="128"/>
      </rPr>
      <t>非コート紙</t>
    </r>
    <rPh sb="0" eb="1">
      <t>ヒ</t>
    </rPh>
    <rPh sb="4" eb="5">
      <t>シ</t>
    </rPh>
    <phoneticPr fontId="2"/>
  </si>
  <si>
    <r>
      <rPr>
        <sz val="9"/>
        <rFont val="ＭＳ Ｐゴシック"/>
        <family val="3"/>
        <charset val="128"/>
      </rPr>
      <t>コート紙</t>
    </r>
    <rPh sb="3" eb="4">
      <t>シ</t>
    </rPh>
    <phoneticPr fontId="2"/>
  </si>
  <si>
    <r>
      <rPr>
        <sz val="9"/>
        <rFont val="ＭＳ Ｐゴシック"/>
        <family val="3"/>
        <charset val="128"/>
      </rPr>
      <t>～</t>
    </r>
    <r>
      <rPr>
        <sz val="9"/>
        <rFont val="Courier New"/>
        <family val="3"/>
      </rPr>
      <t>51</t>
    </r>
    <phoneticPr fontId="2"/>
  </si>
  <si>
    <r>
      <t>52</t>
    </r>
    <r>
      <rPr>
        <sz val="9"/>
        <rFont val="ＭＳ Ｐゴシック"/>
        <family val="3"/>
        <charset val="128"/>
      </rPr>
      <t>～</t>
    </r>
    <r>
      <rPr>
        <sz val="9"/>
        <rFont val="Courier New"/>
        <family val="3"/>
      </rPr>
      <t>80</t>
    </r>
    <phoneticPr fontId="2"/>
  </si>
  <si>
    <r>
      <t>81</t>
    </r>
    <r>
      <rPr>
        <sz val="9"/>
        <rFont val="ＭＳ Ｐゴシック"/>
        <family val="3"/>
        <charset val="128"/>
      </rPr>
      <t>～</t>
    </r>
    <r>
      <rPr>
        <sz val="9"/>
        <rFont val="Courier New"/>
        <family val="3"/>
      </rPr>
      <t>90</t>
    </r>
    <phoneticPr fontId="2"/>
  </si>
  <si>
    <r>
      <t>91</t>
    </r>
    <r>
      <rPr>
        <sz val="9"/>
        <rFont val="ＭＳ Ｐゴシック"/>
        <family val="3"/>
        <charset val="128"/>
      </rPr>
      <t>～</t>
    </r>
    <r>
      <rPr>
        <sz val="9"/>
        <rFont val="Courier New"/>
        <family val="3"/>
      </rPr>
      <t>105</t>
    </r>
    <phoneticPr fontId="2"/>
  </si>
  <si>
    <r>
      <t>106</t>
    </r>
    <r>
      <rPr>
        <sz val="9"/>
        <rFont val="ＭＳ Ｐゴシック"/>
        <family val="3"/>
        <charset val="128"/>
      </rPr>
      <t>～</t>
    </r>
    <r>
      <rPr>
        <sz val="9"/>
        <rFont val="Courier New"/>
        <family val="3"/>
      </rPr>
      <t>128</t>
    </r>
    <phoneticPr fontId="2"/>
  </si>
  <si>
    <r>
      <t>129</t>
    </r>
    <r>
      <rPr>
        <sz val="9"/>
        <rFont val="ＭＳ Ｐゴシック"/>
        <family val="3"/>
        <charset val="128"/>
      </rPr>
      <t>～</t>
    </r>
    <r>
      <rPr>
        <sz val="9"/>
        <rFont val="Courier New"/>
        <family val="3"/>
      </rPr>
      <t>150</t>
    </r>
    <phoneticPr fontId="2"/>
  </si>
  <si>
    <r>
      <t>151</t>
    </r>
    <r>
      <rPr>
        <sz val="9"/>
        <rFont val="ＭＳ Ｐゴシック"/>
        <family val="3"/>
        <charset val="128"/>
      </rPr>
      <t>～</t>
    </r>
    <r>
      <rPr>
        <sz val="9"/>
        <rFont val="Courier New"/>
        <family val="3"/>
      </rPr>
      <t>176</t>
    </r>
    <phoneticPr fontId="2"/>
  </si>
  <si>
    <r>
      <t>177</t>
    </r>
    <r>
      <rPr>
        <sz val="9"/>
        <rFont val="ＭＳ Ｐゴシック"/>
        <family val="3"/>
        <charset val="128"/>
      </rPr>
      <t>～</t>
    </r>
    <r>
      <rPr>
        <sz val="9"/>
        <rFont val="Courier New"/>
        <family val="3"/>
      </rPr>
      <t>220</t>
    </r>
    <phoneticPr fontId="2"/>
  </si>
  <si>
    <r>
      <t>221</t>
    </r>
    <r>
      <rPr>
        <sz val="9"/>
        <rFont val="ＭＳ Ｐゴシック"/>
        <family val="3"/>
        <charset val="128"/>
      </rPr>
      <t>～</t>
    </r>
    <r>
      <rPr>
        <sz val="9"/>
        <rFont val="Courier New"/>
        <family val="3"/>
      </rPr>
      <t>256</t>
    </r>
    <phoneticPr fontId="2"/>
  </si>
  <si>
    <r>
      <t>257</t>
    </r>
    <r>
      <rPr>
        <sz val="9"/>
        <rFont val="ＭＳ Ｐゴシック"/>
        <family val="3"/>
        <charset val="128"/>
      </rPr>
      <t>～</t>
    </r>
    <r>
      <rPr>
        <sz val="9"/>
        <rFont val="Courier New"/>
        <family val="3"/>
      </rPr>
      <t>300</t>
    </r>
    <phoneticPr fontId="2"/>
  </si>
  <si>
    <r>
      <t>301</t>
    </r>
    <r>
      <rPr>
        <sz val="9"/>
        <rFont val="ＭＳ Ｐゴシック"/>
        <family val="3"/>
        <charset val="128"/>
      </rPr>
      <t>～</t>
    </r>
    <r>
      <rPr>
        <sz val="9"/>
        <rFont val="Courier New"/>
        <family val="3"/>
      </rPr>
      <t>350</t>
    </r>
    <phoneticPr fontId="2"/>
  </si>
  <si>
    <r>
      <t>トレイ</t>
    </r>
    <r>
      <rPr>
        <sz val="10"/>
        <rFont val="Courier New"/>
        <family val="3"/>
      </rPr>
      <t>1(</t>
    </r>
    <r>
      <rPr>
        <sz val="10"/>
        <rFont val="ＭＳ Ｐゴシック"/>
        <family val="3"/>
        <charset val="128"/>
      </rPr>
      <t>封筒トレイ</t>
    </r>
    <r>
      <rPr>
        <sz val="10"/>
        <rFont val="Courier New"/>
        <family val="3"/>
      </rPr>
      <t>)</t>
    </r>
    <r>
      <rPr>
        <sz val="10"/>
        <rFont val="ＭＳ Ｐゴシック"/>
        <family val="3"/>
        <charset val="128"/>
      </rPr>
      <t>定形</t>
    </r>
    <rPh sb="5" eb="7">
      <t>フウトウ</t>
    </rPh>
    <rPh sb="11" eb="13">
      <t>テイケイ</t>
    </rPh>
    <phoneticPr fontId="2"/>
  </si>
  <si>
    <r>
      <t>トレイ</t>
    </r>
    <r>
      <rPr>
        <sz val="10"/>
        <rFont val="Courier New"/>
        <family val="3"/>
      </rPr>
      <t>1(</t>
    </r>
    <r>
      <rPr>
        <sz val="10"/>
        <rFont val="ＭＳ Ｐゴシック"/>
        <family val="3"/>
        <charset val="128"/>
      </rPr>
      <t>封筒トレイ</t>
    </r>
    <r>
      <rPr>
        <sz val="10"/>
        <rFont val="Courier New"/>
        <family val="3"/>
      </rPr>
      <t>)</t>
    </r>
    <r>
      <rPr>
        <sz val="10"/>
        <rFont val="ＭＳ Ｐゴシック"/>
        <family val="3"/>
        <charset val="128"/>
      </rPr>
      <t>自動</t>
    </r>
    <rPh sb="5" eb="7">
      <t>フウトウ</t>
    </rPh>
    <rPh sb="11" eb="13">
      <t>ジドウ</t>
    </rPh>
    <phoneticPr fontId="2"/>
  </si>
  <si>
    <t>●(1)</t>
    <phoneticPr fontId="2"/>
  </si>
  <si>
    <t>◎(1)</t>
    <phoneticPr fontId="2"/>
  </si>
  <si>
    <r>
      <t>GB</t>
    </r>
    <r>
      <rPr>
        <sz val="10"/>
        <rFont val="ＭＳ Ｐゴシック"/>
        <family val="3"/>
        <charset val="128"/>
      </rPr>
      <t>フィニッシャ</t>
    </r>
    <phoneticPr fontId="2"/>
  </si>
  <si>
    <t>gbFinStkTraySize</t>
    <phoneticPr fontId="2"/>
  </si>
  <si>
    <r>
      <t>GB</t>
    </r>
    <r>
      <rPr>
        <sz val="10"/>
        <rFont val="ＭＳ Ｐゴシック"/>
        <family val="3"/>
        <charset val="128"/>
      </rPr>
      <t>フィニッシャスタッカトレイ</t>
    </r>
    <phoneticPr fontId="2"/>
  </si>
  <si>
    <t>gbFinOffsetSize</t>
    <phoneticPr fontId="2"/>
  </si>
  <si>
    <r>
      <t>GB</t>
    </r>
    <r>
      <rPr>
        <sz val="10"/>
        <rFont val="ＭＳ Ｐゴシック"/>
        <family val="3"/>
        <charset val="128"/>
      </rPr>
      <t>フィニッシャ
スタッカトレイ</t>
    </r>
    <phoneticPr fontId="2"/>
  </si>
  <si>
    <t>gbFinStplSize</t>
    <phoneticPr fontId="2"/>
  </si>
  <si>
    <t>gbFinSadlStplSize</t>
    <phoneticPr fontId="2"/>
  </si>
  <si>
    <t>gbFinStplLessSize</t>
    <phoneticPr fontId="2"/>
  </si>
  <si>
    <t>gbFin2hPchSize</t>
    <phoneticPr fontId="2"/>
  </si>
  <si>
    <t>gbFin3hPchSize</t>
    <phoneticPr fontId="2"/>
  </si>
  <si>
    <t>gbFin4hPchSize</t>
    <phoneticPr fontId="2"/>
  </si>
  <si>
    <t>gbFinSw4hPchSize</t>
    <phoneticPr fontId="2"/>
  </si>
  <si>
    <t>gbFinBiFoldSize</t>
    <phoneticPr fontId="2"/>
  </si>
  <si>
    <t>gbFinStkTrayMedType</t>
    <phoneticPr fontId="2"/>
  </si>
  <si>
    <t>gbFinOffsetMedType</t>
    <phoneticPr fontId="2"/>
  </si>
  <si>
    <t>gbFinStplMedType</t>
    <phoneticPr fontId="2"/>
  </si>
  <si>
    <t>gbFinSadlStplMedType</t>
    <phoneticPr fontId="2"/>
  </si>
  <si>
    <t>gbFinStplLessMedType</t>
    <phoneticPr fontId="2"/>
  </si>
  <si>
    <r>
      <t>（針有り）
フロント</t>
    </r>
    <r>
      <rPr>
        <sz val="10"/>
        <rFont val="Courier New"/>
        <family val="3"/>
      </rPr>
      <t>/</t>
    </r>
    <r>
      <rPr>
        <sz val="10"/>
        <rFont val="ＭＳ Ｐゴシック"/>
        <family val="3"/>
        <charset val="128"/>
      </rPr>
      <t>リア</t>
    </r>
    <r>
      <rPr>
        <sz val="10"/>
        <rFont val="Courier New"/>
        <family val="3"/>
      </rPr>
      <t>/</t>
    </r>
    <r>
      <rPr>
        <sz val="10"/>
        <rFont val="ＭＳ Ｐゴシック"/>
        <family val="3"/>
        <charset val="128"/>
      </rPr>
      <t>デュアル</t>
    </r>
    <phoneticPr fontId="2"/>
  </si>
  <si>
    <t>gbFinPchMedType</t>
    <phoneticPr fontId="2"/>
  </si>
  <si>
    <t>gbFinBiFoldMedType</t>
    <phoneticPr fontId="2"/>
  </si>
  <si>
    <t>補足（SB-Fin）</t>
    <rPh sb="0" eb="2">
      <t>ホソク</t>
    </rPh>
    <phoneticPr fontId="2"/>
  </si>
  <si>
    <t>ここは非表示</t>
    <rPh sb="3" eb="6">
      <t>ヒヒョウジ</t>
    </rPh>
    <phoneticPr fontId="2"/>
  </si>
  <si>
    <t>小冊子
Booklet
本文</t>
    <rPh sb="0" eb="3">
      <t>ショウサッシ</t>
    </rPh>
    <rPh sb="13" eb="15">
      <t>ホンブン</t>
    </rPh>
    <phoneticPr fontId="2"/>
  </si>
  <si>
    <t>小冊子
Booklet
表紙
(イメージあり)</t>
    <rPh sb="0" eb="3">
      <t>ショウサッシ</t>
    </rPh>
    <phoneticPr fontId="2"/>
  </si>
  <si>
    <t>小冊子
Booklet
白紙表紙</t>
    <rPh sb="0" eb="3">
      <t>ショウサッシ</t>
    </rPh>
    <rPh sb="13" eb="15">
      <t>ハクシ</t>
    </rPh>
    <rPh sb="15" eb="17">
      <t>ヒョウシ</t>
    </rPh>
    <phoneticPr fontId="2"/>
  </si>
  <si>
    <t>SB-Fin
小冊子トレイ</t>
    <phoneticPr fontId="2"/>
  </si>
  <si>
    <t>CH-Fin
小冊子トレイ</t>
    <phoneticPr fontId="2"/>
  </si>
  <si>
    <t xml:space="preserve">
＊本文用紙
＊両面
＊中綴じ
＊中折り</t>
    <rPh sb="2" eb="4">
      <t>ホンブン</t>
    </rPh>
    <rPh sb="4" eb="6">
      <t>ヨウシ</t>
    </rPh>
    <rPh sb="8" eb="10">
      <t>リョウメン</t>
    </rPh>
    <rPh sb="12" eb="13">
      <t>ナカ</t>
    </rPh>
    <rPh sb="13" eb="14">
      <t>ト</t>
    </rPh>
    <rPh sb="18" eb="19">
      <t>オ</t>
    </rPh>
    <phoneticPr fontId="2"/>
  </si>
  <si>
    <t xml:space="preserve">
＊両面
＊中綴じ
＊中折り</t>
    <rPh sb="3" eb="5">
      <t>リョウメン</t>
    </rPh>
    <rPh sb="7" eb="8">
      <t>ナカ</t>
    </rPh>
    <rPh sb="8" eb="9">
      <t>ト</t>
    </rPh>
    <rPh sb="13" eb="14">
      <t>オ</t>
    </rPh>
    <phoneticPr fontId="2"/>
  </si>
  <si>
    <t xml:space="preserve">
＊中綴じ
＊中折り</t>
    <rPh sb="4" eb="5">
      <t>ナカ</t>
    </rPh>
    <rPh sb="5" eb="6">
      <t>ト</t>
    </rPh>
    <rPh sb="10" eb="11">
      <t>オ</t>
    </rPh>
    <phoneticPr fontId="2"/>
  </si>
  <si>
    <t>本文用紙</t>
    <rPh sb="0" eb="2">
      <t>ホンブン</t>
    </rPh>
    <rPh sb="2" eb="4">
      <t>ヨウシ</t>
    </rPh>
    <phoneticPr fontId="2"/>
  </si>
  <si>
    <t>中折り</t>
    <rPh sb="0" eb="1">
      <t>ナカ</t>
    </rPh>
    <rPh sb="1" eb="2">
      <t>オ</t>
    </rPh>
    <phoneticPr fontId="2"/>
  </si>
  <si>
    <t>signatureMediaType_SB_Fin_Booklet_Text</t>
    <phoneticPr fontId="2"/>
  </si>
  <si>
    <t>signatureMediaType_SB_Fin_Booklet_Cover</t>
    <phoneticPr fontId="2"/>
  </si>
  <si>
    <t>signatureMediaType_SB_Fin_Booklet_WhiteCover</t>
    <phoneticPr fontId="2"/>
  </si>
  <si>
    <t>×</t>
    <phoneticPr fontId="2"/>
  </si>
  <si>
    <t>×</t>
    <phoneticPr fontId="2"/>
  </si>
  <si>
    <t>補足（GB-Fin）</t>
    <rPh sb="0" eb="2">
      <t>ホソク</t>
    </rPh>
    <phoneticPr fontId="2"/>
  </si>
  <si>
    <t>signatureMediaType_GB_Fin_Booklet_Text</t>
    <phoneticPr fontId="2"/>
  </si>
  <si>
    <t>signatureMediaType_GB_Fin_Booklet_Cover</t>
    <phoneticPr fontId="2"/>
  </si>
  <si>
    <t>signatureMediaType_GB_Fin_Booklet_WhiteCover</t>
    <phoneticPr fontId="2"/>
  </si>
  <si>
    <t>GB-Fin
小冊子トレイ</t>
    <phoneticPr fontId="2"/>
  </si>
  <si>
    <t>○</t>
    <phoneticPr fontId="2"/>
  </si>
  <si>
    <r>
      <t>GB</t>
    </r>
    <r>
      <rPr>
        <sz val="10"/>
        <rFont val="ＭＳ Ｐゴシック"/>
        <family val="3"/>
        <charset val="128"/>
      </rPr>
      <t>フィニッシャスタッカトレイ</t>
    </r>
    <phoneticPr fontId="2"/>
  </si>
  <si>
    <r>
      <rPr>
        <sz val="10"/>
        <rFont val="ＭＳ Ｐゴシック"/>
        <family val="3"/>
        <charset val="128"/>
      </rPr>
      <t>コート紙</t>
    </r>
    <r>
      <rPr>
        <sz val="10"/>
        <rFont val="Courier New"/>
        <family val="3"/>
      </rPr>
      <t>1(</t>
    </r>
    <r>
      <rPr>
        <sz val="10"/>
        <rFont val="ＭＳ Ｐゴシック"/>
        <family val="3"/>
        <charset val="128"/>
      </rPr>
      <t>うら</t>
    </r>
    <r>
      <rPr>
        <sz val="10"/>
        <rFont val="Courier New"/>
        <family val="3"/>
      </rPr>
      <t>)</t>
    </r>
    <phoneticPr fontId="2"/>
  </si>
  <si>
    <r>
      <rPr>
        <sz val="10"/>
        <rFont val="ＭＳ Ｐゴシック"/>
        <family val="3"/>
        <charset val="128"/>
      </rPr>
      <t>コート紙</t>
    </r>
    <r>
      <rPr>
        <sz val="10"/>
        <rFont val="Courier New"/>
        <family val="3"/>
      </rPr>
      <t>2(</t>
    </r>
    <r>
      <rPr>
        <sz val="10"/>
        <rFont val="ＭＳ Ｐゴシック"/>
        <family val="3"/>
        <charset val="128"/>
      </rPr>
      <t>うら</t>
    </r>
    <r>
      <rPr>
        <sz val="10"/>
        <rFont val="Courier New"/>
        <family val="3"/>
      </rPr>
      <t>)</t>
    </r>
    <phoneticPr fontId="2"/>
  </si>
  <si>
    <r>
      <t>GB</t>
    </r>
    <r>
      <rPr>
        <sz val="10"/>
        <rFont val="ＭＳ Ｐゴシック"/>
        <family val="3"/>
        <charset val="128"/>
      </rPr>
      <t>フィニッシャ</t>
    </r>
    <phoneticPr fontId="2"/>
  </si>
  <si>
    <r>
      <t>US2</t>
    </r>
    <r>
      <rPr>
        <sz val="10"/>
        <rFont val="ＭＳ Ｐゴシック"/>
        <family val="3"/>
        <charset val="128"/>
      </rPr>
      <t xml:space="preserve">穴を含む
</t>
    </r>
    <r>
      <rPr>
        <sz val="10"/>
        <rFont val="Courier New"/>
        <family val="3"/>
      </rPr>
      <t>W210.0mm</t>
    </r>
    <r>
      <rPr>
        <sz val="10"/>
        <rFont val="ＭＳ Ｐゴシック"/>
        <family val="3"/>
        <charset val="128"/>
      </rPr>
      <t>未満は</t>
    </r>
    <r>
      <rPr>
        <sz val="10"/>
        <rFont val="Courier New"/>
        <family val="3"/>
      </rPr>
      <t>L257.0mm</t>
    </r>
    <r>
      <rPr>
        <sz val="10"/>
        <rFont val="ＭＳ Ｐゴシック"/>
        <family val="3"/>
        <charset val="128"/>
      </rPr>
      <t>以下で対応可。</t>
    </r>
    <phoneticPr fontId="2"/>
  </si>
  <si>
    <r>
      <t>W210.0mm</t>
    </r>
    <r>
      <rPr>
        <sz val="10"/>
        <rFont val="ＭＳ Ｐゴシック"/>
        <family val="3"/>
        <charset val="128"/>
      </rPr>
      <t>未満は</t>
    </r>
    <r>
      <rPr>
        <sz val="10"/>
        <rFont val="Courier New"/>
        <family val="3"/>
      </rPr>
      <t>L257.0mm</t>
    </r>
    <r>
      <rPr>
        <sz val="10"/>
        <rFont val="ＭＳ Ｐゴシック"/>
        <family val="3"/>
        <charset val="128"/>
      </rPr>
      <t>以下で対応可。</t>
    </r>
    <phoneticPr fontId="2"/>
  </si>
  <si>
    <r>
      <t xml:space="preserve">ハガキの用紙サイズを選択した場合、下記の用紙種類のみ同時指定できる。
　[厚紙1、厚紙1（うら）、
  厚紙2、厚紙2（うら）、
  厚紙3、厚紙3（うら）
　はがき]
</t>
    </r>
    <r>
      <rPr>
        <sz val="10"/>
        <rFont val="ＭＳ Ｐゴシック"/>
        <family val="3"/>
        <charset val="128"/>
      </rPr>
      <t xml:space="preserve">また、封筒トレイの場合は、上記に加え「封筒」も同時指定できる
尚、ハガキサイズを選択した場合のデフォルトの紙質は"はがき"とする。
</t>
    </r>
    <rPh sb="88" eb="90">
      <t>フウトウ</t>
    </rPh>
    <rPh sb="94" eb="96">
      <t>バアイ</t>
    </rPh>
    <rPh sb="98" eb="100">
      <t>ジョウキ</t>
    </rPh>
    <rPh sb="101" eb="102">
      <t>クワ</t>
    </rPh>
    <rPh sb="104" eb="106">
      <t>フウトウ</t>
    </rPh>
    <rPh sb="108" eb="110">
      <t>ドウジ</t>
    </rPh>
    <rPh sb="110" eb="112">
      <t>シテイ</t>
    </rPh>
    <phoneticPr fontId="2"/>
  </si>
  <si>
    <r>
      <t>OHP</t>
    </r>
    <r>
      <rPr>
        <sz val="10"/>
        <rFont val="ＭＳ Ｐゴシック"/>
        <family val="3"/>
        <charset val="128"/>
      </rPr>
      <t>フィルム</t>
    </r>
  </si>
  <si>
    <r>
      <rPr>
        <sz val="10"/>
        <rFont val="ＭＳ Ｐゴシック"/>
        <family val="3"/>
        <charset val="128"/>
      </rPr>
      <t>○</t>
    </r>
  </si>
  <si>
    <r>
      <t>（針無し）
フロント</t>
    </r>
    <r>
      <rPr>
        <sz val="10"/>
        <color rgb="FFBFBFBF"/>
        <rFont val="Courier New"/>
        <family val="3"/>
      </rPr>
      <t>/</t>
    </r>
    <r>
      <rPr>
        <sz val="10"/>
        <color rgb="FFBFBFBF"/>
        <rFont val="ＭＳ Ｐゴシック"/>
        <family val="3"/>
        <charset val="128"/>
      </rPr>
      <t>リア</t>
    </r>
    <r>
      <rPr>
        <sz val="10"/>
        <rFont val="Courier New"/>
        <family val="3"/>
      </rPr>
      <t>/</t>
    </r>
    <r>
      <rPr>
        <sz val="10"/>
        <rFont val="ＭＳ Ｐゴシック"/>
        <family val="3"/>
        <charset val="128"/>
      </rPr>
      <t>デュアル</t>
    </r>
    <rPh sb="1" eb="2">
      <t>ハリ</t>
    </rPh>
    <rPh sb="2" eb="3">
      <t>ナ</t>
    </rPh>
    <phoneticPr fontId="2"/>
  </si>
  <si>
    <r>
      <t>（針無し）
フロント</t>
    </r>
    <r>
      <rPr>
        <sz val="10"/>
        <color rgb="FFBFBFBF"/>
        <rFont val="Courier New"/>
        <family val="3"/>
      </rPr>
      <t>/</t>
    </r>
    <r>
      <rPr>
        <sz val="10"/>
        <color rgb="FFBFBFBF"/>
        <rFont val="ＭＳ Ｐゴシック"/>
        <family val="3"/>
        <charset val="128"/>
      </rPr>
      <t>リア</t>
    </r>
    <r>
      <rPr>
        <sz val="10"/>
        <rFont val="Courier New"/>
        <family val="3"/>
      </rPr>
      <t>/</t>
    </r>
    <r>
      <rPr>
        <sz val="10"/>
        <rFont val="ＭＳ Ｐゴシック"/>
        <family val="3"/>
        <charset val="128"/>
      </rPr>
      <t>デュアル</t>
    </r>
    <rPh sb="2" eb="3">
      <t>ナ</t>
    </rPh>
    <phoneticPr fontId="2"/>
  </si>
  <si>
    <r>
      <rPr>
        <sz val="10"/>
        <rFont val="Courier New"/>
        <family val="3"/>
      </rPr>
      <t>SW&amp;Elec.</t>
    </r>
    <r>
      <rPr>
        <sz val="10"/>
        <rFont val="ＭＳ Ｐゴシック"/>
        <family val="3"/>
        <charset val="128"/>
      </rPr>
      <t>開本　コントローラ開発部　</t>
    </r>
    <r>
      <rPr>
        <sz val="10"/>
        <rFont val="Courier New"/>
        <family val="3"/>
      </rPr>
      <t>CTDC</t>
    </r>
    <r>
      <rPr>
        <sz val="10"/>
        <rFont val="ＭＳ Ｐゴシック"/>
        <family val="3"/>
        <charset val="128"/>
      </rPr>
      <t>開統</t>
    </r>
    <r>
      <rPr>
        <sz val="10"/>
        <rFont val="Courier New"/>
        <family val="3"/>
      </rPr>
      <t>G</t>
    </r>
    <r>
      <rPr>
        <sz val="10"/>
        <rFont val="ＭＳ Ｐゴシック"/>
        <family val="3"/>
        <charset val="128"/>
      </rPr>
      <t>　</t>
    </r>
    <r>
      <rPr>
        <sz val="10"/>
        <rFont val="Courier New"/>
        <family val="3"/>
      </rPr>
      <t xml:space="preserve">2G </t>
    </r>
    <r>
      <rPr>
        <sz val="10"/>
        <rFont val="ＭＳ Ｐゴシック"/>
        <family val="3"/>
        <charset val="128"/>
      </rPr>
      <t>荒井宏康</t>
    </r>
    <rPh sb="32" eb="34">
      <t>アライ</t>
    </rPh>
    <rPh sb="34" eb="36">
      <t>ヒロヤス</t>
    </rPh>
    <phoneticPr fontId="2"/>
  </si>
  <si>
    <t>A(JP)
B(AP)</t>
    <phoneticPr fontId="2"/>
  </si>
  <si>
    <t>C(EU)
D(SA)</t>
    <phoneticPr fontId="2"/>
  </si>
  <si>
    <t>E(NA)</t>
    <phoneticPr fontId="2"/>
  </si>
  <si>
    <t>A(JP)</t>
    <phoneticPr fontId="2"/>
  </si>
  <si>
    <t>B(AP)</t>
    <phoneticPr fontId="2"/>
  </si>
  <si>
    <t>C(EU)</t>
    <phoneticPr fontId="2"/>
  </si>
  <si>
    <t>D(SA)</t>
    <phoneticPr fontId="2"/>
  </si>
  <si>
    <t>B(AP)
C(EU)
D(SA)
E(NA)</t>
    <phoneticPr fontId="2"/>
  </si>
  <si>
    <t>C(EU)
D(SA)
E(NA)</t>
    <phoneticPr fontId="2"/>
  </si>
  <si>
    <t>A(JP)
B(AP)
C(EU)
D(SA)
E(NA)</t>
    <phoneticPr fontId="2"/>
  </si>
  <si>
    <t>intrayMediaType_A</t>
    <phoneticPr fontId="2"/>
  </si>
  <si>
    <t>intrayMediaType_B</t>
    <phoneticPr fontId="2"/>
  </si>
  <si>
    <t>intrayMediaType_C</t>
    <phoneticPr fontId="2"/>
  </si>
  <si>
    <t>intrayMediaType_D</t>
    <phoneticPr fontId="2"/>
  </si>
  <si>
    <r>
      <t xml:space="preserve">備考
</t>
    </r>
    <r>
      <rPr>
        <sz val="10"/>
        <rFont val="Courier New"/>
        <family val="3"/>
      </rPr>
      <t>[</t>
    </r>
    <r>
      <rPr>
        <sz val="10"/>
        <rFont val="ＭＳ Ｐゴシック"/>
        <family val="3"/>
        <charset val="128"/>
      </rPr>
      <t>★</t>
    </r>
    <r>
      <rPr>
        <sz val="10"/>
        <rFont val="Courier New"/>
        <family val="3"/>
      </rPr>
      <t>]AP</t>
    </r>
    <r>
      <rPr>
        <sz val="10"/>
        <rFont val="ＭＳ Ｐゴシック"/>
        <family val="3"/>
        <charset val="128"/>
      </rPr>
      <t>のみサポートされるが、いずれも</t>
    </r>
    <r>
      <rPr>
        <sz val="10"/>
        <rFont val="Courier New"/>
        <family val="3"/>
      </rPr>
      <t>IOT Device</t>
    </r>
    <r>
      <rPr>
        <sz val="10"/>
        <rFont val="ＭＳ Ｐゴシック"/>
        <family val="3"/>
        <charset val="128"/>
      </rPr>
      <t>で禁則がかかることはない。</t>
    </r>
    <rPh sb="0" eb="2">
      <t>ビコウ</t>
    </rPh>
    <phoneticPr fontId="2"/>
  </si>
  <si>
    <r>
      <t xml:space="preserve">備考
</t>
    </r>
    <r>
      <rPr>
        <sz val="9"/>
        <rFont val="Courier New"/>
        <family val="3"/>
      </rPr>
      <t>[</t>
    </r>
    <r>
      <rPr>
        <sz val="9"/>
        <rFont val="ＭＳ Ｐゴシック"/>
        <family val="3"/>
        <charset val="128"/>
      </rPr>
      <t>★</t>
    </r>
    <r>
      <rPr>
        <sz val="9"/>
        <rFont val="Courier New"/>
        <family val="3"/>
      </rPr>
      <t>]AP</t>
    </r>
    <r>
      <rPr>
        <sz val="9"/>
        <rFont val="ＭＳ Ｐゴシック"/>
        <family val="3"/>
        <charset val="128"/>
      </rPr>
      <t>のみサポートされるが、いずれもIOT Deviceで禁則がかかることはない。</t>
    </r>
    <rPh sb="0" eb="2">
      <t>ビコウ</t>
    </rPh>
    <phoneticPr fontId="2"/>
  </si>
  <si>
    <t>D1.0.0-D1-w1</t>
    <phoneticPr fontId="2"/>
  </si>
  <si>
    <t>FX,AP:"X"</t>
    <phoneticPr fontId="2"/>
  </si>
  <si>
    <t>FX,AP:"2"</t>
    <phoneticPr fontId="2"/>
  </si>
  <si>
    <t>FX,AP:"3"</t>
    <phoneticPr fontId="2"/>
  </si>
  <si>
    <r>
      <t>Product name =</t>
    </r>
    <r>
      <rPr>
        <b/>
        <i/>
        <shadow/>
        <sz val="20"/>
        <rFont val="Arial"/>
        <family val="2"/>
      </rPr>
      <t xml:space="preserve"> </t>
    </r>
    <r>
      <rPr>
        <b/>
        <i/>
        <shadow/>
        <sz val="20"/>
        <color indexed="10"/>
        <rFont val="Arial"/>
        <family val="2"/>
      </rPr>
      <t>Shobu</t>
    </r>
    <phoneticPr fontId="2"/>
  </si>
  <si>
    <r>
      <t>・</t>
    </r>
    <r>
      <rPr>
        <sz val="10"/>
        <rFont val="Courier New"/>
        <family val="3"/>
      </rPr>
      <t>IOT Device</t>
    </r>
    <r>
      <rPr>
        <sz val="10"/>
        <rFont val="ＭＳ Ｐゴシック"/>
        <family val="3"/>
        <charset val="128"/>
      </rPr>
      <t>では普通紙（うら）、厚紙</t>
    </r>
    <r>
      <rPr>
        <sz val="10"/>
        <rFont val="Courier New"/>
        <family val="3"/>
      </rPr>
      <t>1</t>
    </r>
    <r>
      <rPr>
        <sz val="10"/>
        <rFont val="ＭＳ Ｐゴシック"/>
        <family val="3"/>
        <charset val="128"/>
      </rPr>
      <t>、厚紙</t>
    </r>
    <r>
      <rPr>
        <sz val="10"/>
        <rFont val="Courier New"/>
        <family val="3"/>
      </rPr>
      <t>2</t>
    </r>
    <r>
      <rPr>
        <sz val="10"/>
        <rFont val="ＭＳ Ｐゴシック"/>
        <family val="3"/>
        <charset val="128"/>
      </rPr>
      <t>に対する中綴じ</t>
    </r>
    <r>
      <rPr>
        <sz val="10"/>
        <rFont val="Courier New"/>
        <family val="3"/>
      </rPr>
      <t>/</t>
    </r>
    <r>
      <rPr>
        <sz val="10"/>
        <rFont val="ＭＳ Ｐゴシック"/>
        <family val="3"/>
        <charset val="128"/>
      </rPr>
      <t>中折り禁則はかけない。また中綴じ</t>
    </r>
    <r>
      <rPr>
        <sz val="10"/>
        <rFont val="Courier New"/>
        <family val="3"/>
      </rPr>
      <t>/</t>
    </r>
    <r>
      <rPr>
        <sz val="10"/>
        <rFont val="ＭＳ Ｐゴシック"/>
        <family val="3"/>
        <charset val="128"/>
      </rPr>
      <t>中折りに関する各サービスの規定は各サービスの</t>
    </r>
    <r>
      <rPr>
        <sz val="10"/>
        <rFont val="Courier New"/>
        <family val="3"/>
      </rPr>
      <t>FF</t>
    </r>
    <r>
      <rPr>
        <sz val="10"/>
        <rFont val="ＭＳ Ｐゴシック"/>
        <family val="3"/>
        <charset val="128"/>
      </rPr>
      <t>を参照。</t>
    </r>
    <rPh sb="29" eb="30">
      <t>タイ</t>
    </rPh>
    <rPh sb="32" eb="33">
      <t>ナカ</t>
    </rPh>
    <rPh sb="33" eb="34">
      <t>ト</t>
    </rPh>
    <rPh sb="36" eb="37">
      <t>ナカ</t>
    </rPh>
    <rPh sb="37" eb="38">
      <t>オ</t>
    </rPh>
    <phoneticPr fontId="2"/>
  </si>
  <si>
    <t>MNテリトリではダイアグサービスのみ指定可能。</t>
    <phoneticPr fontId="2"/>
  </si>
  <si>
    <r>
      <t>(2)</t>
    </r>
    <r>
      <rPr>
        <sz val="10"/>
        <rFont val="ＭＳ Ｐゴシック"/>
        <family val="3"/>
        <charset val="128"/>
      </rPr>
      <t>小冊子</t>
    </r>
    <r>
      <rPr>
        <sz val="10"/>
        <rFont val="Courier New"/>
        <family val="3"/>
      </rPr>
      <t>(</t>
    </r>
    <r>
      <rPr>
        <sz val="10"/>
        <rFont val="ＭＳ Ｐゴシック"/>
        <family val="3"/>
        <charset val="128"/>
      </rPr>
      <t>中折り、中綴じ</t>
    </r>
    <r>
      <rPr>
        <sz val="10"/>
        <rFont val="Courier New"/>
        <family val="3"/>
      </rPr>
      <t>)</t>
    </r>
    <r>
      <rPr>
        <sz val="10"/>
        <rFont val="ＭＳ Ｐゴシック"/>
        <family val="3"/>
        <charset val="128"/>
      </rPr>
      <t>の白紙表紙のみ</t>
    </r>
    <r>
      <rPr>
        <sz val="10"/>
        <rFont val="Segoe UI Symbol"/>
        <family val="3"/>
      </rPr>
      <t>○</t>
    </r>
    <r>
      <rPr>
        <sz val="10"/>
        <rFont val="ＭＳ Ｐゴシック"/>
        <family val="3"/>
        <charset val="128"/>
      </rPr>
      <t>で、それ以外は</t>
    </r>
    <r>
      <rPr>
        <sz val="10"/>
        <rFont val="Courier New"/>
        <family val="3"/>
      </rPr>
      <t>×</t>
    </r>
    <r>
      <rPr>
        <sz val="10"/>
        <rFont val="ＭＳ Ｐゴシック"/>
        <family val="3"/>
        <charset val="128"/>
      </rPr>
      <t>だが</t>
    </r>
    <r>
      <rPr>
        <sz val="10"/>
        <rFont val="Courier New"/>
        <family val="3"/>
      </rPr>
      <t>IOT Device</t>
    </r>
    <r>
      <rPr>
        <sz val="10"/>
        <rFont val="ＭＳ Ｐゴシック"/>
        <family val="3"/>
        <charset val="128"/>
      </rPr>
      <t xml:space="preserve">において禁則がかかることはない。
</t>
    </r>
    <r>
      <rPr>
        <sz val="10"/>
        <color indexed="55"/>
        <rFont val="ＭＳ Ｐゴシック"/>
        <family val="3"/>
        <charset val="128"/>
      </rPr>
      <t>・厚紙</t>
    </r>
    <r>
      <rPr>
        <sz val="10"/>
        <color indexed="55"/>
        <rFont val="Courier New"/>
        <family val="3"/>
      </rPr>
      <t>3</t>
    </r>
    <r>
      <rPr>
        <sz val="10"/>
        <color indexed="55"/>
        <rFont val="ＭＳ Ｐゴシック"/>
        <family val="3"/>
        <charset val="128"/>
      </rPr>
      <t>系はオプション構成によりどこにも排出できないケースが存在する。そのようなジョブが指定された場合、ジョブはキャンセルされる。</t>
    </r>
    <rPh sb="61" eb="63">
      <t>アツガミ</t>
    </rPh>
    <phoneticPr fontId="2"/>
  </si>
  <si>
    <r>
      <t>(1)</t>
    </r>
    <r>
      <rPr>
        <sz val="10"/>
        <rFont val="ＭＳ Ｐゴシック"/>
        <family val="3"/>
        <charset val="128"/>
      </rPr>
      <t>小冊子</t>
    </r>
    <r>
      <rPr>
        <sz val="10"/>
        <rFont val="Courier New"/>
        <family val="3"/>
      </rPr>
      <t>(</t>
    </r>
    <r>
      <rPr>
        <sz val="10"/>
        <rFont val="ＭＳ Ｐゴシック"/>
        <family val="3"/>
        <charset val="128"/>
      </rPr>
      <t>中折り、中綴じ</t>
    </r>
    <r>
      <rPr>
        <sz val="10"/>
        <rFont val="Courier New"/>
        <family val="3"/>
      </rPr>
      <t>)</t>
    </r>
    <r>
      <rPr>
        <sz val="10"/>
        <rFont val="ＭＳ Ｐゴシック"/>
        <family val="3"/>
        <charset val="128"/>
      </rPr>
      <t>の表紙のみ</t>
    </r>
    <r>
      <rPr>
        <sz val="10"/>
        <rFont val="Segoe UI Symbol"/>
        <family val="3"/>
      </rPr>
      <t>○</t>
    </r>
    <r>
      <rPr>
        <sz val="10"/>
        <rFont val="ＭＳ Ｐゴシック"/>
        <family val="3"/>
        <charset val="128"/>
      </rPr>
      <t>で、それ以外は</t>
    </r>
    <r>
      <rPr>
        <sz val="10"/>
        <rFont val="Courier New"/>
        <family val="3"/>
      </rPr>
      <t>×</t>
    </r>
    <r>
      <rPr>
        <sz val="10"/>
        <rFont val="ＭＳ Ｐゴシック"/>
        <family val="3"/>
        <charset val="128"/>
      </rPr>
      <t>だが</t>
    </r>
    <r>
      <rPr>
        <sz val="10"/>
        <rFont val="Courier New"/>
        <family val="3"/>
      </rPr>
      <t>IOT Device</t>
    </r>
    <r>
      <rPr>
        <sz val="10"/>
        <rFont val="ＭＳ Ｐゴシック"/>
        <family val="3"/>
        <charset val="128"/>
      </rPr>
      <t>において禁則がかかることはない。</t>
    </r>
    <phoneticPr fontId="2"/>
  </si>
  <si>
    <r>
      <t>・普通紙</t>
    </r>
    <r>
      <rPr>
        <sz val="10"/>
        <rFont val="Courier New"/>
        <family val="3"/>
      </rPr>
      <t>(</t>
    </r>
    <r>
      <rPr>
        <sz val="10"/>
        <rFont val="ＭＳ Ｐゴシック"/>
        <family val="3"/>
        <charset val="128"/>
      </rPr>
      <t>うら</t>
    </r>
    <r>
      <rPr>
        <sz val="10"/>
        <rFont val="Courier New"/>
        <family val="3"/>
      </rPr>
      <t>)</t>
    </r>
    <r>
      <rPr>
        <sz val="10"/>
        <rFont val="ＭＳ Ｐゴシック"/>
        <family val="3"/>
        <charset val="128"/>
      </rPr>
      <t xml:space="preserve">は「うら紙」と同義。
・左記の坪量範囲は能力としての範囲を指している。これらがユーザに表示されるときは、そのとき実際に設定されている画質制御分類値に応じたものとなる
</t>
    </r>
    <r>
      <rPr>
        <sz val="10"/>
        <rFont val="Courier New"/>
        <family val="3"/>
      </rPr>
      <t>(3)</t>
    </r>
    <r>
      <rPr>
        <sz val="10"/>
        <rFont val="ＭＳ Ｐゴシック"/>
        <family val="3"/>
        <charset val="128"/>
      </rPr>
      <t>小冊子</t>
    </r>
    <r>
      <rPr>
        <sz val="10"/>
        <rFont val="Courier New"/>
        <family val="3"/>
      </rPr>
      <t>(</t>
    </r>
    <r>
      <rPr>
        <sz val="10"/>
        <rFont val="ＭＳ Ｐゴシック"/>
        <family val="3"/>
        <charset val="128"/>
      </rPr>
      <t>中折り</t>
    </r>
    <r>
      <rPr>
        <sz val="10"/>
        <rFont val="Courier New"/>
        <family val="3"/>
      </rPr>
      <t>)</t>
    </r>
    <r>
      <rPr>
        <sz val="10"/>
        <rFont val="ＭＳ Ｐゴシック"/>
        <family val="3"/>
        <charset val="128"/>
      </rPr>
      <t>は禁止だが、二つ折りとしては許可する。</t>
    </r>
    <rPh sb="12" eb="13">
      <t>ガミ</t>
    </rPh>
    <rPh sb="15" eb="17">
      <t>ドウギ</t>
    </rPh>
    <rPh sb="20" eb="22">
      <t>サキ</t>
    </rPh>
    <rPh sb="28" eb="30">
      <t>ノウリョク</t>
    </rPh>
    <rPh sb="34" eb="36">
      <t>ハンイ</t>
    </rPh>
    <rPh sb="37" eb="38">
      <t>サ</t>
    </rPh>
    <rPh sb="67" eb="69">
      <t>セッテイ</t>
    </rPh>
    <rPh sb="108" eb="109">
      <t>フタ</t>
    </rPh>
    <rPh sb="110" eb="111">
      <t>オ</t>
    </rPh>
    <rPh sb="116" eb="118">
      <t>キョカ</t>
    </rPh>
    <phoneticPr fontId="2"/>
  </si>
  <si>
    <r>
      <t>・</t>
    </r>
    <r>
      <rPr>
        <sz val="10"/>
        <rFont val="Courier New"/>
        <family val="3"/>
      </rPr>
      <t>A</t>
    </r>
    <r>
      <rPr>
        <sz val="10"/>
        <rFont val="ＭＳ Ｐゴシック"/>
        <family val="3"/>
        <charset val="128"/>
      </rPr>
      <t>、</t>
    </r>
    <r>
      <rPr>
        <sz val="10"/>
        <rFont val="Courier New"/>
        <family val="3"/>
      </rPr>
      <t>B</t>
    </r>
    <r>
      <rPr>
        <sz val="10"/>
        <rFont val="ＭＳ Ｐゴシック"/>
        <family val="3"/>
        <charset val="128"/>
      </rPr>
      <t>、</t>
    </r>
    <r>
      <rPr>
        <sz val="10"/>
        <rFont val="Courier New"/>
        <family val="3"/>
      </rPr>
      <t>C</t>
    </r>
    <r>
      <rPr>
        <sz val="10"/>
        <rFont val="ＭＳ Ｐゴシック"/>
        <family val="3"/>
        <charset val="128"/>
      </rPr>
      <t>、</t>
    </r>
    <r>
      <rPr>
        <sz val="10"/>
        <rFont val="Courier New"/>
        <family val="3"/>
      </rPr>
      <t>D</t>
    </r>
    <r>
      <rPr>
        <sz val="10"/>
        <rFont val="ＭＳ Ｐゴシック"/>
        <family val="3"/>
        <charset val="128"/>
      </rPr>
      <t>、</t>
    </r>
    <r>
      <rPr>
        <sz val="10"/>
        <rFont val="Courier New"/>
        <family val="3"/>
      </rPr>
      <t>E</t>
    </r>
    <r>
      <rPr>
        <sz val="10"/>
        <rFont val="ＭＳ Ｐゴシック"/>
        <family val="3"/>
        <charset val="128"/>
      </rPr>
      <t>は用紙サイズグループで、それぞれ</t>
    </r>
    <r>
      <rPr>
        <sz val="10"/>
        <rFont val="Courier New"/>
        <family val="3"/>
      </rPr>
      <t>JP</t>
    </r>
    <r>
      <rPr>
        <sz val="10"/>
        <rFont val="ＭＳ Ｐゴシック"/>
        <family val="3"/>
        <charset val="128"/>
      </rPr>
      <t>、</t>
    </r>
    <r>
      <rPr>
        <sz val="10"/>
        <rFont val="Courier New"/>
        <family val="3"/>
      </rPr>
      <t>AP</t>
    </r>
    <r>
      <rPr>
        <sz val="10"/>
        <rFont val="ＭＳ Ｐゴシック"/>
        <family val="3"/>
        <charset val="128"/>
      </rPr>
      <t>、</t>
    </r>
    <r>
      <rPr>
        <sz val="10"/>
        <rFont val="Courier New"/>
        <family val="3"/>
      </rPr>
      <t>EU</t>
    </r>
    <r>
      <rPr>
        <sz val="10"/>
        <rFont val="ＭＳ Ｐゴシック"/>
        <family val="3"/>
        <charset val="128"/>
      </rPr>
      <t>、</t>
    </r>
    <r>
      <rPr>
        <sz val="10"/>
        <rFont val="Courier New"/>
        <family val="3"/>
      </rPr>
      <t>SA</t>
    </r>
    <r>
      <rPr>
        <sz val="10"/>
        <rFont val="ＭＳ Ｐゴシック"/>
        <family val="3"/>
        <charset val="128"/>
      </rPr>
      <t>、</t>
    </r>
    <r>
      <rPr>
        <sz val="10"/>
        <rFont val="Courier New"/>
        <family val="3"/>
      </rPr>
      <t>NA</t>
    </r>
    <r>
      <rPr>
        <sz val="10"/>
        <rFont val="ＭＳ Ｐゴシック"/>
        <family val="3"/>
        <charset val="128"/>
      </rPr>
      <t>であることを意味する。</t>
    </r>
    <r>
      <rPr>
        <sz val="10"/>
        <rFont val="Courier New"/>
        <family val="3"/>
      </rPr>
      <t xml:space="preserve">
</t>
    </r>
    <r>
      <rPr>
        <sz val="10"/>
        <rFont val="ＭＳ Ｐゴシック"/>
        <family val="3"/>
        <charset val="128"/>
      </rPr>
      <t>・記号の後ろに</t>
    </r>
    <r>
      <rPr>
        <sz val="10"/>
        <rFont val="Courier New"/>
        <family val="3"/>
      </rPr>
      <t>'</t>
    </r>
    <r>
      <rPr>
        <sz val="10"/>
        <rFont val="ＭＳ Ｐゴシック"/>
        <family val="3"/>
        <charset val="128"/>
      </rPr>
      <t>がつく場合はシステムデータ（国コード）による切り替えがおこなわれることを意味しており、中国、香港の場合は「中国本土」、その他の国の場合は「台湾」のものが採用される。切り替えについての詳細はプロダクト編および共通編の</t>
    </r>
    <r>
      <rPr>
        <sz val="10"/>
        <rFont val="Courier New"/>
        <family val="3"/>
      </rPr>
      <t>4.1.1</t>
    </r>
    <r>
      <rPr>
        <sz val="10"/>
        <rFont val="ＭＳ Ｐゴシック"/>
        <family val="3"/>
        <charset val="128"/>
      </rPr>
      <t>節「用紙サイズ」を参照。
・封筒トレイそのもの、および封筒トレイにセットされるサイズはいずれもシステムデータによって認識される
・封筒トレイに設定できる用紙サイズはトレイ</t>
    </r>
    <r>
      <rPr>
        <sz val="10"/>
        <rFont val="Courier New"/>
        <family val="3"/>
      </rPr>
      <t>1(</t>
    </r>
    <r>
      <rPr>
        <sz val="10"/>
        <rFont val="ＭＳ Ｐゴシック"/>
        <family val="3"/>
        <charset val="128"/>
      </rPr>
      <t>封筒トレイ</t>
    </r>
    <r>
      <rPr>
        <sz val="10"/>
        <rFont val="Courier New"/>
        <family val="3"/>
      </rPr>
      <t>)</t>
    </r>
    <r>
      <rPr>
        <sz val="10"/>
        <rFont val="ＭＳ Ｐゴシック"/>
        <family val="3"/>
        <charset val="128"/>
      </rPr>
      <t>の列を参照。
・封筒トレイで</t>
    </r>
    <r>
      <rPr>
        <sz val="10"/>
        <rFont val="Courier New"/>
        <family val="3"/>
      </rPr>
      <t>IOT Device</t>
    </r>
    <r>
      <rPr>
        <sz val="10"/>
        <rFont val="ＭＳ Ｐゴシック"/>
        <family val="3"/>
        <charset val="128"/>
      </rPr>
      <t>に指示できる定型サイズは、トレイ</t>
    </r>
    <r>
      <rPr>
        <sz val="10"/>
        <rFont val="Courier New"/>
        <family val="3"/>
      </rPr>
      <t>1</t>
    </r>
    <r>
      <rPr>
        <sz val="10"/>
        <rFont val="ＭＳ Ｐゴシック"/>
        <family val="3"/>
        <charset val="128"/>
      </rPr>
      <t>定型サイズと封筒トレイ定型サイズの和に等しい。トレイ</t>
    </r>
    <r>
      <rPr>
        <sz val="10"/>
        <rFont val="Courier New"/>
        <family val="3"/>
      </rPr>
      <t xml:space="preserve">1 + </t>
    </r>
    <r>
      <rPr>
        <sz val="10"/>
        <rFont val="ＭＳ Ｐゴシック"/>
        <family val="3"/>
        <charset val="128"/>
      </rPr>
      <t>トレイ</t>
    </r>
    <r>
      <rPr>
        <sz val="10"/>
        <rFont val="Courier New"/>
        <family val="3"/>
      </rPr>
      <t>1(</t>
    </r>
    <r>
      <rPr>
        <sz val="10"/>
        <rFont val="ＭＳ Ｐゴシック"/>
        <family val="3"/>
        <charset val="128"/>
      </rPr>
      <t>封筒トレイ</t>
    </r>
    <r>
      <rPr>
        <sz val="10"/>
        <rFont val="Courier New"/>
        <family val="3"/>
      </rPr>
      <t>)</t>
    </r>
    <r>
      <rPr>
        <sz val="10"/>
        <rFont val="ＭＳ Ｐゴシック"/>
        <family val="3"/>
        <charset val="128"/>
      </rPr>
      <t>の列を参照。</t>
    </r>
    <r>
      <rPr>
        <sz val="10"/>
        <color indexed="55"/>
        <rFont val="Courier New"/>
        <family val="3"/>
      </rPr>
      <t xml:space="preserve">
</t>
    </r>
    <r>
      <rPr>
        <sz val="10"/>
        <rFont val="ＭＳ Ｐゴシック"/>
        <family val="3"/>
        <charset val="128"/>
      </rPr>
      <t>・副走査長が</t>
    </r>
    <r>
      <rPr>
        <sz val="10"/>
        <rFont val="Courier New"/>
        <family val="3"/>
      </rPr>
      <t>483.0mm</t>
    </r>
    <r>
      <rPr>
        <sz val="10"/>
        <rFont val="ＭＳ Ｐゴシック"/>
        <family val="3"/>
        <charset val="128"/>
      </rPr>
      <t>を超える用紙は長尺用紙と扱われ、そのとき指定できる用紙種類は厚紙</t>
    </r>
    <r>
      <rPr>
        <sz val="10"/>
        <rFont val="Courier New"/>
        <family val="3"/>
      </rPr>
      <t>1,2</t>
    </r>
    <r>
      <rPr>
        <sz val="10"/>
        <rFont val="ＭＳ Ｐゴシック"/>
        <family val="3"/>
        <charset val="128"/>
      </rPr>
      <t xml:space="preserve">系のみとなる。
</t>
    </r>
    <r>
      <rPr>
        <sz val="10"/>
        <rFont val="Courier New"/>
        <family val="3"/>
      </rPr>
      <t>(1)</t>
    </r>
    <r>
      <rPr>
        <sz val="10"/>
        <rFont val="ＭＳ Ｐゴシック"/>
        <family val="3"/>
        <charset val="128"/>
      </rPr>
      <t>～</t>
    </r>
    <r>
      <rPr>
        <sz val="10"/>
        <rFont val="Courier New"/>
        <family val="3"/>
      </rPr>
      <t>(3)</t>
    </r>
    <r>
      <rPr>
        <sz val="10"/>
        <rFont val="ＭＳ Ｐゴシック"/>
        <family val="3"/>
        <charset val="128"/>
      </rPr>
      <t xml:space="preserve">：それぞれシステムデータ（オルタネート設定）によって検知サイズが切り替わることを意味する。初期値が◎で、切り替えにより可能な値が●。
</t>
    </r>
    <rPh sb="11" eb="13">
      <t>ヨウシ</t>
    </rPh>
    <rPh sb="46" eb="48">
      <t>イミ</t>
    </rPh>
    <rPh sb="53" eb="55">
      <t>キゴウ</t>
    </rPh>
    <rPh sb="74" eb="75">
      <t>クニ</t>
    </rPh>
    <rPh sb="96" eb="98">
      <t>イミ</t>
    </rPh>
    <rPh sb="103" eb="105">
      <t>チュウゴク</t>
    </rPh>
    <rPh sb="106" eb="108">
      <t>ホンコン</t>
    </rPh>
    <rPh sb="109" eb="111">
      <t>バアイ</t>
    </rPh>
    <rPh sb="113" eb="115">
      <t>チュウゴク</t>
    </rPh>
    <rPh sb="115" eb="117">
      <t>ホンド</t>
    </rPh>
    <rPh sb="121" eb="122">
      <t>タ</t>
    </rPh>
    <rPh sb="123" eb="124">
      <t>クニ</t>
    </rPh>
    <rPh sb="125" eb="127">
      <t>バアイ</t>
    </rPh>
    <rPh sb="129" eb="131">
      <t>タイワン</t>
    </rPh>
    <rPh sb="136" eb="138">
      <t>サイヨウ</t>
    </rPh>
    <rPh sb="142" eb="143">
      <t>キ</t>
    </rPh>
    <rPh sb="144" eb="145">
      <t>カ</t>
    </rPh>
    <rPh sb="151" eb="153">
      <t>ショウサイ</t>
    </rPh>
    <rPh sb="159" eb="160">
      <t>ヘン</t>
    </rPh>
    <rPh sb="163" eb="165">
      <t>キョウツウ</t>
    </rPh>
    <rPh sb="165" eb="166">
      <t>ヘン</t>
    </rPh>
    <rPh sb="172" eb="173">
      <t>セツ</t>
    </rPh>
    <rPh sb="174" eb="176">
      <t>ヨウシ</t>
    </rPh>
    <rPh sb="181" eb="183">
      <t>サンショウ</t>
    </rPh>
    <phoneticPr fontId="2"/>
  </si>
  <si>
    <t>関連</t>
    <rPh sb="0" eb="2">
      <t>カンレン</t>
    </rPh>
    <phoneticPr fontId="2"/>
  </si>
  <si>
    <r>
      <t>トレイ</t>
    </r>
    <r>
      <rPr>
        <sz val="10"/>
        <rFont val="Courier New"/>
        <family val="3"/>
      </rPr>
      <t>6</t>
    </r>
    <r>
      <rPr>
        <sz val="10"/>
        <rFont val="ＭＳ Ｐゴシック"/>
        <family val="3"/>
        <charset val="128"/>
      </rPr>
      <t>（</t>
    </r>
    <r>
      <rPr>
        <sz val="10"/>
        <rFont val="Courier New"/>
        <family val="3"/>
      </rPr>
      <t>2.1</t>
    </r>
    <r>
      <rPr>
        <sz val="10"/>
        <rFont val="ＭＳ Ｐゴシック"/>
        <family val="3"/>
        <charset val="128"/>
      </rPr>
      <t>）</t>
    </r>
    <phoneticPr fontId="2"/>
  </si>
  <si>
    <r>
      <t>トレイ</t>
    </r>
    <r>
      <rPr>
        <sz val="10"/>
        <rFont val="Courier New"/>
        <family val="3"/>
      </rPr>
      <t>6
(HCF2.1)</t>
    </r>
    <phoneticPr fontId="2"/>
  </si>
  <si>
    <r>
      <t>GC</t>
    </r>
    <r>
      <rPr>
        <sz val="10"/>
        <rFont val="ＭＳ Ｐゴシック"/>
        <family val="3"/>
        <charset val="128"/>
      </rPr>
      <t>フィニッシャ</t>
    </r>
    <phoneticPr fontId="2"/>
  </si>
  <si>
    <t>gcFinTopTrayMedType</t>
    <phoneticPr fontId="2"/>
  </si>
  <si>
    <t>gcFinStkTrayMedType</t>
    <phoneticPr fontId="2"/>
  </si>
  <si>
    <t>gcFinBklTrayMedType</t>
    <phoneticPr fontId="2"/>
  </si>
  <si>
    <t>gcFinTriFoldTrayMedType</t>
    <phoneticPr fontId="2"/>
  </si>
  <si>
    <t>gcFinOffsetMedType</t>
    <phoneticPr fontId="2"/>
  </si>
  <si>
    <r>
      <t>GC</t>
    </r>
    <r>
      <rPr>
        <sz val="10"/>
        <rFont val="ＭＳ Ｐゴシック"/>
        <family val="3"/>
        <charset val="128"/>
      </rPr>
      <t>フィニッシャスタッカトレイ</t>
    </r>
    <phoneticPr fontId="2"/>
  </si>
  <si>
    <r>
      <t>GC</t>
    </r>
    <r>
      <rPr>
        <sz val="10"/>
        <rFont val="ＭＳ Ｐゴシック"/>
        <family val="3"/>
        <charset val="128"/>
      </rPr>
      <t>フィニッシャ
スタッカトレイ</t>
    </r>
    <phoneticPr fontId="2"/>
  </si>
  <si>
    <r>
      <t>（針有り）
フロント</t>
    </r>
    <r>
      <rPr>
        <sz val="8"/>
        <rFont val="Courier New"/>
        <family val="3"/>
      </rPr>
      <t>/</t>
    </r>
    <r>
      <rPr>
        <sz val="8"/>
        <rFont val="ＭＳ Ｐゴシック"/>
        <family val="3"/>
        <charset val="128"/>
      </rPr>
      <t>リア</t>
    </r>
    <r>
      <rPr>
        <sz val="8"/>
        <rFont val="Courier New"/>
        <family val="3"/>
      </rPr>
      <t>/</t>
    </r>
    <r>
      <rPr>
        <sz val="8"/>
        <rFont val="ＭＳ Ｐゴシック"/>
        <family val="3"/>
        <charset val="128"/>
      </rPr>
      <t>デュアル</t>
    </r>
    <r>
      <rPr>
        <sz val="8"/>
        <rFont val="Courier New"/>
        <family val="3"/>
      </rPr>
      <t>/4</t>
    </r>
    <r>
      <rPr>
        <sz val="8"/>
        <rFont val="ＭＳ Ｐゴシック"/>
        <family val="3"/>
        <charset val="128"/>
      </rPr>
      <t>ヵ所</t>
    </r>
    <rPh sb="21" eb="22">
      <t>ショ</t>
    </rPh>
    <phoneticPr fontId="2"/>
  </si>
  <si>
    <r>
      <t>（針無し）
フロント</t>
    </r>
    <r>
      <rPr>
        <sz val="8"/>
        <rFont val="Courier New"/>
        <family val="3"/>
      </rPr>
      <t>/</t>
    </r>
    <r>
      <rPr>
        <sz val="8"/>
        <rFont val="ＭＳ Ｐゴシック"/>
        <family val="3"/>
        <charset val="128"/>
      </rPr>
      <t>リア</t>
    </r>
    <r>
      <rPr>
        <sz val="8"/>
        <rFont val="Courier New"/>
        <family val="3"/>
      </rPr>
      <t>/</t>
    </r>
    <r>
      <rPr>
        <sz val="8"/>
        <rFont val="ＭＳ Ｐゴシック"/>
        <family val="3"/>
        <charset val="128"/>
      </rPr>
      <t>デュアル</t>
    </r>
    <phoneticPr fontId="2"/>
  </si>
  <si>
    <t>gcFinStplLessMedType</t>
    <phoneticPr fontId="2"/>
  </si>
  <si>
    <t>gcFinStplMedType</t>
    <phoneticPr fontId="2"/>
  </si>
  <si>
    <r>
      <t>GC</t>
    </r>
    <r>
      <rPr>
        <sz val="10"/>
        <rFont val="ＭＳ Ｐゴシック"/>
        <family val="3"/>
        <charset val="128"/>
      </rPr>
      <t>フィニッシャ小冊子トレイ</t>
    </r>
    <rPh sb="8" eb="11">
      <t>ショウサッシ</t>
    </rPh>
    <phoneticPr fontId="2"/>
  </si>
  <si>
    <t>gcFinSadlStplMedType</t>
    <phoneticPr fontId="2"/>
  </si>
  <si>
    <r>
      <t>GC</t>
    </r>
    <r>
      <rPr>
        <sz val="10"/>
        <rFont val="ＭＳ Ｐゴシック"/>
        <family val="3"/>
        <charset val="128"/>
      </rPr>
      <t>フィニッシャトップ</t>
    </r>
    <r>
      <rPr>
        <sz val="10"/>
        <rFont val="Courier New"/>
        <family val="3"/>
      </rPr>
      <t>/</t>
    </r>
    <r>
      <rPr>
        <sz val="10"/>
        <rFont val="ＭＳ Ｐゴシック"/>
        <family val="3"/>
        <charset val="128"/>
      </rPr>
      <t>スタッカトレイ</t>
    </r>
    <phoneticPr fontId="2"/>
  </si>
  <si>
    <t>gcFinPchMedType</t>
    <phoneticPr fontId="2"/>
  </si>
  <si>
    <r>
      <t>GC</t>
    </r>
    <r>
      <rPr>
        <sz val="10"/>
        <rFont val="ＭＳ Ｐゴシック"/>
        <family val="3"/>
        <charset val="128"/>
      </rPr>
      <t>フィニッシャ小冊子トレイ</t>
    </r>
    <phoneticPr fontId="2"/>
  </si>
  <si>
    <r>
      <t>GC</t>
    </r>
    <r>
      <rPr>
        <sz val="10"/>
        <rFont val="ＭＳ Ｐゴシック"/>
        <family val="3"/>
        <charset val="128"/>
      </rPr>
      <t>フィニッシャ三つ折り排出トレイ</t>
    </r>
    <phoneticPr fontId="2"/>
  </si>
  <si>
    <t>gcFinZFoldMedType</t>
    <phoneticPr fontId="2"/>
  </si>
  <si>
    <t>補足（GC-Fin）</t>
    <rPh sb="0" eb="2">
      <t>ホソク</t>
    </rPh>
    <phoneticPr fontId="2"/>
  </si>
  <si>
    <t>signatureMediaType_GC_Fin_Booklet_Text</t>
    <phoneticPr fontId="2"/>
  </si>
  <si>
    <t>signatureMediaType_GC_Fin_Booklet_Cover</t>
    <phoneticPr fontId="2"/>
  </si>
  <si>
    <t>signatureMediaType_GC_Fin_Booklet_WhiteCover</t>
    <phoneticPr fontId="2"/>
  </si>
  <si>
    <t>ステープル機能(針有り）</t>
    <rPh sb="5" eb="7">
      <t>キノウ</t>
    </rPh>
    <rPh sb="8" eb="9">
      <t>ハリ</t>
    </rPh>
    <rPh sb="9" eb="10">
      <t>ア</t>
    </rPh>
    <phoneticPr fontId="2"/>
  </si>
  <si>
    <t>ステープル機能(針無し）</t>
    <rPh sb="5" eb="7">
      <t>キノウ</t>
    </rPh>
    <rPh sb="9" eb="10">
      <t>ナシ</t>
    </rPh>
    <phoneticPr fontId="2"/>
  </si>
  <si>
    <t>gcFinTopTraySize</t>
    <phoneticPr fontId="2"/>
  </si>
  <si>
    <t>gcFinStkTraySize</t>
    <phoneticPr fontId="2"/>
  </si>
  <si>
    <t>gcFinBklTraySize</t>
    <phoneticPr fontId="2"/>
  </si>
  <si>
    <t>gcFinTriFoldTraySize</t>
    <phoneticPr fontId="2"/>
  </si>
  <si>
    <t>gcFinOffsetSize</t>
    <phoneticPr fontId="2"/>
  </si>
  <si>
    <t>（針有り）
フロント/リア/デュアル</t>
    <rPh sb="1" eb="2">
      <t>ハリ</t>
    </rPh>
    <rPh sb="2" eb="3">
      <t>ア</t>
    </rPh>
    <phoneticPr fontId="2"/>
  </si>
  <si>
    <r>
      <t>（針無し）
フロント</t>
    </r>
    <r>
      <rPr>
        <sz val="10"/>
        <rFont val="Courier New"/>
        <family val="3"/>
      </rPr>
      <t>/</t>
    </r>
    <r>
      <rPr>
        <sz val="10"/>
        <rFont val="ＭＳ Ｐゴシック"/>
        <family val="3"/>
        <charset val="128"/>
      </rPr>
      <t>リア</t>
    </r>
    <r>
      <rPr>
        <sz val="10"/>
        <rFont val="Courier New"/>
        <family val="3"/>
      </rPr>
      <t>/</t>
    </r>
    <r>
      <rPr>
        <sz val="10"/>
        <rFont val="ＭＳ Ｐゴシック"/>
        <family val="3"/>
        <charset val="128"/>
      </rPr>
      <t>デュアル</t>
    </r>
    <phoneticPr fontId="2"/>
  </si>
  <si>
    <t>gcFinStplLessSize</t>
    <phoneticPr fontId="2"/>
  </si>
  <si>
    <t>gcFinStplSize</t>
    <phoneticPr fontId="2"/>
  </si>
  <si>
    <r>
      <t>GC</t>
    </r>
    <r>
      <rPr>
        <sz val="10"/>
        <rFont val="ＭＳ Ｐゴシック"/>
        <family val="3"/>
        <charset val="128"/>
      </rPr>
      <t>フィニッシャ
トップ</t>
    </r>
    <r>
      <rPr>
        <sz val="10"/>
        <rFont val="Courier New"/>
        <family val="3"/>
      </rPr>
      <t>/</t>
    </r>
    <r>
      <rPr>
        <sz val="10"/>
        <rFont val="ＭＳ Ｐゴシック"/>
        <family val="3"/>
        <charset val="128"/>
      </rPr>
      <t>スタッカトレイ</t>
    </r>
    <phoneticPr fontId="2"/>
  </si>
  <si>
    <t>gcFin2hPchSize</t>
    <phoneticPr fontId="2"/>
  </si>
  <si>
    <t>gcFin3hPchSize</t>
    <phoneticPr fontId="2"/>
  </si>
  <si>
    <t>gcFin4hPchSize</t>
    <phoneticPr fontId="2"/>
  </si>
  <si>
    <t>gcFinSw4hPchSize</t>
    <phoneticPr fontId="2"/>
  </si>
  <si>
    <t>gcFinZFoldSize</t>
    <phoneticPr fontId="2"/>
  </si>
  <si>
    <t>DDF-IOT-PF3-Botan-Apx-D1.0.0をBaseにShobuを作成</t>
    <rPh sb="40" eb="42">
      <t>サクセイ</t>
    </rPh>
    <phoneticPr fontId="2"/>
  </si>
  <si>
    <t>×</t>
    <phoneticPr fontId="2"/>
  </si>
  <si>
    <t>normalA4Size1</t>
    <phoneticPr fontId="2"/>
  </si>
  <si>
    <t>normalA4Size2</t>
    <phoneticPr fontId="2"/>
  </si>
  <si>
    <t>normalA4Size3</t>
    <phoneticPr fontId="2"/>
  </si>
  <si>
    <t>トレイ1(A4トレイ)
Low機</t>
    <rPh sb="15" eb="16">
      <t>キ</t>
    </rPh>
    <phoneticPr fontId="2"/>
  </si>
  <si>
    <r>
      <t>トレイ</t>
    </r>
    <r>
      <rPr>
        <sz val="10"/>
        <rFont val="Courier New"/>
        <family val="3"/>
      </rPr>
      <t>1</t>
    </r>
    <r>
      <rPr>
        <sz val="10"/>
        <rFont val="ＭＳ Ｐゴシック"/>
        <family val="3"/>
        <charset val="128"/>
      </rPr>
      <t xml:space="preserve">
High機、Mid機</t>
    </r>
    <rPh sb="9" eb="10">
      <t>キ</t>
    </rPh>
    <rPh sb="14" eb="15">
      <t>キ</t>
    </rPh>
    <phoneticPr fontId="2"/>
  </si>
  <si>
    <r>
      <t>二つ折りとの禁則は共通編の</t>
    </r>
    <r>
      <rPr>
        <sz val="10"/>
        <rFont val="Courier New"/>
        <family val="3"/>
      </rPr>
      <t>4.4.9</t>
    </r>
    <r>
      <rPr>
        <sz val="10"/>
        <rFont val="ＭＳ Ｐゴシック"/>
        <family val="3"/>
        <charset val="128"/>
      </rPr>
      <t>節「</t>
    </r>
    <r>
      <rPr>
        <sz val="10"/>
        <rFont val="Courier New"/>
        <family val="3"/>
      </rPr>
      <t>PGS1266SGP</t>
    </r>
    <r>
      <rPr>
        <sz val="10"/>
        <rFont val="ＭＳ Ｐゴシック"/>
        <family val="3"/>
        <charset val="128"/>
      </rPr>
      <t>指定と</t>
    </r>
    <r>
      <rPr>
        <sz val="10"/>
        <rFont val="Courier New"/>
        <family val="3"/>
      </rPr>
      <t>Trimming</t>
    </r>
    <r>
      <rPr>
        <sz val="10"/>
        <rFont val="ＭＳ Ｐゴシック"/>
        <family val="3"/>
        <charset val="128"/>
      </rPr>
      <t>指定」、</t>
    </r>
    <r>
      <rPr>
        <sz val="10"/>
        <rFont val="Courier New"/>
        <family val="3"/>
      </rPr>
      <t>4.4.13</t>
    </r>
    <r>
      <rPr>
        <sz val="10"/>
        <rFont val="ＭＳ Ｐゴシック"/>
        <family val="3"/>
        <charset val="128"/>
      </rPr>
      <t>節「組み合わせ禁止に対する解決規則」を参照。</t>
    </r>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</si>
</sst>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1" formatCode="_ * #,##0_ ;_ * \-#,##0_ ;_ * &quot;-&quot;_ ;_ @_ "/>
    <numFmt numFmtId="176" formatCode="0.0_);[Red]\(0.0\)"/>
    <numFmt numFmtId="177" formatCode="0.0_ "/>
    <numFmt numFmtId="178" formatCode=";;;"/>
    <numFmt numFmtId="179" formatCode="_ * #,##0.0_ ;_ * \-#,##0.0_ ;_ * &quot;-&quot;?_ ;_ @_ "/>
  </numFmts>
  <fonts count="53">
    <font>
      <sz val="10"/>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10"/>
      <name val="Courier New"/>
      <family val="3"/>
    </font>
    <font>
      <sz val="10"/>
      <name val="ＭＳ Ｐゴシック"/>
      <family val="3"/>
      <charset val="128"/>
    </font>
    <font>
      <b/>
      <i/>
      <shadow/>
      <sz val="18"/>
      <name val="Arial"/>
      <family val="2"/>
    </font>
    <font>
      <b/>
      <i/>
      <sz val="12"/>
      <name val="Arial"/>
      <family val="2"/>
    </font>
    <font>
      <b/>
      <i/>
      <shadow/>
      <sz val="18"/>
      <name val="ＭＳ Ｐゴシック"/>
      <family val="3"/>
      <charset val="128"/>
    </font>
    <font>
      <b/>
      <sz val="8"/>
      <color indexed="81"/>
      <name val="ＭＳ Ｐゴシック"/>
      <family val="3"/>
      <charset val="128"/>
    </font>
    <font>
      <sz val="8"/>
      <color indexed="81"/>
      <name val="ＭＳ Ｐゴシック"/>
      <family val="3"/>
      <charset val="128"/>
    </font>
    <font>
      <i/>
      <sz val="10"/>
      <name val="Courier New"/>
      <family val="3"/>
    </font>
    <font>
      <b/>
      <sz val="10"/>
      <name val="ＭＳ Ｐゴシック"/>
      <family val="3"/>
      <charset val="128"/>
    </font>
    <font>
      <u/>
      <sz val="10"/>
      <color indexed="12"/>
      <name val="ＭＳ Ｐゴシック"/>
      <family val="3"/>
      <charset val="128"/>
    </font>
    <font>
      <sz val="10"/>
      <color indexed="55"/>
      <name val="Courier New"/>
      <family val="3"/>
    </font>
    <font>
      <sz val="10"/>
      <color indexed="8"/>
      <name val="Courier New"/>
      <family val="3"/>
    </font>
    <font>
      <sz val="10"/>
      <color indexed="55"/>
      <name val="ＭＳ Ｐゴシック"/>
      <family val="3"/>
      <charset val="128"/>
    </font>
    <font>
      <sz val="8"/>
      <name val="ＭＳ Ｐゴシック"/>
      <family val="3"/>
      <charset val="128"/>
    </font>
    <font>
      <sz val="8"/>
      <name val="Courier New"/>
      <family val="3"/>
    </font>
    <font>
      <sz val="9"/>
      <name val="ＭＳ Ｐゴシック"/>
      <family val="3"/>
      <charset val="128"/>
    </font>
    <font>
      <sz val="9"/>
      <name val="Courier New"/>
      <family val="3"/>
    </font>
    <font>
      <b/>
      <sz val="10"/>
      <name val="Courier New"/>
      <family val="3"/>
    </font>
    <font>
      <sz val="10"/>
      <color indexed="22"/>
      <name val="Courier New"/>
      <family val="3"/>
    </font>
    <font>
      <sz val="10"/>
      <color indexed="22"/>
      <name val="ＭＳ Ｐゴシック"/>
      <family val="3"/>
      <charset val="128"/>
    </font>
    <font>
      <strike/>
      <sz val="10"/>
      <name val="ＭＳ Ｐゴシック"/>
      <family val="3"/>
      <charset val="128"/>
    </font>
    <font>
      <b/>
      <sz val="10"/>
      <color indexed="10"/>
      <name val="ＭＳ Ｐゴシック"/>
      <family val="3"/>
      <charset val="128"/>
    </font>
    <font>
      <b/>
      <sz val="9"/>
      <name val="ＭＳ Ｐゴシック"/>
      <family val="3"/>
      <charset val="128"/>
    </font>
    <font>
      <sz val="10"/>
      <color theme="0" tint="-0.14999847407452621"/>
      <name val="Courier New"/>
      <family val="3"/>
    </font>
    <font>
      <sz val="10"/>
      <color rgb="FF0000FF"/>
      <name val="ＭＳ Ｐゴシック"/>
      <family val="3"/>
      <charset val="128"/>
    </font>
    <font>
      <sz val="10"/>
      <color rgb="FF0000FF"/>
      <name val="Courier New"/>
      <family val="3"/>
    </font>
    <font>
      <sz val="10"/>
      <color theme="1"/>
      <name val="ＭＳ Ｐゴシック"/>
      <family val="3"/>
      <charset val="128"/>
    </font>
    <font>
      <sz val="10"/>
      <color theme="0" tint="-0.249977111117893"/>
      <name val="Courier New"/>
      <family val="3"/>
    </font>
    <font>
      <sz val="10"/>
      <color theme="0" tint="-0.499984740745262"/>
      <name val="Courier New"/>
      <family val="3"/>
    </font>
    <font>
      <sz val="10"/>
      <color theme="0" tint="-0.499984740745262"/>
      <name val="ＭＳ Ｐゴシック"/>
      <family val="3"/>
      <charset val="128"/>
    </font>
    <font>
      <sz val="10"/>
      <color rgb="FFFF0000"/>
      <name val="Courier New"/>
      <family val="3"/>
    </font>
    <font>
      <sz val="10"/>
      <name val="ＭＳ Ｐゴシック"/>
      <family val="3"/>
      <charset val="128"/>
      <scheme val="major"/>
    </font>
    <font>
      <sz val="10"/>
      <color theme="1"/>
      <name val="Courier New"/>
      <family val="3"/>
    </font>
    <font>
      <sz val="10"/>
      <color theme="0" tint="-0.249977111117893"/>
      <name val="ＭＳ Ｐゴシック"/>
      <family val="3"/>
      <charset val="128"/>
    </font>
    <font>
      <sz val="10"/>
      <name val="Courier New"/>
      <family val="3"/>
      <charset val="128"/>
    </font>
    <font>
      <b/>
      <sz val="9"/>
      <name val="Courier New"/>
      <family val="3"/>
    </font>
    <font>
      <sz val="9"/>
      <color theme="1"/>
      <name val="Courier New"/>
      <family val="3"/>
    </font>
    <font>
      <sz val="9"/>
      <name val="ＭＳ Ｐゴシック"/>
      <family val="3"/>
      <charset val="128"/>
      <scheme val="minor"/>
    </font>
    <font>
      <sz val="10"/>
      <name val="ＭＳ Ｐゴシック"/>
      <family val="3"/>
      <charset val="128"/>
      <scheme val="minor"/>
    </font>
    <font>
      <sz val="9"/>
      <color rgb="FFFF0000"/>
      <name val="ＭＳ Ｐゴシック"/>
      <family val="3"/>
      <charset val="128"/>
      <scheme val="minor"/>
    </font>
    <font>
      <b/>
      <sz val="9"/>
      <color indexed="81"/>
      <name val="MS P ゴシック"/>
      <family val="3"/>
      <charset val="128"/>
    </font>
    <font>
      <sz val="9"/>
      <color indexed="81"/>
      <name val="MS P ゴシック"/>
      <family val="3"/>
      <charset val="128"/>
    </font>
    <font>
      <sz val="10"/>
      <color rgb="FFBFBFBF"/>
      <name val="Courier New"/>
      <family val="3"/>
    </font>
    <font>
      <sz val="10"/>
      <color rgb="FFBFBFBF"/>
      <name val="ＭＳ Ｐゴシック"/>
      <family val="3"/>
      <charset val="128"/>
    </font>
    <font>
      <b/>
      <i/>
      <sz val="20"/>
      <name val="Arial"/>
      <family val="2"/>
    </font>
    <font>
      <b/>
      <i/>
      <shadow/>
      <sz val="20"/>
      <name val="Arial"/>
      <family val="2"/>
    </font>
    <font>
      <b/>
      <i/>
      <shadow/>
      <sz val="20"/>
      <color indexed="10"/>
      <name val="Arial"/>
      <family val="2"/>
    </font>
    <font>
      <sz val="10"/>
      <color indexed="22"/>
      <name val="Courier New"/>
      <family val="3"/>
      <charset val="128"/>
    </font>
    <font>
      <sz val="10"/>
      <name val="Segoe UI Symbol"/>
      <family val="3"/>
    </font>
  </fonts>
  <fills count="1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9CCFF"/>
        <bgColor indexed="64"/>
      </patternFill>
    </fill>
    <fill>
      <patternFill patternType="solid">
        <fgColor rgb="FFFFFF00"/>
        <bgColor indexed="64"/>
      </patternFill>
    </fill>
    <fill>
      <patternFill patternType="solid">
        <fgColor rgb="FFBFBFBF"/>
        <bgColor indexed="64"/>
      </patternFill>
    </fill>
    <fill>
      <patternFill patternType="solid">
        <fgColor rgb="FFFF0000"/>
        <bgColor indexed="64"/>
      </patternFill>
    </fill>
  </fills>
  <borders count="142">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style="thin">
        <color indexed="64"/>
      </left>
      <right style="thin">
        <color indexed="64"/>
      </right>
      <top/>
      <bottom style="medium">
        <color indexed="64"/>
      </bottom>
      <diagonal/>
    </border>
    <border>
      <left/>
      <right/>
      <top/>
      <bottom style="medium">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thin">
        <color indexed="64"/>
      </top>
      <bottom style="double">
        <color indexed="64"/>
      </bottom>
      <diagonal/>
    </border>
    <border>
      <left style="double">
        <color indexed="64"/>
      </left>
      <right style="medium">
        <color indexed="64"/>
      </right>
      <top style="medium">
        <color indexed="64"/>
      </top>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medium">
        <color indexed="64"/>
      </bottom>
      <diagonal/>
    </border>
    <border>
      <left style="double">
        <color indexed="64"/>
      </left>
      <right style="medium">
        <color indexed="64"/>
      </right>
      <top/>
      <bottom style="thin">
        <color indexed="64"/>
      </bottom>
      <diagonal/>
    </border>
    <border>
      <left style="medium">
        <color indexed="64"/>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thin">
        <color indexed="64"/>
      </bottom>
      <diagonal/>
    </border>
    <border>
      <left style="double">
        <color indexed="64"/>
      </left>
      <right style="medium">
        <color indexed="64"/>
      </right>
      <top style="thin">
        <color indexed="64"/>
      </top>
      <bottom/>
      <diagonal/>
    </border>
    <border>
      <left style="thin">
        <color indexed="64"/>
      </left>
      <right/>
      <top style="double">
        <color indexed="64"/>
      </top>
      <bottom style="medium">
        <color indexed="64"/>
      </bottom>
      <diagonal/>
    </border>
    <border>
      <left style="double">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style="medium">
        <color indexed="64"/>
      </left>
      <right/>
      <top style="medium">
        <color indexed="64"/>
      </top>
      <bottom/>
      <diagonal/>
    </border>
    <border>
      <left style="double">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double">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medium">
        <color indexed="64"/>
      </right>
      <top style="medium">
        <color indexed="64"/>
      </top>
      <bottom style="medium">
        <color indexed="64"/>
      </bottom>
      <diagonal/>
    </border>
    <border>
      <left style="double">
        <color indexed="64"/>
      </left>
      <right style="medium">
        <color indexed="64"/>
      </right>
      <top style="double">
        <color indexed="64"/>
      </top>
      <bottom style="medium">
        <color indexed="64"/>
      </bottom>
      <diagonal/>
    </border>
    <border>
      <left/>
      <right style="medium">
        <color indexed="64"/>
      </right>
      <top style="double">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style="double">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double">
        <color indexed="64"/>
      </right>
      <top style="medium">
        <color indexed="64"/>
      </top>
      <bottom style="thin">
        <color indexed="64"/>
      </bottom>
      <diagonal/>
    </border>
    <border>
      <left/>
      <right/>
      <top/>
      <bottom style="thin">
        <color indexed="64"/>
      </bottom>
      <diagonal/>
    </border>
    <border>
      <left/>
      <right/>
      <top style="thin">
        <color indexed="64"/>
      </top>
      <bottom style="medium">
        <color indexed="64"/>
      </bottom>
      <diagonal/>
    </border>
    <border>
      <left style="thin">
        <color indexed="64"/>
      </left>
      <right style="double">
        <color indexed="64"/>
      </right>
      <top style="thin">
        <color indexed="64"/>
      </top>
      <bottom style="medium">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thin">
        <color indexed="64"/>
      </left>
      <right style="double">
        <color indexed="64"/>
      </right>
      <top style="medium">
        <color indexed="64"/>
      </top>
      <bottom style="medium">
        <color indexed="64"/>
      </bottom>
      <diagonal/>
    </border>
    <border>
      <left/>
      <right/>
      <top style="thin">
        <color indexed="64"/>
      </top>
      <bottom style="double">
        <color indexed="64"/>
      </bottom>
      <diagonal/>
    </border>
    <border>
      <left/>
      <right/>
      <top style="double">
        <color indexed="64"/>
      </top>
      <bottom style="medium">
        <color indexed="64"/>
      </bottom>
      <diagonal/>
    </border>
    <border>
      <left style="thin">
        <color indexed="64"/>
      </left>
      <right style="double">
        <color indexed="64"/>
      </right>
      <top style="double">
        <color indexed="64"/>
      </top>
      <bottom style="medium">
        <color indexed="64"/>
      </bottom>
      <diagonal/>
    </border>
    <border>
      <left/>
      <right style="double">
        <color indexed="64"/>
      </right>
      <top style="thin">
        <color indexed="64"/>
      </top>
      <bottom style="thin">
        <color indexed="64"/>
      </bottom>
      <diagonal/>
    </border>
    <border>
      <left/>
      <right style="double">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double">
        <color indexed="64"/>
      </right>
      <top/>
      <bottom style="double">
        <color indexed="64"/>
      </bottom>
      <diagonal/>
    </border>
    <border>
      <left/>
      <right style="medium">
        <color indexed="64"/>
      </right>
      <top style="thin">
        <color indexed="64"/>
      </top>
      <bottom style="double">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double">
        <color indexed="64"/>
      </left>
      <right style="medium">
        <color indexed="64"/>
      </right>
      <top style="medium">
        <color indexed="64"/>
      </top>
      <bottom style="thin">
        <color indexed="64"/>
      </bottom>
      <diagonal/>
    </border>
    <border>
      <left style="medium">
        <color indexed="64"/>
      </left>
      <right/>
      <top/>
      <bottom style="thin">
        <color indexed="64"/>
      </bottom>
      <diagonal/>
    </border>
    <border>
      <left style="thin">
        <color indexed="64"/>
      </left>
      <right/>
      <top style="medium">
        <color indexed="64"/>
      </top>
      <bottom/>
      <diagonal/>
    </border>
    <border>
      <left style="thin">
        <color indexed="64"/>
      </left>
      <right style="double">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double">
        <color indexed="64"/>
      </bottom>
      <diagonal/>
    </border>
    <border>
      <left/>
      <right style="double">
        <color indexed="64"/>
      </right>
      <top style="medium">
        <color indexed="64"/>
      </top>
      <bottom style="thin">
        <color indexed="64"/>
      </bottom>
      <diagonal/>
    </border>
    <border>
      <left/>
      <right style="double">
        <color indexed="64"/>
      </right>
      <top style="medium">
        <color indexed="64"/>
      </top>
      <bottom/>
      <diagonal/>
    </border>
    <border>
      <left/>
      <right style="double">
        <color indexed="64"/>
      </right>
      <top/>
      <bottom style="medium">
        <color indexed="64"/>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medium">
        <color indexed="64"/>
      </left>
      <right/>
      <top style="double">
        <color indexed="64"/>
      </top>
      <bottom style="medium">
        <color indexed="64"/>
      </bottom>
      <diagonal/>
    </border>
    <border>
      <left style="double">
        <color indexed="64"/>
      </left>
      <right style="medium">
        <color indexed="64"/>
      </right>
      <top/>
      <bottom style="double">
        <color indexed="64"/>
      </bottom>
      <diagonal/>
    </border>
    <border>
      <left style="double">
        <color indexed="64"/>
      </left>
      <right/>
      <top style="medium">
        <color indexed="64"/>
      </top>
      <bottom/>
      <diagonal/>
    </border>
    <border>
      <left style="double">
        <color indexed="64"/>
      </left>
      <right/>
      <top/>
      <bottom/>
      <diagonal/>
    </border>
    <border>
      <left style="double">
        <color indexed="64"/>
      </left>
      <right/>
      <top/>
      <bottom style="medium">
        <color indexed="64"/>
      </bottom>
      <diagonal/>
    </border>
    <border>
      <left style="thin">
        <color indexed="64"/>
      </left>
      <right style="medium">
        <color indexed="64"/>
      </right>
      <top style="medium">
        <color indexed="64"/>
      </top>
      <bottom/>
      <diagonal/>
    </border>
    <border>
      <left/>
      <right style="double">
        <color indexed="64"/>
      </right>
      <top style="medium">
        <color indexed="64"/>
      </top>
      <bottom style="medium">
        <color indexed="64"/>
      </bottom>
      <diagonal/>
    </border>
    <border>
      <left/>
      <right style="medium">
        <color indexed="64"/>
      </right>
      <top/>
      <bottom style="double">
        <color indexed="64"/>
      </bottom>
      <diagonal/>
    </border>
    <border>
      <left/>
      <right style="double">
        <color indexed="64"/>
      </right>
      <top/>
      <bottom style="thin">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diagonal/>
    </border>
    <border>
      <left style="double">
        <color indexed="64"/>
      </left>
      <right style="thin">
        <color indexed="64"/>
      </right>
      <top/>
      <bottom style="medium">
        <color indexed="64"/>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style="double">
        <color indexed="64"/>
      </bottom>
      <diagonal/>
    </border>
    <border>
      <left style="double">
        <color indexed="64"/>
      </left>
      <right style="thin">
        <color indexed="64"/>
      </right>
      <top style="double">
        <color indexed="64"/>
      </top>
      <bottom style="medium">
        <color indexed="64"/>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alignment vertical="top"/>
      <protection locked="0"/>
    </xf>
    <xf numFmtId="0" fontId="5" fillId="0" borderId="0"/>
  </cellStyleXfs>
  <cellXfs count="1259">
    <xf numFmtId="0" fontId="0" fillId="0" borderId="0" xfId="0"/>
    <xf numFmtId="0" fontId="4" fillId="0" borderId="0" xfId="0" applyFont="1"/>
    <xf numFmtId="0" fontId="4" fillId="0" borderId="0" xfId="0" applyFont="1" applyFill="1" applyProtection="1"/>
    <xf numFmtId="0" fontId="4" fillId="0" borderId="1" xfId="0" applyFont="1" applyFill="1" applyBorder="1"/>
    <xf numFmtId="0" fontId="4" fillId="0" borderId="1" xfId="0" applyFont="1" applyBorder="1"/>
    <xf numFmtId="0" fontId="4" fillId="0" borderId="0" xfId="0" applyFont="1" applyFill="1"/>
    <xf numFmtId="0" fontId="4" fillId="0" borderId="1" xfId="0" applyFont="1" applyBorder="1" applyAlignment="1">
      <alignment horizontal="left" vertical="top" wrapText="1"/>
    </xf>
    <xf numFmtId="0" fontId="4" fillId="0" borderId="1" xfId="0" applyFont="1" applyFill="1" applyBorder="1" applyAlignment="1">
      <alignment horizontal="justify" vertical="top"/>
    </xf>
    <xf numFmtId="0" fontId="4" fillId="0" borderId="1" xfId="0" applyFont="1" applyFill="1" applyBorder="1" applyAlignment="1">
      <alignment horizontal="left" vertical="top"/>
    </xf>
    <xf numFmtId="0" fontId="4" fillId="0" borderId="0" xfId="0" applyFont="1" applyAlignment="1">
      <alignment vertical="top" wrapText="1"/>
    </xf>
    <xf numFmtId="0" fontId="4" fillId="2" borderId="1" xfId="0" applyFont="1" applyFill="1" applyBorder="1"/>
    <xf numFmtId="0" fontId="4" fillId="0" borderId="0" xfId="0" applyFont="1" applyAlignment="1">
      <alignment vertical="top"/>
    </xf>
    <xf numFmtId="0" fontId="4" fillId="0" borderId="1" xfId="0" applyFont="1" applyFill="1" applyBorder="1" applyAlignment="1">
      <alignment horizontal="left" vertical="top" wrapText="1"/>
    </xf>
    <xf numFmtId="0" fontId="4" fillId="3" borderId="1" xfId="0" applyFont="1" applyFill="1" applyBorder="1" applyAlignment="1">
      <alignment horizontal="justify" vertical="top"/>
    </xf>
    <xf numFmtId="14" fontId="4" fillId="0" borderId="0" xfId="0" applyNumberFormat="1" applyFont="1" applyAlignment="1">
      <alignment vertical="top"/>
    </xf>
    <xf numFmtId="0" fontId="4" fillId="0" borderId="0" xfId="0" applyFont="1" applyProtection="1"/>
    <xf numFmtId="0" fontId="4" fillId="2" borderId="2" xfId="0" applyFont="1" applyFill="1" applyBorder="1" applyAlignment="1" applyProtection="1">
      <alignment horizontal="left" vertical="top" wrapText="1"/>
    </xf>
    <xf numFmtId="0" fontId="4" fillId="2" borderId="3" xfId="0" applyFont="1" applyFill="1" applyBorder="1" applyAlignment="1" applyProtection="1">
      <alignment horizontal="left" vertical="top" wrapText="1"/>
    </xf>
    <xf numFmtId="179" fontId="4" fillId="2" borderId="1" xfId="0" applyNumberFormat="1" applyFont="1" applyFill="1" applyBorder="1" applyAlignment="1" applyProtection="1">
      <alignment horizontal="center" vertical="top" wrapText="1"/>
    </xf>
    <xf numFmtId="179" fontId="4" fillId="3" borderId="4" xfId="0" applyNumberFormat="1" applyFont="1" applyFill="1" applyBorder="1" applyAlignment="1" applyProtection="1">
      <alignment horizontal="center" vertical="top" wrapText="1"/>
    </xf>
    <xf numFmtId="179" fontId="4" fillId="3" borderId="1" xfId="0" applyNumberFormat="1" applyFont="1" applyFill="1" applyBorder="1" applyAlignment="1" applyProtection="1">
      <alignment horizontal="center" vertical="top" wrapText="1"/>
    </xf>
    <xf numFmtId="177" fontId="4" fillId="0" borderId="0" xfId="0" applyNumberFormat="1" applyFont="1" applyFill="1" applyBorder="1" applyAlignment="1" applyProtection="1">
      <alignment horizontal="center" vertical="top" wrapText="1"/>
    </xf>
    <xf numFmtId="179" fontId="4" fillId="0" borderId="5" xfId="0" applyNumberFormat="1" applyFont="1" applyBorder="1" applyAlignment="1" applyProtection="1">
      <alignment horizontal="center" vertical="center" wrapText="1"/>
    </xf>
    <xf numFmtId="179" fontId="4" fillId="0" borderId="4" xfId="0" applyNumberFormat="1" applyFont="1" applyFill="1" applyBorder="1" applyAlignment="1" applyProtection="1">
      <alignment horizontal="center" vertical="center" wrapText="1"/>
    </xf>
    <xf numFmtId="179" fontId="4" fillId="0" borderId="6" xfId="0" applyNumberFormat="1" applyFont="1" applyBorder="1" applyAlignment="1" applyProtection="1">
      <alignment horizontal="center" vertical="center" wrapText="1"/>
    </xf>
    <xf numFmtId="179" fontId="4" fillId="0" borderId="1" xfId="0" applyNumberFormat="1" applyFont="1" applyFill="1" applyBorder="1" applyAlignment="1" applyProtection="1">
      <alignment horizontal="center" vertical="center" wrapText="1"/>
    </xf>
    <xf numFmtId="179" fontId="4" fillId="0" borderId="1" xfId="0" applyNumberFormat="1" applyFont="1" applyBorder="1" applyAlignment="1" applyProtection="1">
      <alignment horizontal="center" vertical="center" wrapText="1"/>
    </xf>
    <xf numFmtId="0" fontId="4" fillId="2" borderId="7" xfId="0" applyFont="1" applyFill="1" applyBorder="1" applyAlignment="1" applyProtection="1">
      <alignment vertical="top" wrapText="1"/>
    </xf>
    <xf numFmtId="0" fontId="4" fillId="2" borderId="8" xfId="0" applyFont="1" applyFill="1" applyBorder="1" applyAlignment="1" applyProtection="1">
      <alignment horizontal="center" vertical="top" wrapText="1"/>
    </xf>
    <xf numFmtId="0" fontId="4" fillId="2" borderId="7" xfId="0" applyFont="1" applyFill="1" applyBorder="1" applyAlignment="1" applyProtection="1">
      <alignment vertical="top" textRotation="180" wrapText="1"/>
    </xf>
    <xf numFmtId="0" fontId="4" fillId="2" borderId="7" xfId="0" applyFont="1" applyFill="1" applyBorder="1" applyAlignment="1" applyProtection="1">
      <alignment horizontal="center" vertical="top" wrapText="1"/>
    </xf>
    <xf numFmtId="0" fontId="4" fillId="3" borderId="1" xfId="0" applyFont="1" applyFill="1" applyBorder="1" applyAlignment="1" applyProtection="1">
      <alignment horizontal="center" vertical="center" wrapText="1"/>
    </xf>
    <xf numFmtId="0" fontId="4" fillId="0" borderId="1" xfId="0" applyFont="1" applyBorder="1" applyAlignment="1" applyProtection="1">
      <alignment horizontal="center" vertical="center" wrapText="1"/>
    </xf>
    <xf numFmtId="0" fontId="5" fillId="0" borderId="1" xfId="0" applyFont="1" applyFill="1" applyBorder="1" applyAlignment="1" applyProtection="1">
      <alignment horizontal="center" vertical="center" wrapText="1"/>
    </xf>
    <xf numFmtId="0" fontId="4" fillId="0" borderId="1" xfId="0" applyFont="1" applyFill="1" applyBorder="1" applyAlignment="1" applyProtection="1">
      <alignment horizontal="center" vertical="center" wrapText="1"/>
    </xf>
    <xf numFmtId="0" fontId="4" fillId="0" borderId="9" xfId="0" applyFont="1" applyBorder="1" applyAlignment="1" applyProtection="1">
      <alignment horizontal="center" vertical="center" wrapText="1"/>
    </xf>
    <xf numFmtId="0" fontId="4" fillId="0" borderId="6"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4" fillId="3" borderId="10" xfId="0" applyFont="1" applyFill="1" applyBorder="1" applyAlignment="1" applyProtection="1">
      <alignment horizontal="center" vertical="center" wrapText="1"/>
    </xf>
    <xf numFmtId="0" fontId="4" fillId="3" borderId="9" xfId="0" applyFont="1" applyFill="1" applyBorder="1" applyAlignment="1" applyProtection="1">
      <alignment horizontal="center" vertical="center" wrapText="1"/>
    </xf>
    <xf numFmtId="0" fontId="4" fillId="3" borderId="6" xfId="0" applyFont="1" applyFill="1" applyBorder="1" applyAlignment="1" applyProtection="1">
      <alignment horizontal="center" vertical="center" wrapText="1"/>
    </xf>
    <xf numFmtId="0" fontId="4" fillId="0" borderId="10" xfId="0" applyFont="1" applyFill="1" applyBorder="1" applyAlignment="1" applyProtection="1">
      <alignment horizontal="center" vertical="center" wrapText="1"/>
    </xf>
    <xf numFmtId="0" fontId="4" fillId="0" borderId="7" xfId="0" applyFont="1" applyFill="1" applyBorder="1" applyAlignment="1" applyProtection="1">
      <alignment horizontal="center" vertical="center" wrapText="1"/>
    </xf>
    <xf numFmtId="0" fontId="5" fillId="0" borderId="7" xfId="0" applyFont="1" applyFill="1" applyBorder="1" applyAlignment="1" applyProtection="1">
      <alignment horizontal="center" vertical="center" wrapText="1"/>
    </xf>
    <xf numFmtId="0" fontId="4" fillId="3" borderId="7" xfId="0" applyFont="1" applyFill="1" applyBorder="1" applyAlignment="1" applyProtection="1">
      <alignment horizontal="center" vertical="center" wrapText="1"/>
    </xf>
    <xf numFmtId="0" fontId="4" fillId="3" borderId="8" xfId="0" applyFont="1" applyFill="1" applyBorder="1" applyAlignment="1" applyProtection="1">
      <alignment horizontal="center" vertical="center" wrapText="1"/>
    </xf>
    <xf numFmtId="0" fontId="5" fillId="0" borderId="9" xfId="0" applyFont="1" applyFill="1" applyBorder="1" applyAlignment="1" applyProtection="1">
      <alignment horizontal="center" vertical="center" wrapText="1"/>
    </xf>
    <xf numFmtId="0" fontId="4" fillId="3" borderId="11" xfId="0" applyFont="1" applyFill="1" applyBorder="1" applyAlignment="1" applyProtection="1">
      <alignment horizontal="center" vertical="center" wrapText="1"/>
    </xf>
    <xf numFmtId="0" fontId="4" fillId="0" borderId="11" xfId="0" applyFont="1" applyFill="1" applyBorder="1" applyAlignment="1" applyProtection="1">
      <alignment horizontal="center" vertical="center" wrapText="1"/>
    </xf>
    <xf numFmtId="0" fontId="4" fillId="0" borderId="12" xfId="0" applyFont="1" applyFill="1" applyBorder="1" applyAlignment="1" applyProtection="1">
      <alignment horizontal="center" vertical="center" wrapText="1"/>
    </xf>
    <xf numFmtId="0" fontId="4" fillId="0" borderId="9" xfId="0" applyFont="1" applyFill="1" applyBorder="1" applyAlignment="1" applyProtection="1">
      <alignment horizontal="center" vertical="center" wrapText="1"/>
    </xf>
    <xf numFmtId="0" fontId="4" fillId="0" borderId="8" xfId="0" applyFont="1" applyFill="1" applyBorder="1" applyAlignment="1" applyProtection="1">
      <alignment horizontal="center" vertical="center" wrapText="1"/>
    </xf>
    <xf numFmtId="0" fontId="4" fillId="0" borderId="13" xfId="0" applyFont="1" applyFill="1" applyBorder="1" applyAlignment="1" applyProtection="1">
      <alignment horizontal="center" vertical="center" wrapText="1"/>
    </xf>
    <xf numFmtId="0" fontId="4" fillId="0" borderId="14" xfId="0" applyFont="1" applyFill="1" applyBorder="1" applyAlignment="1" applyProtection="1">
      <alignment horizontal="center" vertical="center" wrapText="1"/>
    </xf>
    <xf numFmtId="0" fontId="4" fillId="0" borderId="15" xfId="0" applyFont="1" applyBorder="1" applyProtection="1"/>
    <xf numFmtId="0" fontId="4" fillId="3" borderId="4" xfId="0" applyFont="1" applyFill="1" applyBorder="1" applyAlignment="1" applyProtection="1">
      <alignment horizontal="center" vertical="center" wrapText="1"/>
    </xf>
    <xf numFmtId="178" fontId="4" fillId="2" borderId="16" xfId="0" applyNumberFormat="1" applyFont="1" applyFill="1" applyBorder="1" applyAlignment="1" applyProtection="1">
      <alignment horizontal="left" vertical="top" wrapText="1"/>
    </xf>
    <xf numFmtId="178" fontId="4" fillId="2" borderId="16" xfId="0" applyNumberFormat="1" applyFont="1" applyFill="1" applyBorder="1" applyAlignment="1" applyProtection="1">
      <alignment horizontal="center" vertical="top" wrapText="1"/>
    </xf>
    <xf numFmtId="178" fontId="4" fillId="0" borderId="17" xfId="0" applyNumberFormat="1" applyFont="1" applyBorder="1" applyProtection="1"/>
    <xf numFmtId="0" fontId="4" fillId="0" borderId="4" xfId="0" applyFont="1" applyBorder="1" applyAlignment="1" applyProtection="1">
      <alignment horizontal="center" vertical="center" wrapText="1"/>
    </xf>
    <xf numFmtId="0" fontId="5" fillId="0" borderId="4" xfId="0" applyFont="1" applyFill="1" applyBorder="1" applyAlignment="1" applyProtection="1">
      <alignment horizontal="center" vertical="center" wrapText="1"/>
    </xf>
    <xf numFmtId="0" fontId="4" fillId="0" borderId="4" xfId="0" applyFont="1" applyFill="1" applyBorder="1" applyAlignment="1" applyProtection="1">
      <alignment horizontal="center" vertical="center" wrapText="1"/>
    </xf>
    <xf numFmtId="0" fontId="4" fillId="0" borderId="18" xfId="0" applyFont="1" applyBorder="1" applyAlignment="1" applyProtection="1">
      <alignment horizontal="center" vertical="center" wrapText="1"/>
    </xf>
    <xf numFmtId="179" fontId="4" fillId="2" borderId="19" xfId="0" applyNumberFormat="1" applyFont="1" applyFill="1" applyBorder="1" applyAlignment="1" applyProtection="1">
      <alignment horizontal="center" vertical="top" wrapText="1"/>
    </xf>
    <xf numFmtId="0" fontId="5" fillId="0" borderId="19" xfId="0" applyFont="1" applyFill="1" applyBorder="1" applyAlignment="1" applyProtection="1">
      <alignment horizontal="center" vertical="center" wrapText="1"/>
    </xf>
    <xf numFmtId="0" fontId="4" fillId="0" borderId="19" xfId="0" applyFont="1" applyFill="1" applyBorder="1" applyAlignment="1" applyProtection="1">
      <alignment horizontal="center" vertical="center" wrapText="1"/>
    </xf>
    <xf numFmtId="0" fontId="5" fillId="0" borderId="20" xfId="0" applyFont="1" applyBorder="1" applyAlignment="1" applyProtection="1">
      <alignment horizontal="center" vertical="center" wrapText="1"/>
    </xf>
    <xf numFmtId="0" fontId="5" fillId="0" borderId="4" xfId="0" applyFont="1" applyBorder="1" applyAlignment="1" applyProtection="1">
      <alignment horizontal="center" vertical="center" wrapText="1"/>
    </xf>
    <xf numFmtId="0" fontId="4" fillId="3" borderId="18" xfId="0" applyFont="1" applyFill="1" applyBorder="1" applyAlignment="1" applyProtection="1">
      <alignment horizontal="center" vertical="center" wrapText="1"/>
    </xf>
    <xf numFmtId="179" fontId="4" fillId="3" borderId="19" xfId="0" applyNumberFormat="1" applyFont="1" applyFill="1" applyBorder="1" applyAlignment="1" applyProtection="1">
      <alignment horizontal="center" vertical="top" wrapText="1"/>
    </xf>
    <xf numFmtId="0" fontId="4" fillId="3" borderId="19" xfId="0" applyFont="1" applyFill="1" applyBorder="1" applyAlignment="1" applyProtection="1">
      <alignment horizontal="center" vertical="center" wrapText="1"/>
    </xf>
    <xf numFmtId="0" fontId="4" fillId="3" borderId="20" xfId="0" applyFont="1" applyFill="1" applyBorder="1" applyAlignment="1" applyProtection="1">
      <alignment horizontal="center" vertical="center" wrapText="1"/>
    </xf>
    <xf numFmtId="179" fontId="4" fillId="2" borderId="21" xfId="0" applyNumberFormat="1" applyFont="1" applyFill="1" applyBorder="1" applyAlignment="1" applyProtection="1">
      <alignment horizontal="center" vertical="center" wrapText="1"/>
    </xf>
    <xf numFmtId="0" fontId="4" fillId="0" borderId="21"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4" fillId="0" borderId="21" xfId="0" applyFont="1" applyFill="1" applyBorder="1" applyAlignment="1" applyProtection="1">
      <alignment horizontal="center" vertical="center" wrapText="1"/>
    </xf>
    <xf numFmtId="0" fontId="4" fillId="0" borderId="22" xfId="0" applyFont="1" applyBorder="1" applyProtection="1"/>
    <xf numFmtId="0" fontId="4" fillId="0" borderId="0" xfId="0" applyFont="1" applyBorder="1" applyAlignment="1" applyProtection="1">
      <alignment wrapText="1"/>
    </xf>
    <xf numFmtId="0" fontId="4" fillId="0" borderId="0" xfId="0" applyFont="1" applyBorder="1" applyAlignment="1" applyProtection="1">
      <alignment vertical="top" wrapText="1"/>
    </xf>
    <xf numFmtId="178" fontId="4" fillId="2" borderId="23" xfId="0" applyNumberFormat="1" applyFont="1" applyFill="1" applyBorder="1" applyAlignment="1" applyProtection="1">
      <alignment horizontal="left" vertical="top" wrapText="1"/>
    </xf>
    <xf numFmtId="0" fontId="5" fillId="0" borderId="20" xfId="0" applyFont="1" applyFill="1" applyBorder="1" applyAlignment="1" applyProtection="1">
      <alignment horizontal="center" vertical="center" wrapText="1"/>
    </xf>
    <xf numFmtId="0" fontId="4" fillId="0" borderId="24" xfId="0" applyFont="1" applyBorder="1" applyAlignment="1" applyProtection="1">
      <alignment horizontal="center" vertical="center" wrapText="1"/>
    </xf>
    <xf numFmtId="0" fontId="4" fillId="3" borderId="25" xfId="0" applyNumberFormat="1" applyFont="1" applyFill="1" applyBorder="1" applyAlignment="1" applyProtection="1">
      <alignment horizontal="center" vertical="top"/>
    </xf>
    <xf numFmtId="0" fontId="4" fillId="2" borderId="26" xfId="0" applyNumberFormat="1" applyFont="1" applyFill="1" applyBorder="1" applyAlignment="1" applyProtection="1">
      <alignment horizontal="center" vertical="top"/>
    </xf>
    <xf numFmtId="0" fontId="4" fillId="2" borderId="27" xfId="0" applyNumberFormat="1" applyFont="1" applyFill="1" applyBorder="1" applyAlignment="1" applyProtection="1">
      <alignment vertical="top" wrapText="1"/>
    </xf>
    <xf numFmtId="0" fontId="4" fillId="2" borderId="28" xfId="0" applyNumberFormat="1" applyFont="1" applyFill="1" applyBorder="1" applyAlignment="1" applyProtection="1">
      <alignment horizontal="center" vertical="top"/>
    </xf>
    <xf numFmtId="0" fontId="4" fillId="2" borderId="25" xfId="0" applyNumberFormat="1" applyFont="1" applyFill="1" applyBorder="1" applyAlignment="1" applyProtection="1">
      <alignment horizontal="center" vertical="top"/>
    </xf>
    <xf numFmtId="0" fontId="4" fillId="3" borderId="26" xfId="0" applyNumberFormat="1" applyFont="1" applyFill="1" applyBorder="1" applyAlignment="1" applyProtection="1">
      <alignment horizontal="center" vertical="top"/>
    </xf>
    <xf numFmtId="0" fontId="4" fillId="2" borderId="29" xfId="0" applyNumberFormat="1" applyFont="1" applyFill="1" applyBorder="1" applyAlignment="1" applyProtection="1">
      <alignment vertical="top" wrapText="1"/>
    </xf>
    <xf numFmtId="0" fontId="4" fillId="3" borderId="30" xfId="0" applyNumberFormat="1" applyFont="1" applyFill="1" applyBorder="1" applyAlignment="1" applyProtection="1">
      <alignment vertical="top" wrapText="1"/>
    </xf>
    <xf numFmtId="0" fontId="4" fillId="3" borderId="29" xfId="0" applyNumberFormat="1" applyFont="1" applyFill="1" applyBorder="1" applyAlignment="1" applyProtection="1">
      <alignment vertical="top" wrapText="1"/>
    </xf>
    <xf numFmtId="0" fontId="4" fillId="3" borderId="28" xfId="0" applyNumberFormat="1" applyFont="1" applyFill="1" applyBorder="1" applyAlignment="1" applyProtection="1">
      <alignment horizontal="center" vertical="top"/>
    </xf>
    <xf numFmtId="0" fontId="4" fillId="3" borderId="27" xfId="0" applyNumberFormat="1" applyFont="1" applyFill="1" applyBorder="1" applyAlignment="1" applyProtection="1">
      <alignment vertical="top" wrapText="1"/>
    </xf>
    <xf numFmtId="0" fontId="4" fillId="3" borderId="31" xfId="0" applyNumberFormat="1" applyFont="1" applyFill="1" applyBorder="1" applyAlignment="1" applyProtection="1">
      <alignment horizontal="center" vertical="top"/>
    </xf>
    <xf numFmtId="0" fontId="4" fillId="2" borderId="32" xfId="0" applyFont="1" applyFill="1" applyBorder="1" applyAlignment="1" applyProtection="1">
      <alignment horizontal="center" vertical="center" wrapText="1"/>
    </xf>
    <xf numFmtId="0" fontId="5" fillId="2" borderId="33" xfId="0" applyFont="1" applyFill="1" applyBorder="1" applyAlignment="1" applyProtection="1">
      <alignment horizontal="center" vertical="top"/>
    </xf>
    <xf numFmtId="0" fontId="5" fillId="2" borderId="31" xfId="0" applyFont="1" applyFill="1" applyBorder="1" applyAlignment="1" applyProtection="1">
      <alignment horizontal="center" vertical="top"/>
    </xf>
    <xf numFmtId="0" fontId="5" fillId="2" borderId="34" xfId="0" applyFont="1" applyFill="1" applyBorder="1" applyAlignment="1" applyProtection="1">
      <alignment horizontal="center" vertical="top"/>
    </xf>
    <xf numFmtId="0" fontId="4" fillId="0" borderId="0" xfId="0" applyFont="1" applyBorder="1" applyAlignment="1" applyProtection="1">
      <alignment horizontal="center" vertical="top" wrapText="1"/>
    </xf>
    <xf numFmtId="0" fontId="5" fillId="2" borderId="35" xfId="0" applyFont="1" applyFill="1" applyBorder="1" applyAlignment="1" applyProtection="1">
      <alignment vertical="top" wrapText="1"/>
    </xf>
    <xf numFmtId="0" fontId="4" fillId="0" borderId="36" xfId="0" applyFont="1" applyBorder="1" applyAlignment="1" applyProtection="1">
      <alignment wrapText="1"/>
    </xf>
    <xf numFmtId="0" fontId="4" fillId="0" borderId="37" xfId="0" applyFont="1" applyBorder="1" applyAlignment="1" applyProtection="1">
      <alignment wrapText="1"/>
    </xf>
    <xf numFmtId="0" fontId="4" fillId="0" borderId="38" xfId="0" applyFont="1" applyBorder="1" applyAlignment="1" applyProtection="1">
      <alignment wrapText="1"/>
    </xf>
    <xf numFmtId="0" fontId="4" fillId="3" borderId="36" xfId="0" applyFont="1" applyFill="1" applyBorder="1" applyAlignment="1" applyProtection="1">
      <alignment wrapText="1"/>
    </xf>
    <xf numFmtId="0" fontId="4" fillId="0" borderId="36" xfId="0" applyFont="1" applyFill="1" applyBorder="1" applyAlignment="1" applyProtection="1">
      <alignment wrapText="1"/>
    </xf>
    <xf numFmtId="0" fontId="4" fillId="3" borderId="37" xfId="0" applyFont="1" applyFill="1" applyBorder="1" applyAlignment="1" applyProtection="1">
      <alignment wrapText="1"/>
    </xf>
    <xf numFmtId="0" fontId="4" fillId="0" borderId="38" xfId="0" applyFont="1" applyBorder="1" applyAlignment="1" applyProtection="1">
      <alignment vertical="top" wrapText="1"/>
    </xf>
    <xf numFmtId="0" fontId="4" fillId="0" borderId="37" xfId="0" applyFont="1" applyBorder="1" applyAlignment="1" applyProtection="1">
      <alignment vertical="top" wrapText="1"/>
    </xf>
    <xf numFmtId="0" fontId="5" fillId="2" borderId="39" xfId="0" applyFont="1" applyFill="1" applyBorder="1" applyAlignment="1" applyProtection="1">
      <alignment vertical="top" wrapText="1"/>
    </xf>
    <xf numFmtId="176" fontId="4" fillId="2" borderId="40" xfId="0" applyNumberFormat="1" applyFont="1" applyFill="1" applyBorder="1" applyAlignment="1" applyProtection="1">
      <alignment horizontal="center" vertical="top" wrapText="1"/>
    </xf>
    <xf numFmtId="0" fontId="4" fillId="2" borderId="41" xfId="0" applyFont="1" applyFill="1" applyBorder="1" applyAlignment="1" applyProtection="1">
      <alignment vertical="top" wrapText="1"/>
    </xf>
    <xf numFmtId="0" fontId="4" fillId="0" borderId="42" xfId="0" applyFont="1" applyFill="1" applyBorder="1" applyAlignment="1" applyProtection="1">
      <alignment vertical="top" wrapText="1"/>
    </xf>
    <xf numFmtId="0" fontId="4" fillId="0" borderId="40" xfId="0" applyFont="1" applyFill="1" applyBorder="1" applyAlignment="1" applyProtection="1">
      <alignment vertical="top" wrapText="1"/>
    </xf>
    <xf numFmtId="0" fontId="4" fillId="0" borderId="43" xfId="0" applyFont="1" applyFill="1" applyBorder="1" applyAlignment="1" applyProtection="1">
      <alignment horizontal="center" vertical="center" wrapText="1"/>
    </xf>
    <xf numFmtId="0" fontId="4" fillId="2" borderId="13" xfId="0" applyFont="1" applyFill="1" applyBorder="1" applyAlignment="1" applyProtection="1">
      <alignment horizontal="center" vertical="top" wrapText="1"/>
    </xf>
    <xf numFmtId="0" fontId="4" fillId="0" borderId="36" xfId="0" applyFont="1" applyFill="1" applyBorder="1" applyAlignment="1" applyProtection="1">
      <alignment vertical="top" wrapText="1"/>
    </xf>
    <xf numFmtId="0" fontId="4" fillId="0" borderId="44" xfId="0" applyFont="1" applyFill="1" applyBorder="1" applyAlignment="1" applyProtection="1">
      <alignment vertical="top" wrapText="1"/>
    </xf>
    <xf numFmtId="0" fontId="4" fillId="0" borderId="45" xfId="0" applyFont="1" applyFill="1" applyBorder="1" applyAlignment="1" applyProtection="1">
      <alignment vertical="top" wrapText="1"/>
    </xf>
    <xf numFmtId="0" fontId="5" fillId="0" borderId="46" xfId="0" applyFont="1" applyFill="1" applyBorder="1" applyAlignment="1" applyProtection="1">
      <alignment vertical="top" wrapText="1"/>
    </xf>
    <xf numFmtId="0" fontId="4" fillId="2" borderId="47" xfId="0" applyFont="1" applyFill="1" applyBorder="1" applyAlignment="1" applyProtection="1">
      <alignment horizontal="center" vertical="top" wrapText="1"/>
    </xf>
    <xf numFmtId="0" fontId="4" fillId="2" borderId="48" xfId="0" applyFont="1" applyFill="1" applyBorder="1" applyAlignment="1" applyProtection="1">
      <alignment horizontal="center" vertical="center" wrapText="1"/>
    </xf>
    <xf numFmtId="0" fontId="4" fillId="2" borderId="49" xfId="0" applyFont="1" applyFill="1" applyBorder="1" applyAlignment="1" applyProtection="1">
      <alignment vertical="top" textRotation="180" wrapText="1"/>
    </xf>
    <xf numFmtId="0" fontId="4" fillId="2" borderId="50" xfId="0" applyFont="1" applyFill="1" applyBorder="1" applyAlignment="1" applyProtection="1">
      <alignment horizontal="center" vertical="top" wrapText="1"/>
    </xf>
    <xf numFmtId="0" fontId="4" fillId="3" borderId="50" xfId="0" applyFont="1" applyFill="1" applyBorder="1" applyAlignment="1" applyProtection="1">
      <alignment horizontal="center" vertical="top" wrapText="1"/>
    </xf>
    <xf numFmtId="0" fontId="4" fillId="3" borderId="51" xfId="0" applyFont="1" applyFill="1" applyBorder="1" applyAlignment="1" applyProtection="1">
      <alignment horizontal="center" vertical="top" wrapText="1"/>
    </xf>
    <xf numFmtId="0" fontId="4" fillId="0" borderId="48" xfId="0" applyFont="1" applyBorder="1" applyProtection="1"/>
    <xf numFmtId="0" fontId="4" fillId="0" borderId="49" xfId="0" applyFont="1" applyBorder="1" applyProtection="1"/>
    <xf numFmtId="0" fontId="4" fillId="0" borderId="0" xfId="0" applyFont="1" applyBorder="1" applyProtection="1"/>
    <xf numFmtId="0" fontId="5" fillId="2" borderId="52" xfId="0" applyFont="1" applyFill="1" applyBorder="1" applyAlignment="1" applyProtection="1">
      <alignment horizontal="left" vertical="center" wrapText="1"/>
    </xf>
    <xf numFmtId="178" fontId="4" fillId="2" borderId="53" xfId="0" applyNumberFormat="1" applyFont="1" applyFill="1" applyBorder="1" applyAlignment="1" applyProtection="1">
      <alignment horizontal="center" vertical="top" wrapText="1"/>
    </xf>
    <xf numFmtId="178" fontId="4" fillId="2" borderId="23" xfId="0" applyNumberFormat="1" applyFont="1" applyFill="1" applyBorder="1" applyAlignment="1" applyProtection="1">
      <alignment horizontal="center" vertical="top" wrapText="1"/>
    </xf>
    <xf numFmtId="178" fontId="4" fillId="2" borderId="54" xfId="0" applyNumberFormat="1" applyFont="1" applyFill="1" applyBorder="1" applyAlignment="1" applyProtection="1">
      <alignment horizontal="center" vertical="top" wrapText="1"/>
    </xf>
    <xf numFmtId="178" fontId="4" fillId="2" borderId="46" xfId="0" applyNumberFormat="1" applyFont="1" applyFill="1" applyBorder="1" applyAlignment="1" applyProtection="1">
      <alignment vertical="top" wrapText="1"/>
    </xf>
    <xf numFmtId="0" fontId="5" fillId="2" borderId="55" xfId="0" applyFont="1" applyFill="1" applyBorder="1" applyAlignment="1" applyProtection="1">
      <alignment horizontal="right" vertical="center" wrapText="1"/>
    </xf>
    <xf numFmtId="0" fontId="5" fillId="2" borderId="56" xfId="0" applyFont="1" applyFill="1" applyBorder="1" applyAlignment="1" applyProtection="1">
      <alignment vertical="top" wrapText="1"/>
    </xf>
    <xf numFmtId="178" fontId="4" fillId="2" borderId="16" xfId="0" applyNumberFormat="1" applyFont="1" applyFill="1" applyBorder="1" applyAlignment="1" applyProtection="1">
      <alignment vertical="top" wrapText="1"/>
    </xf>
    <xf numFmtId="178" fontId="4" fillId="2" borderId="54" xfId="0" applyNumberFormat="1" applyFont="1" applyFill="1" applyBorder="1" applyAlignment="1" applyProtection="1">
      <alignment vertical="top" wrapText="1"/>
    </xf>
    <xf numFmtId="178" fontId="4" fillId="2" borderId="23" xfId="0" applyNumberFormat="1" applyFont="1" applyFill="1" applyBorder="1" applyAlignment="1" applyProtection="1">
      <alignment vertical="top" wrapText="1"/>
    </xf>
    <xf numFmtId="14" fontId="5" fillId="2" borderId="57" xfId="0" applyNumberFormat="1" applyFont="1" applyFill="1" applyBorder="1" applyAlignment="1">
      <alignment horizontal="left" vertical="top" wrapText="1"/>
    </xf>
    <xf numFmtId="0" fontId="5" fillId="2" borderId="21" xfId="0" applyFont="1" applyFill="1" applyBorder="1" applyAlignment="1">
      <alignment horizontal="left" vertical="top" wrapText="1"/>
    </xf>
    <xf numFmtId="0" fontId="5" fillId="2" borderId="32" xfId="0" applyFont="1" applyFill="1" applyBorder="1" applyAlignment="1">
      <alignment horizontal="left" vertical="top" wrapText="1"/>
    </xf>
    <xf numFmtId="0" fontId="7" fillId="0" borderId="0" xfId="3" applyFont="1" applyAlignment="1">
      <alignment horizontal="left" wrapText="1" indent="2"/>
    </xf>
    <xf numFmtId="0" fontId="4" fillId="0" borderId="0" xfId="3" applyFont="1" applyAlignment="1">
      <alignment wrapText="1"/>
    </xf>
    <xf numFmtId="0" fontId="6" fillId="0" borderId="0" xfId="3" applyFont="1" applyAlignment="1">
      <alignment horizontal="left" wrapText="1" indent="2"/>
    </xf>
    <xf numFmtId="0" fontId="6" fillId="0" borderId="0" xfId="3" applyFont="1" applyAlignment="1">
      <alignment wrapText="1"/>
    </xf>
    <xf numFmtId="0" fontId="4" fillId="0" borderId="0" xfId="3" applyFont="1" applyAlignment="1">
      <alignment vertical="center" wrapText="1"/>
    </xf>
    <xf numFmtId="0" fontId="12" fillId="0" borderId="0" xfId="3" applyFont="1" applyAlignment="1">
      <alignment vertical="center" wrapText="1"/>
    </xf>
    <xf numFmtId="0" fontId="5" fillId="0" borderId="0" xfId="3" applyFont="1" applyAlignment="1">
      <alignment vertical="center" wrapText="1"/>
    </xf>
    <xf numFmtId="0" fontId="13" fillId="0" borderId="0" xfId="2" applyFont="1" applyAlignment="1" applyProtection="1">
      <alignment vertical="center" wrapText="1"/>
    </xf>
    <xf numFmtId="0" fontId="5" fillId="2" borderId="58" xfId="0" applyFont="1" applyFill="1" applyBorder="1" applyAlignment="1" applyProtection="1">
      <alignment horizontal="center" vertical="top" wrapText="1"/>
    </xf>
    <xf numFmtId="0" fontId="4" fillId="2" borderId="59" xfId="0" applyFont="1" applyFill="1" applyBorder="1" applyAlignment="1" applyProtection="1">
      <alignment horizontal="center" vertical="top" wrapText="1"/>
    </xf>
    <xf numFmtId="178" fontId="4" fillId="2" borderId="60" xfId="0" applyNumberFormat="1" applyFont="1" applyFill="1" applyBorder="1" applyAlignment="1" applyProtection="1">
      <alignment horizontal="center" vertical="top" wrapText="1"/>
    </xf>
    <xf numFmtId="0" fontId="4" fillId="3" borderId="61" xfId="0" applyFont="1" applyFill="1" applyBorder="1" applyAlignment="1" applyProtection="1">
      <alignment horizontal="center" vertical="center" wrapText="1"/>
    </xf>
    <xf numFmtId="0" fontId="4" fillId="0" borderId="62" xfId="0" applyFont="1" applyFill="1" applyBorder="1" applyAlignment="1" applyProtection="1">
      <alignment vertical="top" wrapText="1"/>
    </xf>
    <xf numFmtId="0" fontId="4" fillId="3" borderId="44" xfId="0" applyFont="1" applyFill="1" applyBorder="1" applyAlignment="1" applyProtection="1">
      <alignment wrapText="1"/>
    </xf>
    <xf numFmtId="0" fontId="4" fillId="2" borderId="63" xfId="0" applyFont="1" applyFill="1" applyBorder="1" applyAlignment="1">
      <alignment vertical="top" textRotation="180"/>
    </xf>
    <xf numFmtId="0" fontId="5" fillId="0" borderId="21" xfId="0" applyFont="1" applyFill="1" applyBorder="1" applyAlignment="1" applyProtection="1">
      <alignment horizontal="center" vertical="center" wrapText="1"/>
    </xf>
    <xf numFmtId="0" fontId="4" fillId="2" borderId="15" xfId="0" applyFont="1" applyFill="1" applyBorder="1" applyAlignment="1">
      <alignment vertical="top" textRotation="180"/>
    </xf>
    <xf numFmtId="0" fontId="4" fillId="2" borderId="60" xfId="0" applyFont="1" applyFill="1" applyBorder="1" applyAlignment="1">
      <alignment vertical="top" wrapText="1"/>
    </xf>
    <xf numFmtId="41" fontId="4" fillId="2" borderId="1" xfId="0" applyNumberFormat="1" applyFont="1" applyFill="1" applyBorder="1" applyAlignment="1" applyProtection="1">
      <alignment horizontal="center" vertical="top" wrapText="1"/>
    </xf>
    <xf numFmtId="41" fontId="4" fillId="2" borderId="26" xfId="0" applyNumberFormat="1" applyFont="1" applyFill="1" applyBorder="1" applyAlignment="1" applyProtection="1">
      <alignment horizontal="center" vertical="top" wrapText="1"/>
    </xf>
    <xf numFmtId="41" fontId="4" fillId="2" borderId="7" xfId="0" applyNumberFormat="1" applyFont="1" applyFill="1" applyBorder="1" applyAlignment="1" applyProtection="1">
      <alignment horizontal="center" vertical="top" wrapText="1"/>
    </xf>
    <xf numFmtId="41" fontId="4" fillId="2" borderId="31" xfId="0" applyNumberFormat="1" applyFont="1" applyFill="1" applyBorder="1" applyAlignment="1" applyProtection="1">
      <alignment horizontal="center" vertical="top" wrapText="1"/>
    </xf>
    <xf numFmtId="0" fontId="5" fillId="2" borderId="58" xfId="0" applyFont="1" applyFill="1" applyBorder="1" applyAlignment="1" applyProtection="1">
      <alignment horizontal="right" vertical="top" wrapText="1"/>
    </xf>
    <xf numFmtId="0" fontId="5" fillId="2" borderId="64" xfId="0" applyFont="1" applyFill="1" applyBorder="1" applyAlignment="1" applyProtection="1">
      <alignment vertical="top" wrapText="1"/>
    </xf>
    <xf numFmtId="0" fontId="5" fillId="2" borderId="65" xfId="0" applyFont="1" applyFill="1" applyBorder="1" applyAlignment="1" applyProtection="1">
      <alignment vertical="top" wrapText="1"/>
    </xf>
    <xf numFmtId="0" fontId="4" fillId="2" borderId="23" xfId="0" applyFont="1" applyFill="1" applyBorder="1" applyAlignment="1" applyProtection="1">
      <alignment vertical="top" wrapText="1"/>
    </xf>
    <xf numFmtId="0" fontId="4" fillId="2" borderId="16" xfId="0" applyFont="1" applyFill="1" applyBorder="1" applyAlignment="1" applyProtection="1">
      <alignment vertical="top" wrapText="1"/>
    </xf>
    <xf numFmtId="0" fontId="4" fillId="2" borderId="46" xfId="0" applyFont="1" applyFill="1" applyBorder="1" applyAlignment="1" applyProtection="1">
      <alignment wrapText="1"/>
    </xf>
    <xf numFmtId="0" fontId="5" fillId="2" borderId="66" xfId="0" applyFont="1" applyFill="1" applyBorder="1" applyAlignment="1" applyProtection="1">
      <alignment vertical="top" wrapText="1"/>
    </xf>
    <xf numFmtId="0" fontId="5" fillId="0" borderId="18" xfId="0" applyFont="1" applyBorder="1" applyAlignment="1" applyProtection="1">
      <alignment horizontal="center" vertical="center" wrapText="1"/>
    </xf>
    <xf numFmtId="0" fontId="5" fillId="2" borderId="61" xfId="0" applyFont="1" applyFill="1" applyBorder="1" applyAlignment="1" applyProtection="1">
      <alignment horizontal="left" vertical="top" wrapText="1"/>
    </xf>
    <xf numFmtId="0" fontId="5" fillId="2" borderId="61" xfId="0" applyFont="1" applyFill="1" applyBorder="1" applyAlignment="1" applyProtection="1">
      <alignment vertical="top" wrapText="1"/>
    </xf>
    <xf numFmtId="0" fontId="5" fillId="3" borderId="61" xfId="0" applyFont="1" applyFill="1" applyBorder="1" applyAlignment="1" applyProtection="1">
      <alignment horizontal="left" vertical="top" wrapText="1"/>
    </xf>
    <xf numFmtId="0" fontId="5" fillId="3" borderId="67" xfId="0" applyFont="1" applyFill="1" applyBorder="1" applyAlignment="1" applyProtection="1">
      <alignment horizontal="left" vertical="top" wrapText="1"/>
    </xf>
    <xf numFmtId="0" fontId="4" fillId="3" borderId="68" xfId="0" applyFont="1" applyFill="1" applyBorder="1" applyAlignment="1" applyProtection="1">
      <alignment horizontal="center" vertical="center" wrapText="1"/>
    </xf>
    <xf numFmtId="0" fontId="4" fillId="3" borderId="69" xfId="0" applyFont="1" applyFill="1" applyBorder="1" applyAlignment="1" applyProtection="1">
      <alignment horizontal="center" vertical="center" wrapText="1"/>
    </xf>
    <xf numFmtId="0" fontId="5" fillId="2" borderId="60" xfId="0" applyFont="1" applyFill="1" applyBorder="1" applyAlignment="1" applyProtection="1">
      <alignment vertical="top" wrapText="1"/>
    </xf>
    <xf numFmtId="0" fontId="4" fillId="0" borderId="16" xfId="0" applyFont="1" applyBorder="1" applyAlignment="1" applyProtection="1">
      <alignment wrapText="1"/>
    </xf>
    <xf numFmtId="0" fontId="0" fillId="2" borderId="1" xfId="0" applyFont="1" applyFill="1" applyBorder="1"/>
    <xf numFmtId="0" fontId="0" fillId="2" borderId="1" xfId="0" applyFont="1" applyFill="1" applyBorder="1" applyAlignment="1">
      <alignment horizontal="left" vertical="top"/>
    </xf>
    <xf numFmtId="0" fontId="0" fillId="0" borderId="1" xfId="0" applyFont="1" applyBorder="1" applyAlignment="1">
      <alignment horizontal="left" vertical="top" wrapText="1"/>
    </xf>
    <xf numFmtId="0" fontId="0" fillId="3" borderId="1" xfId="0" applyFont="1" applyFill="1" applyBorder="1" applyAlignment="1">
      <alignment horizontal="justify" vertical="top"/>
    </xf>
    <xf numFmtId="0" fontId="0" fillId="0" borderId="1" xfId="0" applyFont="1" applyFill="1" applyBorder="1" applyAlignment="1">
      <alignment horizontal="justify" vertical="top"/>
    </xf>
    <xf numFmtId="0" fontId="0" fillId="0" borderId="1" xfId="0" applyFont="1" applyFill="1" applyBorder="1" applyAlignment="1">
      <alignment horizontal="left" vertical="top" wrapText="1"/>
    </xf>
    <xf numFmtId="0" fontId="0" fillId="0" borderId="1" xfId="0" applyFont="1" applyBorder="1" applyAlignment="1">
      <alignment horizontal="justify" vertical="top" wrapText="1"/>
    </xf>
    <xf numFmtId="0" fontId="4" fillId="0" borderId="29" xfId="0" applyFont="1" applyFill="1" applyBorder="1" applyAlignment="1" applyProtection="1">
      <alignment horizontal="center" vertical="center" wrapText="1"/>
    </xf>
    <xf numFmtId="0" fontId="0" fillId="2" borderId="55" xfId="0" applyFont="1" applyFill="1" applyBorder="1" applyAlignment="1" applyProtection="1">
      <alignment horizontal="right" vertical="center" wrapText="1"/>
    </xf>
    <xf numFmtId="0" fontId="0" fillId="2" borderId="52" xfId="0" applyFont="1" applyFill="1" applyBorder="1" applyAlignment="1" applyProtection="1">
      <alignment horizontal="left" vertical="center" wrapText="1"/>
    </xf>
    <xf numFmtId="0" fontId="0" fillId="0" borderId="1" xfId="0" applyFont="1" applyFill="1" applyBorder="1" applyAlignment="1" applyProtection="1">
      <alignment horizontal="center" vertical="center" wrapText="1"/>
    </xf>
    <xf numFmtId="0" fontId="4" fillId="2" borderId="0" xfId="0" applyFont="1" applyFill="1"/>
    <xf numFmtId="179" fontId="4" fillId="0" borderId="70" xfId="0" applyNumberFormat="1" applyFont="1" applyFill="1" applyBorder="1" applyAlignment="1" applyProtection="1">
      <alignment horizontal="center" vertical="center" wrapText="1"/>
    </xf>
    <xf numFmtId="179" fontId="4" fillId="0" borderId="70" xfId="0" applyNumberFormat="1" applyFont="1" applyBorder="1" applyAlignment="1" applyProtection="1">
      <alignment horizontal="center" vertical="center" wrapText="1"/>
    </xf>
    <xf numFmtId="0" fontId="5" fillId="0" borderId="71" xfId="0" applyFont="1" applyBorder="1" applyAlignment="1" applyProtection="1">
      <alignment wrapText="1"/>
    </xf>
    <xf numFmtId="0" fontId="5" fillId="0" borderId="72" xfId="0" applyFont="1" applyBorder="1" applyAlignment="1" applyProtection="1">
      <alignment vertical="top" wrapText="1"/>
    </xf>
    <xf numFmtId="0" fontId="4" fillId="0" borderId="50" xfId="0" applyFont="1" applyFill="1" applyBorder="1" applyAlignment="1" applyProtection="1">
      <alignment wrapText="1"/>
    </xf>
    <xf numFmtId="0" fontId="4" fillId="2" borderId="73" xfId="0" applyFont="1" applyFill="1" applyBorder="1" applyAlignment="1">
      <alignment vertical="top"/>
    </xf>
    <xf numFmtId="0" fontId="5" fillId="2" borderId="60" xfId="0" applyFont="1" applyFill="1" applyBorder="1" applyAlignment="1" applyProtection="1">
      <alignment horizontal="left" wrapText="1"/>
    </xf>
    <xf numFmtId="0" fontId="14" fillId="0" borderId="40" xfId="0" applyFont="1" applyFill="1" applyBorder="1" applyAlignment="1" applyProtection="1">
      <alignment vertical="top" wrapText="1"/>
    </xf>
    <xf numFmtId="0" fontId="5" fillId="2" borderId="16" xfId="0" applyFont="1" applyFill="1" applyBorder="1" applyAlignment="1" applyProtection="1">
      <alignment vertical="top" wrapText="1"/>
    </xf>
    <xf numFmtId="0" fontId="5" fillId="3" borderId="66" xfId="0" applyFont="1" applyFill="1" applyBorder="1" applyAlignment="1" applyProtection="1">
      <alignment vertical="top" wrapText="1"/>
    </xf>
    <xf numFmtId="179" fontId="4" fillId="0" borderId="13" xfId="0" applyNumberFormat="1" applyFont="1" applyFill="1" applyBorder="1" applyAlignment="1" applyProtection="1">
      <alignment horizontal="center" vertical="center" wrapText="1"/>
    </xf>
    <xf numFmtId="0" fontId="4" fillId="0" borderId="16" xfId="0" applyFont="1" applyFill="1" applyBorder="1" applyAlignment="1" applyProtection="1">
      <alignment vertical="top" wrapText="1"/>
    </xf>
    <xf numFmtId="0" fontId="4" fillId="2" borderId="10" xfId="0" applyFont="1" applyFill="1" applyBorder="1" applyAlignment="1" applyProtection="1">
      <alignment horizontal="center" vertical="top" wrapText="1"/>
    </xf>
    <xf numFmtId="0" fontId="4" fillId="3" borderId="74" xfId="0" applyFont="1" applyFill="1" applyBorder="1" applyAlignment="1">
      <alignment horizontal="center" vertical="center" wrapText="1"/>
    </xf>
    <xf numFmtId="0" fontId="4" fillId="0" borderId="15" xfId="0" applyFont="1" applyFill="1" applyBorder="1" applyProtection="1"/>
    <xf numFmtId="179" fontId="4" fillId="2" borderId="65" xfId="0" applyNumberFormat="1" applyFont="1" applyFill="1" applyBorder="1" applyAlignment="1" applyProtection="1">
      <alignment horizontal="center" vertical="top" wrapText="1"/>
    </xf>
    <xf numFmtId="0" fontId="4" fillId="2" borderId="75" xfId="0" applyNumberFormat="1" applyFont="1" applyFill="1" applyBorder="1" applyAlignment="1" applyProtection="1">
      <alignment horizontal="center" vertical="top"/>
    </xf>
    <xf numFmtId="0" fontId="4" fillId="2" borderId="1" xfId="0" applyFont="1" applyFill="1" applyBorder="1" applyAlignment="1" applyProtection="1">
      <alignment vertical="top" wrapText="1"/>
    </xf>
    <xf numFmtId="0" fontId="5" fillId="0" borderId="50" xfId="0" applyFont="1" applyFill="1" applyBorder="1" applyAlignment="1" applyProtection="1">
      <alignment wrapText="1"/>
    </xf>
    <xf numFmtId="0" fontId="15" fillId="3" borderId="29" xfId="0" applyNumberFormat="1" applyFont="1" applyFill="1" applyBorder="1" applyAlignment="1" applyProtection="1">
      <alignment vertical="top" wrapText="1"/>
    </xf>
    <xf numFmtId="179" fontId="15" fillId="3" borderId="1" xfId="0" applyNumberFormat="1" applyFont="1" applyFill="1" applyBorder="1" applyAlignment="1" applyProtection="1">
      <alignment horizontal="center" vertical="top" wrapText="1"/>
    </xf>
    <xf numFmtId="0" fontId="15" fillId="3" borderId="26" xfId="0" applyNumberFormat="1" applyFont="1" applyFill="1" applyBorder="1" applyAlignment="1" applyProtection="1">
      <alignment horizontal="center" vertical="top"/>
    </xf>
    <xf numFmtId="0" fontId="15" fillId="3" borderId="1" xfId="0" applyFont="1" applyFill="1" applyBorder="1" applyAlignment="1" applyProtection="1">
      <alignment horizontal="center" vertical="center" wrapText="1"/>
    </xf>
    <xf numFmtId="0" fontId="15" fillId="3" borderId="36" xfId="0" applyFont="1" applyFill="1" applyBorder="1" applyAlignment="1" applyProtection="1">
      <alignment wrapText="1"/>
    </xf>
    <xf numFmtId="0" fontId="5" fillId="0" borderId="19" xfId="0" applyFont="1" applyBorder="1" applyAlignment="1" applyProtection="1">
      <alignment horizontal="center" vertical="center" wrapText="1"/>
    </xf>
    <xf numFmtId="179" fontId="4" fillId="0" borderId="77" xfId="0" applyNumberFormat="1" applyFont="1" applyBorder="1" applyAlignment="1" applyProtection="1">
      <alignment horizontal="center" vertical="center" wrapText="1"/>
    </xf>
    <xf numFmtId="0" fontId="4" fillId="0" borderId="20" xfId="0" applyFont="1" applyFill="1" applyBorder="1" applyAlignment="1" applyProtection="1">
      <alignment horizontal="center" vertical="center" wrapText="1"/>
    </xf>
    <xf numFmtId="0" fontId="4" fillId="2" borderId="76" xfId="0" applyFont="1" applyFill="1" applyBorder="1" applyAlignment="1" applyProtection="1">
      <alignment horizontal="center" vertical="top" wrapText="1"/>
      <protection locked="0"/>
    </xf>
    <xf numFmtId="178" fontId="4" fillId="2" borderId="16" xfId="0" applyNumberFormat="1" applyFont="1" applyFill="1" applyBorder="1" applyAlignment="1" applyProtection="1">
      <alignment horizontal="center" vertical="top" wrapText="1"/>
      <protection locked="0"/>
    </xf>
    <xf numFmtId="0" fontId="4" fillId="0" borderId="1" xfId="0" applyFont="1" applyFill="1" applyBorder="1" applyAlignment="1" applyProtection="1">
      <alignment horizontal="center" vertical="center" wrapText="1"/>
      <protection locked="0"/>
    </xf>
    <xf numFmtId="0" fontId="4" fillId="0" borderId="6" xfId="0" applyFont="1" applyFill="1" applyBorder="1" applyAlignment="1" applyProtection="1">
      <alignment horizontal="center" vertical="center" wrapText="1"/>
      <protection locked="0"/>
    </xf>
    <xf numFmtId="0" fontId="4" fillId="0" borderId="40" xfId="0" applyFont="1" applyFill="1" applyBorder="1" applyAlignment="1" applyProtection="1">
      <alignment vertical="top" wrapText="1"/>
      <protection locked="0"/>
    </xf>
    <xf numFmtId="0" fontId="4" fillId="3" borderId="50" xfId="0" applyFont="1" applyFill="1" applyBorder="1" applyAlignment="1" applyProtection="1">
      <alignment horizontal="center" vertical="top" wrapText="1"/>
      <protection locked="0"/>
    </xf>
    <xf numFmtId="0" fontId="4" fillId="0" borderId="36" xfId="0" applyFont="1" applyFill="1" applyBorder="1" applyAlignment="1">
      <alignment vertical="top" wrapText="1"/>
    </xf>
    <xf numFmtId="0" fontId="4" fillId="3" borderId="50" xfId="0" applyFont="1" applyFill="1" applyBorder="1" applyAlignment="1">
      <alignment horizontal="center" vertical="top" wrapText="1"/>
    </xf>
    <xf numFmtId="0" fontId="4" fillId="3" borderId="61" xfId="0" applyFont="1" applyFill="1" applyBorder="1" applyAlignment="1">
      <alignment horizontal="center" vertical="top" wrapText="1"/>
    </xf>
    <xf numFmtId="0" fontId="4" fillId="3" borderId="11"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2" borderId="6" xfId="0" applyFont="1" applyFill="1" applyBorder="1" applyAlignment="1" applyProtection="1">
      <alignment wrapText="1"/>
    </xf>
    <xf numFmtId="0" fontId="4" fillId="2" borderId="1" xfId="0" applyFont="1" applyFill="1" applyBorder="1" applyAlignment="1" applyProtection="1">
      <alignment wrapText="1"/>
    </xf>
    <xf numFmtId="179" fontId="4" fillId="0" borderId="18" xfId="0" applyNumberFormat="1" applyFont="1" applyBorder="1" applyAlignment="1" applyProtection="1">
      <alignment horizontal="center" vertical="center" wrapText="1"/>
    </xf>
    <xf numFmtId="179" fontId="4" fillId="0" borderId="9" xfId="0" applyNumberFormat="1" applyFont="1" applyBorder="1" applyAlignment="1" applyProtection="1">
      <alignment horizontal="center" vertical="center" wrapText="1"/>
    </xf>
    <xf numFmtId="179" fontId="4" fillId="0" borderId="4" xfId="0" applyNumberFormat="1" applyFont="1" applyBorder="1" applyAlignment="1" applyProtection="1">
      <alignment horizontal="center" vertical="center" wrapText="1"/>
    </xf>
    <xf numFmtId="0" fontId="4" fillId="0" borderId="40" xfId="0" applyFont="1" applyBorder="1" applyAlignment="1" applyProtection="1">
      <alignment vertical="top" wrapText="1"/>
    </xf>
    <xf numFmtId="0" fontId="4" fillId="2" borderId="9" xfId="0" applyFont="1" applyFill="1" applyBorder="1" applyAlignment="1" applyProtection="1">
      <alignment wrapText="1"/>
    </xf>
    <xf numFmtId="179" fontId="4" fillId="0" borderId="78" xfId="0" applyNumberFormat="1" applyFont="1" applyBorder="1" applyAlignment="1" applyProtection="1">
      <alignment horizontal="center" vertical="center" wrapText="1"/>
    </xf>
    <xf numFmtId="0" fontId="4" fillId="0" borderId="42" xfId="0" applyFont="1" applyBorder="1" applyAlignment="1" applyProtection="1">
      <alignment vertical="top" wrapText="1"/>
    </xf>
    <xf numFmtId="0" fontId="4" fillId="2" borderId="26" xfId="0" applyFont="1" applyFill="1" applyBorder="1" applyAlignment="1" applyProtection="1">
      <alignment wrapText="1"/>
    </xf>
    <xf numFmtId="0" fontId="4" fillId="2" borderId="33" xfId="0" applyFont="1" applyFill="1" applyBorder="1" applyAlignment="1" applyProtection="1">
      <alignment horizontal="left" vertical="top" wrapText="1"/>
    </xf>
    <xf numFmtId="178" fontId="4" fillId="2" borderId="41" xfId="0" applyNumberFormat="1" applyFont="1" applyFill="1" applyBorder="1" applyAlignment="1" applyProtection="1">
      <alignment horizontal="left" vertical="top" wrapText="1"/>
    </xf>
    <xf numFmtId="0" fontId="4" fillId="3" borderId="25" xfId="0" applyFont="1" applyFill="1" applyBorder="1" applyAlignment="1" applyProtection="1">
      <alignment horizontal="center" vertical="center" wrapText="1"/>
    </xf>
    <xf numFmtId="0" fontId="4" fillId="0" borderId="26"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5" fillId="0" borderId="28" xfId="0" applyFont="1" applyBorder="1" applyAlignment="1" applyProtection="1">
      <alignment horizontal="center" vertical="center" wrapText="1"/>
    </xf>
    <xf numFmtId="0" fontId="4" fillId="0" borderId="25" xfId="0" applyFont="1" applyBorder="1" applyAlignment="1" applyProtection="1">
      <alignment horizontal="center" vertical="center" wrapText="1"/>
    </xf>
    <xf numFmtId="0" fontId="4" fillId="3" borderId="26" xfId="0" applyFont="1" applyFill="1" applyBorder="1" applyAlignment="1" applyProtection="1">
      <alignment horizontal="center" vertical="center" wrapText="1"/>
    </xf>
    <xf numFmtId="0" fontId="15" fillId="3" borderId="26" xfId="0" applyFont="1" applyFill="1" applyBorder="1" applyAlignment="1" applyProtection="1">
      <alignment horizontal="center" vertical="center" wrapText="1"/>
    </xf>
    <xf numFmtId="0" fontId="4" fillId="0" borderId="26" xfId="0" applyFont="1" applyFill="1" applyBorder="1" applyAlignment="1" applyProtection="1">
      <alignment horizontal="center" vertical="center" wrapText="1"/>
    </xf>
    <xf numFmtId="0" fontId="4" fillId="3" borderId="28" xfId="0" applyFont="1" applyFill="1" applyBorder="1" applyAlignment="1" applyProtection="1">
      <alignment horizontal="center" vertical="center" wrapText="1"/>
    </xf>
    <xf numFmtId="0" fontId="4" fillId="0" borderId="28" xfId="0" applyFont="1" applyBorder="1" applyAlignment="1" applyProtection="1">
      <alignment horizontal="center" vertical="center" wrapText="1"/>
    </xf>
    <xf numFmtId="0" fontId="5" fillId="0" borderId="26" xfId="0" applyFont="1" applyFill="1" applyBorder="1" applyAlignment="1" applyProtection="1">
      <alignment horizontal="center" vertical="center" wrapText="1"/>
    </xf>
    <xf numFmtId="0" fontId="5" fillId="0" borderId="28" xfId="0" applyFont="1" applyFill="1" applyBorder="1" applyAlignment="1" applyProtection="1">
      <alignment horizontal="center" vertical="center" wrapText="1"/>
    </xf>
    <xf numFmtId="0" fontId="4" fillId="3" borderId="31" xfId="0" applyFont="1" applyFill="1" applyBorder="1" applyAlignment="1" applyProtection="1">
      <alignment horizontal="center" vertical="center" wrapText="1"/>
    </xf>
    <xf numFmtId="0" fontId="4" fillId="0" borderId="32" xfId="0" applyFont="1" applyBorder="1" applyAlignment="1" applyProtection="1">
      <alignment horizontal="center" vertical="center" wrapText="1"/>
    </xf>
    <xf numFmtId="179" fontId="4" fillId="0" borderId="25" xfId="0" applyNumberFormat="1" applyFont="1" applyBorder="1" applyAlignment="1" applyProtection="1">
      <alignment horizontal="center" vertical="center" wrapText="1"/>
    </xf>
    <xf numFmtId="179" fontId="4" fillId="0" borderId="26" xfId="0" applyNumberFormat="1" applyFont="1" applyBorder="1" applyAlignment="1" applyProtection="1">
      <alignment horizontal="center" vertical="center" wrapText="1"/>
    </xf>
    <xf numFmtId="179" fontId="4" fillId="0" borderId="34" xfId="0" applyNumberFormat="1" applyFont="1" applyBorder="1" applyAlignment="1" applyProtection="1">
      <alignment horizontal="center" vertical="center" wrapText="1"/>
    </xf>
    <xf numFmtId="0" fontId="4" fillId="0" borderId="79" xfId="0" applyFont="1" applyBorder="1" applyAlignment="1" applyProtection="1">
      <alignment vertical="top" wrapText="1"/>
    </xf>
    <xf numFmtId="0" fontId="5" fillId="0" borderId="10" xfId="0" applyFont="1" applyBorder="1" applyProtection="1"/>
    <xf numFmtId="0" fontId="5" fillId="0" borderId="10" xfId="0" applyFont="1" applyBorder="1" applyAlignment="1" applyProtection="1">
      <alignment vertical="top" wrapText="1"/>
    </xf>
    <xf numFmtId="178" fontId="4" fillId="0" borderId="54" xfId="0" applyNumberFormat="1" applyFont="1" applyBorder="1" applyProtection="1"/>
    <xf numFmtId="0" fontId="4" fillId="2" borderId="29" xfId="0" applyFont="1" applyFill="1" applyBorder="1" applyAlignment="1" applyProtection="1">
      <alignment wrapText="1"/>
    </xf>
    <xf numFmtId="0" fontId="4" fillId="2" borderId="80" xfId="0" applyFont="1" applyFill="1" applyBorder="1" applyAlignment="1" applyProtection="1">
      <alignment horizontal="left" vertical="top" wrapText="1"/>
    </xf>
    <xf numFmtId="178" fontId="4" fillId="2" borderId="81" xfId="0" applyNumberFormat="1" applyFont="1" applyFill="1" applyBorder="1" applyAlignment="1" applyProtection="1">
      <alignment horizontal="left" vertical="top" wrapText="1"/>
    </xf>
    <xf numFmtId="0" fontId="4" fillId="3" borderId="30" xfId="0" applyFont="1" applyFill="1" applyBorder="1" applyAlignment="1" applyProtection="1">
      <alignment horizontal="center" vertical="center" wrapText="1"/>
    </xf>
    <xf numFmtId="0" fontId="4" fillId="0" borderId="29" xfId="0" applyFont="1" applyBorder="1" applyAlignment="1" applyProtection="1">
      <alignment horizontal="center" vertical="center" wrapText="1"/>
    </xf>
    <xf numFmtId="0" fontId="5" fillId="0" borderId="29" xfId="0" applyFont="1" applyBorder="1" applyAlignment="1" applyProtection="1">
      <alignment horizontal="center" vertical="center" wrapText="1"/>
    </xf>
    <xf numFmtId="0" fontId="5" fillId="0" borderId="27" xfId="0" applyFont="1" applyBorder="1" applyAlignment="1" applyProtection="1">
      <alignment horizontal="center" vertical="center" wrapText="1"/>
    </xf>
    <xf numFmtId="0" fontId="4" fillId="0" borderId="30" xfId="0" applyFont="1" applyBorder="1" applyAlignment="1" applyProtection="1">
      <alignment horizontal="center" vertical="center" wrapText="1"/>
    </xf>
    <xf numFmtId="0" fontId="4" fillId="3" borderId="29" xfId="0" applyFont="1" applyFill="1" applyBorder="1" applyAlignment="1" applyProtection="1">
      <alignment horizontal="center" vertical="center" wrapText="1"/>
    </xf>
    <xf numFmtId="0" fontId="15" fillId="3" borderId="29" xfId="0" applyFont="1" applyFill="1" applyBorder="1" applyAlignment="1" applyProtection="1">
      <alignment horizontal="center" vertical="center" wrapText="1"/>
    </xf>
    <xf numFmtId="0" fontId="4" fillId="3" borderId="27" xfId="0" applyFont="1" applyFill="1" applyBorder="1" applyAlignment="1" applyProtection="1">
      <alignment horizontal="center" vertical="center" wrapText="1"/>
    </xf>
    <xf numFmtId="0" fontId="4" fillId="0" borderId="27" xfId="0" applyFont="1" applyFill="1" applyBorder="1" applyAlignment="1" applyProtection="1">
      <alignment horizontal="center" vertical="center" wrapText="1"/>
    </xf>
    <xf numFmtId="0" fontId="4" fillId="3" borderId="82" xfId="0" applyFont="1" applyFill="1" applyBorder="1" applyAlignment="1" applyProtection="1">
      <alignment horizontal="center" vertical="center" wrapText="1"/>
    </xf>
    <xf numFmtId="0" fontId="4" fillId="0" borderId="57" xfId="0" applyFont="1" applyBorder="1" applyAlignment="1" applyProtection="1">
      <alignment horizontal="center" vertical="center" wrapText="1"/>
    </xf>
    <xf numFmtId="179" fontId="4" fillId="0" borderId="30" xfId="0" applyNumberFormat="1" applyFont="1" applyBorder="1" applyAlignment="1" applyProtection="1">
      <alignment horizontal="center" vertical="center" wrapText="1"/>
    </xf>
    <xf numFmtId="179" fontId="4" fillId="0" borderId="29" xfId="0" applyNumberFormat="1" applyFont="1" applyBorder="1" applyAlignment="1" applyProtection="1">
      <alignment horizontal="center" vertical="center" wrapText="1"/>
    </xf>
    <xf numFmtId="0" fontId="4" fillId="0" borderId="39" xfId="0" applyFont="1" applyBorder="1" applyAlignment="1" applyProtection="1">
      <alignment vertical="top" wrapText="1"/>
    </xf>
    <xf numFmtId="0" fontId="4" fillId="0" borderId="28" xfId="0" applyFont="1" applyFill="1" applyBorder="1" applyAlignment="1" applyProtection="1">
      <alignment horizontal="center" vertical="center" wrapText="1"/>
    </xf>
    <xf numFmtId="0" fontId="4" fillId="2" borderId="83" xfId="0" applyFont="1" applyFill="1" applyBorder="1" applyAlignment="1" applyProtection="1">
      <alignment horizontal="left" vertical="top" wrapText="1"/>
    </xf>
    <xf numFmtId="178" fontId="4" fillId="2" borderId="54" xfId="0" applyNumberFormat="1" applyFont="1" applyFill="1" applyBorder="1" applyAlignment="1" applyProtection="1">
      <alignment horizontal="left" vertical="top" wrapText="1"/>
    </xf>
    <xf numFmtId="0" fontId="4" fillId="3" borderId="5" xfId="0" applyFont="1" applyFill="1" applyBorder="1" applyAlignment="1" applyProtection="1">
      <alignment horizontal="center" vertical="center" wrapText="1"/>
    </xf>
    <xf numFmtId="0" fontId="4" fillId="0" borderId="6"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84" xfId="0" applyFont="1" applyBorder="1" applyAlignment="1" applyProtection="1">
      <alignment horizontal="center" vertical="center" wrapText="1"/>
    </xf>
    <xf numFmtId="0" fontId="4" fillId="0" borderId="5" xfId="0" applyFont="1" applyBorder="1" applyAlignment="1" applyProtection="1">
      <alignment horizontal="center" vertical="center" wrapText="1"/>
    </xf>
    <xf numFmtId="0" fontId="4" fillId="3" borderId="84" xfId="0" applyFont="1" applyFill="1" applyBorder="1" applyAlignment="1" applyProtection="1">
      <alignment horizontal="center" vertical="center" wrapText="1"/>
    </xf>
    <xf numFmtId="0" fontId="4" fillId="0" borderId="84" xfId="0" applyFont="1" applyFill="1" applyBorder="1" applyAlignment="1" applyProtection="1">
      <alignment horizontal="center" vertical="center" wrapText="1"/>
    </xf>
    <xf numFmtId="0" fontId="4" fillId="0" borderId="85" xfId="0" applyFont="1" applyBorder="1" applyAlignment="1" applyProtection="1">
      <alignment horizontal="center" vertical="center" wrapText="1"/>
    </xf>
    <xf numFmtId="179" fontId="4" fillId="0" borderId="86" xfId="0" applyNumberFormat="1" applyFont="1" applyBorder="1" applyAlignment="1" applyProtection="1">
      <alignment horizontal="center" vertical="center" wrapText="1"/>
    </xf>
    <xf numFmtId="0" fontId="4" fillId="0" borderId="45" xfId="0" applyFont="1" applyBorder="1" applyAlignment="1" applyProtection="1">
      <alignment vertical="top" wrapText="1"/>
    </xf>
    <xf numFmtId="0" fontId="5" fillId="2" borderId="87" xfId="0" applyFont="1" applyFill="1" applyBorder="1" applyProtection="1"/>
    <xf numFmtId="0" fontId="4" fillId="2" borderId="13" xfId="0" applyFont="1" applyFill="1" applyBorder="1" applyProtection="1"/>
    <xf numFmtId="0" fontId="4" fillId="2" borderId="75" xfId="0" applyFont="1" applyFill="1" applyBorder="1" applyProtection="1"/>
    <xf numFmtId="0" fontId="4" fillId="0" borderId="18" xfId="0" applyFont="1" applyFill="1" applyBorder="1" applyAlignment="1" applyProtection="1">
      <alignment horizontal="center" vertical="center" wrapText="1"/>
    </xf>
    <xf numFmtId="0" fontId="4" fillId="0" borderId="38" xfId="0" applyFont="1" applyFill="1" applyBorder="1" applyAlignment="1" applyProtection="1">
      <alignment wrapText="1"/>
    </xf>
    <xf numFmtId="0" fontId="4" fillId="0" borderId="0" xfId="0" applyFont="1" applyFill="1" applyBorder="1" applyProtection="1"/>
    <xf numFmtId="0" fontId="4" fillId="0" borderId="30" xfId="0" applyFont="1" applyFill="1" applyBorder="1" applyAlignment="1" applyProtection="1">
      <alignment horizontal="center" vertical="center" wrapText="1"/>
    </xf>
    <xf numFmtId="0" fontId="4" fillId="0" borderId="25" xfId="0" applyFont="1" applyFill="1" applyBorder="1" applyAlignment="1" applyProtection="1">
      <alignment horizontal="center" vertical="center" wrapText="1"/>
    </xf>
    <xf numFmtId="0" fontId="4" fillId="0" borderId="5" xfId="0" applyFont="1" applyFill="1" applyBorder="1" applyAlignment="1" applyProtection="1">
      <alignment horizontal="center" vertical="center" wrapText="1"/>
    </xf>
    <xf numFmtId="179" fontId="4" fillId="0" borderId="5" xfId="0" applyNumberFormat="1" applyFont="1" applyFill="1" applyBorder="1" applyAlignment="1" applyProtection="1">
      <alignment horizontal="center" vertical="center" wrapText="1"/>
    </xf>
    <xf numFmtId="179" fontId="4" fillId="0" borderId="11" xfId="0" applyNumberFormat="1" applyFont="1" applyFill="1" applyBorder="1" applyAlignment="1" applyProtection="1">
      <alignment horizontal="center" vertical="center" wrapText="1"/>
    </xf>
    <xf numFmtId="179" fontId="4" fillId="0" borderId="6" xfId="0" applyNumberFormat="1" applyFont="1" applyFill="1" applyBorder="1" applyAlignment="1" applyProtection="1">
      <alignment horizontal="center" vertical="center" wrapText="1"/>
    </xf>
    <xf numFmtId="179" fontId="4" fillId="0" borderId="77" xfId="0" applyNumberFormat="1" applyFont="1" applyFill="1" applyBorder="1" applyAlignment="1" applyProtection="1">
      <alignment horizontal="center" vertical="center" wrapText="1"/>
    </xf>
    <xf numFmtId="179" fontId="4" fillId="0" borderId="86" xfId="0" applyNumberFormat="1" applyFont="1" applyFill="1" applyBorder="1" applyAlignment="1" applyProtection="1">
      <alignment horizontal="center" vertical="center" wrapText="1"/>
    </xf>
    <xf numFmtId="0" fontId="4" fillId="0" borderId="0" xfId="0" applyFont="1" applyBorder="1" applyAlignment="1" applyProtection="1"/>
    <xf numFmtId="0" fontId="4" fillId="0" borderId="19" xfId="0" applyFont="1" applyBorder="1" applyAlignment="1" applyProtection="1">
      <alignment horizontal="center" vertical="center" wrapText="1"/>
    </xf>
    <xf numFmtId="178" fontId="4" fillId="0" borderId="36" xfId="0" applyNumberFormat="1" applyFont="1" applyFill="1" applyBorder="1" applyAlignment="1" applyProtection="1">
      <alignment wrapText="1"/>
    </xf>
    <xf numFmtId="178" fontId="4" fillId="0" borderId="0" xfId="0" applyNumberFormat="1" applyFont="1" applyFill="1" applyProtection="1"/>
    <xf numFmtId="0" fontId="0" fillId="2" borderId="47" xfId="0" applyFont="1" applyFill="1" applyBorder="1" applyAlignment="1" applyProtection="1">
      <alignment vertical="top" wrapText="1"/>
    </xf>
    <xf numFmtId="0" fontId="0" fillId="2" borderId="56" xfId="0" applyFont="1" applyFill="1" applyBorder="1" applyAlignment="1" applyProtection="1">
      <alignment vertical="top" wrapText="1"/>
    </xf>
    <xf numFmtId="0" fontId="0" fillId="0" borderId="1" xfId="0" applyFill="1" applyBorder="1" applyAlignment="1">
      <alignment horizontal="justify" vertical="top"/>
    </xf>
    <xf numFmtId="0" fontId="4" fillId="0" borderId="54" xfId="0" applyFont="1" applyFill="1" applyBorder="1" applyAlignment="1">
      <alignment vertical="top" wrapText="1"/>
    </xf>
    <xf numFmtId="0" fontId="4" fillId="0" borderId="88" xfId="0" applyFont="1" applyBorder="1" applyProtection="1"/>
    <xf numFmtId="0" fontId="4" fillId="0" borderId="63" xfId="0" applyFont="1" applyBorder="1" applyProtection="1"/>
    <xf numFmtId="0" fontId="4" fillId="0" borderId="52" xfId="0" applyFont="1" applyBorder="1" applyAlignment="1" applyProtection="1">
      <alignment vertical="top" wrapText="1"/>
    </xf>
    <xf numFmtId="0" fontId="4" fillId="0" borderId="17" xfId="0" applyFont="1" applyBorder="1" applyAlignment="1" applyProtection="1">
      <alignment vertical="top" wrapText="1"/>
    </xf>
    <xf numFmtId="0" fontId="4" fillId="0" borderId="53" xfId="0" applyFont="1" applyBorder="1" applyAlignment="1" applyProtection="1">
      <alignment vertical="top" wrapText="1"/>
    </xf>
    <xf numFmtId="0" fontId="4" fillId="0" borderId="49" xfId="0" applyFont="1" applyBorder="1" applyAlignment="1" applyProtection="1">
      <alignment wrapText="1"/>
    </xf>
    <xf numFmtId="0" fontId="4" fillId="0" borderId="49" xfId="0" applyFont="1" applyBorder="1" applyAlignment="1" applyProtection="1">
      <alignment vertical="top" wrapText="1"/>
    </xf>
    <xf numFmtId="178" fontId="4" fillId="0" borderId="53" xfId="0" applyNumberFormat="1" applyFont="1" applyBorder="1" applyProtection="1"/>
    <xf numFmtId="0" fontId="4" fillId="0" borderId="49" xfId="0" applyFont="1" applyFill="1" applyBorder="1" applyProtection="1"/>
    <xf numFmtId="0" fontId="4" fillId="0" borderId="53" xfId="0" applyFont="1" applyBorder="1" applyProtection="1"/>
    <xf numFmtId="178" fontId="4" fillId="0" borderId="49" xfId="0" applyNumberFormat="1" applyFont="1" applyFill="1" applyBorder="1" applyProtection="1"/>
    <xf numFmtId="0" fontId="5" fillId="3" borderId="31" xfId="0" applyFont="1" applyFill="1" applyBorder="1" applyAlignment="1">
      <alignment horizontal="center" vertical="top"/>
    </xf>
    <xf numFmtId="0" fontId="4" fillId="3" borderId="33" xfId="0" applyFont="1" applyFill="1" applyBorder="1" applyAlignment="1">
      <alignment horizontal="center" vertical="top"/>
    </xf>
    <xf numFmtId="0" fontId="4" fillId="3" borderId="41" xfId="0" applyFont="1" applyFill="1" applyBorder="1" applyAlignment="1">
      <alignment horizontal="center" vertical="top"/>
    </xf>
    <xf numFmtId="0" fontId="4" fillId="0" borderId="52" xfId="0" applyFont="1" applyBorder="1" applyProtection="1"/>
    <xf numFmtId="0" fontId="5" fillId="0" borderId="89" xfId="0" applyFont="1" applyFill="1" applyBorder="1" applyAlignment="1">
      <alignment horizontal="center"/>
    </xf>
    <xf numFmtId="0" fontId="0" fillId="0" borderId="89" xfId="0" applyFill="1" applyBorder="1" applyAlignment="1">
      <alignment horizontal="center"/>
    </xf>
    <xf numFmtId="0" fontId="22" fillId="0" borderId="23" xfId="0" applyFont="1" applyFill="1" applyBorder="1" applyAlignment="1" applyProtection="1">
      <alignment vertical="top" wrapText="1"/>
    </xf>
    <xf numFmtId="0" fontId="4" fillId="0" borderId="2" xfId="0" applyFont="1" applyFill="1" applyBorder="1" applyAlignment="1">
      <alignment horizontal="center" vertical="top"/>
    </xf>
    <xf numFmtId="0" fontId="5" fillId="0" borderId="8" xfId="0" applyFont="1" applyFill="1" applyBorder="1" applyAlignment="1">
      <alignment horizontal="center" vertical="top"/>
    </xf>
    <xf numFmtId="0" fontId="4" fillId="0" borderId="23" xfId="0" applyFont="1" applyFill="1" applyBorder="1" applyAlignment="1">
      <alignment horizontal="center" vertical="top"/>
    </xf>
    <xf numFmtId="0" fontId="14" fillId="0" borderId="42" xfId="0" applyFont="1" applyFill="1" applyBorder="1" applyAlignment="1" applyProtection="1">
      <alignment vertical="top" wrapText="1"/>
    </xf>
    <xf numFmtId="0" fontId="4" fillId="0" borderId="0" xfId="0" applyFont="1" applyFill="1" applyBorder="1" applyAlignment="1">
      <alignment wrapText="1"/>
    </xf>
    <xf numFmtId="0" fontId="4" fillId="0" borderId="0" xfId="0" applyFont="1" applyFill="1" applyBorder="1"/>
    <xf numFmtId="0" fontId="4" fillId="0" borderId="0" xfId="0" applyFont="1" applyFill="1" applyBorder="1" applyAlignment="1">
      <alignment horizontal="center" vertical="center" wrapText="1"/>
    </xf>
    <xf numFmtId="0" fontId="22" fillId="0" borderId="0" xfId="0" applyFont="1" applyFill="1" applyBorder="1" applyAlignment="1">
      <alignment horizontal="center" vertical="center" wrapText="1"/>
    </xf>
    <xf numFmtId="0" fontId="5" fillId="0" borderId="0" xfId="0" applyFont="1" applyFill="1" applyBorder="1" applyAlignment="1">
      <alignment vertical="top" wrapText="1"/>
    </xf>
    <xf numFmtId="0" fontId="5" fillId="0" borderId="18" xfId="0" applyFont="1" applyFill="1" applyBorder="1" applyAlignment="1" applyProtection="1">
      <alignment horizontal="center" vertical="center" wrapText="1"/>
    </xf>
    <xf numFmtId="0" fontId="4" fillId="0" borderId="24" xfId="0" applyFont="1" applyFill="1" applyBorder="1" applyAlignment="1" applyProtection="1">
      <alignment horizontal="center" vertical="center" wrapText="1"/>
    </xf>
    <xf numFmtId="0" fontId="0" fillId="0" borderId="1" xfId="0" applyFill="1" applyBorder="1" applyAlignment="1" applyProtection="1">
      <alignment horizontal="center" vertical="center" wrapText="1"/>
    </xf>
    <xf numFmtId="0" fontId="22" fillId="0" borderId="0" xfId="3" applyFont="1" applyAlignment="1">
      <alignment horizontal="right" wrapText="1"/>
    </xf>
    <xf numFmtId="179" fontId="4" fillId="2" borderId="7" xfId="0" applyNumberFormat="1" applyFont="1" applyFill="1" applyBorder="1" applyAlignment="1" applyProtection="1">
      <alignment horizontal="center" vertical="top" wrapText="1"/>
    </xf>
    <xf numFmtId="0" fontId="4" fillId="3" borderId="1" xfId="0" applyFont="1" applyFill="1" applyBorder="1"/>
    <xf numFmtId="0" fontId="4" fillId="0" borderId="89" xfId="0" applyFont="1" applyFill="1" applyBorder="1" applyAlignment="1">
      <alignment horizontal="center"/>
    </xf>
    <xf numFmtId="0" fontId="0" fillId="0" borderId="50" xfId="0" applyFill="1" applyBorder="1" applyAlignment="1" applyProtection="1">
      <alignment horizontal="center" vertical="top" wrapText="1"/>
    </xf>
    <xf numFmtId="0" fontId="4" fillId="0" borderId="50" xfId="0" applyFont="1" applyFill="1" applyBorder="1" applyAlignment="1" applyProtection="1">
      <alignment horizontal="center" vertical="top" wrapText="1"/>
    </xf>
    <xf numFmtId="0" fontId="19" fillId="0" borderId="73" xfId="0" applyFont="1" applyFill="1" applyBorder="1" applyAlignment="1" applyProtection="1">
      <alignment vertical="top" wrapText="1"/>
    </xf>
    <xf numFmtId="0" fontId="4" fillId="2" borderId="90" xfId="0" applyFont="1" applyFill="1" applyBorder="1" applyAlignment="1" applyProtection="1">
      <alignment horizontal="center" vertical="top" wrapText="1"/>
    </xf>
    <xf numFmtId="0" fontId="0" fillId="2" borderId="49" xfId="0" applyFill="1" applyBorder="1" applyAlignment="1" applyProtection="1">
      <alignment vertical="top" textRotation="180" wrapText="1"/>
    </xf>
    <xf numFmtId="179" fontId="4" fillId="2" borderId="4" xfId="0" applyNumberFormat="1" applyFont="1" applyFill="1" applyBorder="1" applyAlignment="1" applyProtection="1">
      <alignment horizontal="center" vertical="top" wrapText="1"/>
    </xf>
    <xf numFmtId="0" fontId="4" fillId="2" borderId="31" xfId="0" applyNumberFormat="1" applyFont="1" applyFill="1" applyBorder="1" applyAlignment="1" applyProtection="1">
      <alignment horizontal="center" vertical="top"/>
    </xf>
    <xf numFmtId="0" fontId="0" fillId="0" borderId="1" xfId="0" applyFill="1" applyBorder="1" applyAlignment="1">
      <alignment vertical="top"/>
    </xf>
    <xf numFmtId="0" fontId="4" fillId="0" borderId="38" xfId="0" applyFont="1" applyFill="1" applyBorder="1" applyAlignment="1" applyProtection="1">
      <alignment vertical="top" wrapText="1"/>
    </xf>
    <xf numFmtId="0" fontId="27" fillId="0" borderId="0" xfId="3" applyFont="1" applyAlignment="1">
      <alignment horizontal="right" wrapText="1"/>
    </xf>
    <xf numFmtId="0" fontId="4" fillId="0" borderId="0" xfId="0" applyFont="1" applyFill="1" applyAlignment="1">
      <alignment vertical="top"/>
    </xf>
    <xf numFmtId="0" fontId="4" fillId="4" borderId="1" xfId="0" applyFont="1" applyFill="1" applyBorder="1" applyAlignment="1" applyProtection="1">
      <alignment horizontal="center" vertical="center" wrapText="1"/>
    </xf>
    <xf numFmtId="0" fontId="4" fillId="4" borderId="7" xfId="0" applyFont="1" applyFill="1" applyBorder="1" applyAlignment="1" applyProtection="1">
      <alignment horizontal="center" vertical="center" wrapText="1"/>
    </xf>
    <xf numFmtId="0" fontId="4" fillId="4" borderId="9" xfId="0" applyFont="1" applyFill="1" applyBorder="1" applyAlignment="1" applyProtection="1">
      <alignment horizontal="center" vertical="center" wrapText="1"/>
    </xf>
    <xf numFmtId="0" fontId="4" fillId="4" borderId="6" xfId="0" applyFont="1" applyFill="1" applyBorder="1" applyAlignment="1" applyProtection="1">
      <alignment horizontal="center" vertical="center" wrapText="1"/>
    </xf>
    <xf numFmtId="0" fontId="4" fillId="4" borderId="10" xfId="0" applyFont="1" applyFill="1" applyBorder="1" applyAlignment="1" applyProtection="1">
      <alignment horizontal="center" vertical="center" wrapText="1"/>
    </xf>
    <xf numFmtId="0" fontId="4" fillId="4" borderId="4" xfId="0" applyFont="1" applyFill="1" applyBorder="1" applyAlignment="1" applyProtection="1">
      <alignment horizontal="center" vertical="center" wrapText="1"/>
    </xf>
    <xf numFmtId="0" fontId="4" fillId="4" borderId="19" xfId="0" applyFont="1" applyFill="1" applyBorder="1" applyAlignment="1" applyProtection="1">
      <alignment horizontal="center" vertical="center" wrapText="1"/>
    </xf>
    <xf numFmtId="0" fontId="4" fillId="4" borderId="68" xfId="0" applyFont="1" applyFill="1" applyBorder="1" applyAlignment="1">
      <alignment horizontal="center" vertical="center" wrapText="1"/>
    </xf>
    <xf numFmtId="0" fontId="4" fillId="4" borderId="69" xfId="0" applyFont="1" applyFill="1" applyBorder="1" applyAlignment="1">
      <alignment horizontal="center" vertical="center" wrapText="1"/>
    </xf>
    <xf numFmtId="0" fontId="4" fillId="4" borderId="91" xfId="0" applyFont="1" applyFill="1" applyBorder="1" applyAlignment="1" applyProtection="1">
      <alignment horizontal="center" vertical="center" wrapText="1"/>
    </xf>
    <xf numFmtId="0" fontId="4" fillId="4" borderId="11" xfId="0" applyFont="1" applyFill="1" applyBorder="1" applyAlignment="1" applyProtection="1">
      <alignment horizontal="center" vertical="center" wrapText="1"/>
    </xf>
    <xf numFmtId="0" fontId="4" fillId="4" borderId="92" xfId="0" applyFont="1" applyFill="1" applyBorder="1" applyAlignment="1" applyProtection="1">
      <alignment horizontal="center" vertical="center" wrapText="1"/>
    </xf>
    <xf numFmtId="0" fontId="4" fillId="4" borderId="12" xfId="0" applyFont="1" applyFill="1" applyBorder="1" applyAlignment="1" applyProtection="1">
      <alignment horizontal="center" vertical="center" wrapText="1"/>
    </xf>
    <xf numFmtId="0" fontId="4" fillId="4" borderId="74" xfId="0" applyFont="1" applyFill="1" applyBorder="1" applyAlignment="1" applyProtection="1">
      <alignment horizontal="center" vertical="center" wrapText="1"/>
    </xf>
    <xf numFmtId="0" fontId="4" fillId="4" borderId="93" xfId="0" applyFont="1" applyFill="1" applyBorder="1" applyAlignment="1" applyProtection="1">
      <alignment horizontal="center" vertical="center" wrapText="1"/>
    </xf>
    <xf numFmtId="0" fontId="4" fillId="4" borderId="94" xfId="0" applyFont="1" applyFill="1" applyBorder="1" applyAlignment="1" applyProtection="1">
      <alignment horizontal="center" vertical="center" wrapText="1"/>
    </xf>
    <xf numFmtId="0" fontId="15" fillId="4" borderId="74" xfId="0" applyFont="1" applyFill="1" applyBorder="1" applyAlignment="1" applyProtection="1">
      <alignment horizontal="center" vertical="center" wrapText="1"/>
    </xf>
    <xf numFmtId="0" fontId="4" fillId="4" borderId="95" xfId="0" applyFont="1" applyFill="1" applyBorder="1" applyAlignment="1" applyProtection="1">
      <alignment horizontal="center" vertical="center" wrapText="1"/>
    </xf>
    <xf numFmtId="0" fontId="4" fillId="4" borderId="96" xfId="0" applyFont="1" applyFill="1" applyBorder="1" applyAlignment="1" applyProtection="1">
      <alignment horizontal="center" vertical="center" wrapText="1"/>
    </xf>
    <xf numFmtId="0" fontId="4" fillId="4" borderId="97" xfId="0" applyFont="1" applyFill="1" applyBorder="1" applyAlignment="1" applyProtection="1">
      <alignment horizontal="center" vertical="center" wrapText="1"/>
    </xf>
    <xf numFmtId="0" fontId="4" fillId="0" borderId="17" xfId="0" applyFont="1" applyFill="1" applyBorder="1" applyAlignment="1" applyProtection="1">
      <alignment vertical="top" wrapText="1"/>
    </xf>
    <xf numFmtId="0" fontId="4" fillId="0" borderId="50" xfId="0" applyFont="1" applyFill="1" applyBorder="1" applyAlignment="1" applyProtection="1">
      <alignment vertical="top" wrapText="1"/>
    </xf>
    <xf numFmtId="0" fontId="5" fillId="0" borderId="50" xfId="0" applyFont="1" applyFill="1" applyBorder="1" applyAlignment="1" applyProtection="1">
      <alignment vertical="top" wrapText="1"/>
    </xf>
    <xf numFmtId="0" fontId="4" fillId="0" borderId="98" xfId="0" applyFont="1" applyBorder="1" applyAlignment="1" applyProtection="1">
      <alignment wrapText="1"/>
    </xf>
    <xf numFmtId="0" fontId="0" fillId="0" borderId="1" xfId="0" applyBorder="1" applyAlignment="1">
      <alignment horizontal="left" vertical="top" wrapText="1"/>
    </xf>
    <xf numFmtId="0" fontId="5" fillId="6" borderId="7" xfId="0" applyFont="1" applyFill="1" applyBorder="1" applyAlignment="1" applyProtection="1">
      <alignment horizontal="left" vertical="top" wrapText="1"/>
    </xf>
    <xf numFmtId="0" fontId="4" fillId="6" borderId="3" xfId="0" applyFont="1" applyFill="1" applyBorder="1" applyAlignment="1" applyProtection="1">
      <alignment horizontal="left" vertical="top" wrapText="1"/>
    </xf>
    <xf numFmtId="0" fontId="4" fillId="6" borderId="7" xfId="0" applyFont="1" applyFill="1" applyBorder="1" applyAlignment="1" applyProtection="1">
      <alignment horizontal="left" vertical="top" wrapText="1"/>
    </xf>
    <xf numFmtId="178" fontId="4" fillId="6" borderId="16" xfId="0" applyNumberFormat="1" applyFont="1" applyFill="1" applyBorder="1" applyAlignment="1" applyProtection="1">
      <alignment horizontal="center" vertical="top" wrapText="1"/>
    </xf>
    <xf numFmtId="178" fontId="4" fillId="6" borderId="16" xfId="0" applyNumberFormat="1" applyFont="1" applyFill="1" applyBorder="1" applyAlignment="1" applyProtection="1">
      <alignment horizontal="justify" vertical="top" wrapText="1"/>
    </xf>
    <xf numFmtId="0" fontId="4" fillId="6" borderId="4" xfId="0" applyFont="1" applyFill="1" applyBorder="1" applyAlignment="1" applyProtection="1">
      <alignment horizontal="left" vertical="top" wrapText="1"/>
    </xf>
    <xf numFmtId="178" fontId="28" fillId="6" borderId="54" xfId="0" applyNumberFormat="1" applyFont="1" applyFill="1" applyBorder="1" applyAlignment="1">
      <alignment horizontal="left" vertical="top"/>
    </xf>
    <xf numFmtId="0" fontId="4" fillId="5" borderId="4" xfId="0" applyFont="1" applyFill="1" applyBorder="1" applyAlignment="1" applyProtection="1">
      <alignment horizontal="center" vertical="center" wrapText="1"/>
    </xf>
    <xf numFmtId="0" fontId="4" fillId="5" borderId="91" xfId="0" applyFont="1" applyFill="1" applyBorder="1" applyAlignment="1" applyProtection="1">
      <alignment horizontal="center" vertical="center" wrapText="1"/>
    </xf>
    <xf numFmtId="0" fontId="4" fillId="5" borderId="90" xfId="0" applyFont="1" applyFill="1" applyBorder="1" applyAlignment="1" applyProtection="1">
      <alignment horizontal="center" vertical="center" wrapText="1"/>
    </xf>
    <xf numFmtId="0" fontId="4" fillId="5" borderId="1" xfId="0" applyFont="1" applyFill="1" applyBorder="1" applyAlignment="1" applyProtection="1">
      <alignment horizontal="center" vertical="center" wrapText="1"/>
    </xf>
    <xf numFmtId="0" fontId="4" fillId="5" borderId="11" xfId="0" applyFont="1" applyFill="1" applyBorder="1" applyAlignment="1" applyProtection="1">
      <alignment horizontal="center" vertical="center" wrapText="1"/>
    </xf>
    <xf numFmtId="0" fontId="4" fillId="5" borderId="74" xfId="0" applyFont="1" applyFill="1" applyBorder="1" applyAlignment="1" applyProtection="1">
      <alignment horizontal="center" vertical="center" wrapText="1"/>
    </xf>
    <xf numFmtId="0" fontId="5" fillId="5" borderId="1" xfId="0" applyFont="1" applyFill="1" applyBorder="1" applyAlignment="1" applyProtection="1">
      <alignment horizontal="center" vertical="center" wrapText="1"/>
    </xf>
    <xf numFmtId="0" fontId="5" fillId="5" borderId="19" xfId="0" applyFont="1" applyFill="1" applyBorder="1" applyAlignment="1" applyProtection="1">
      <alignment horizontal="center" vertical="center" wrapText="1"/>
    </xf>
    <xf numFmtId="0" fontId="4" fillId="5" borderId="92" xfId="0" applyFont="1" applyFill="1" applyBorder="1" applyAlignment="1" applyProtection="1">
      <alignment horizontal="center" vertical="center" wrapText="1"/>
    </xf>
    <xf numFmtId="0" fontId="4" fillId="5" borderId="93" xfId="0" applyFont="1" applyFill="1" applyBorder="1" applyAlignment="1" applyProtection="1">
      <alignment horizontal="center" vertical="center" wrapText="1"/>
    </xf>
    <xf numFmtId="0" fontId="4" fillId="5" borderId="94" xfId="0" applyFont="1" applyFill="1" applyBorder="1" applyAlignment="1" applyProtection="1">
      <alignment horizontal="center" vertical="center" wrapText="1"/>
    </xf>
    <xf numFmtId="0" fontId="4" fillId="5" borderId="19" xfId="0" applyFont="1" applyFill="1" applyBorder="1" applyAlignment="1" applyProtection="1">
      <alignment horizontal="center" vertical="center" wrapText="1"/>
    </xf>
    <xf numFmtId="0" fontId="4" fillId="5" borderId="13" xfId="0" applyFont="1" applyFill="1" applyBorder="1" applyAlignment="1" applyProtection="1">
      <alignment horizontal="center" vertical="center" wrapText="1"/>
    </xf>
    <xf numFmtId="0" fontId="4" fillId="5" borderId="7" xfId="0" applyFont="1" applyFill="1" applyBorder="1" applyAlignment="1" applyProtection="1">
      <alignment horizontal="center" vertical="center" wrapText="1"/>
    </xf>
    <xf numFmtId="0" fontId="4" fillId="5" borderId="21" xfId="0" applyFont="1" applyFill="1" applyBorder="1" applyAlignment="1" applyProtection="1">
      <alignment horizontal="center" vertical="center" wrapText="1"/>
    </xf>
    <xf numFmtId="0" fontId="4" fillId="5" borderId="22" xfId="0" applyFont="1" applyFill="1" applyBorder="1" applyAlignment="1" applyProtection="1">
      <alignment horizontal="center" vertical="center" wrapText="1"/>
    </xf>
    <xf numFmtId="0" fontId="4" fillId="5" borderId="100" xfId="0" applyFont="1" applyFill="1" applyBorder="1" applyAlignment="1" applyProtection="1">
      <alignment horizontal="center" vertical="center" wrapText="1"/>
    </xf>
    <xf numFmtId="179" fontId="4" fillId="5" borderId="76" xfId="0" applyNumberFormat="1" applyFont="1" applyFill="1" applyBorder="1" applyAlignment="1" applyProtection="1">
      <alignment horizontal="center" vertical="center" wrapText="1"/>
    </xf>
    <xf numFmtId="179" fontId="4" fillId="5" borderId="11" xfId="0" applyNumberFormat="1" applyFont="1" applyFill="1" applyBorder="1" applyAlignment="1" applyProtection="1">
      <alignment horizontal="center" vertical="center" wrapText="1"/>
    </xf>
    <xf numFmtId="179" fontId="4" fillId="5" borderId="101" xfId="0" applyNumberFormat="1" applyFont="1" applyFill="1" applyBorder="1" applyAlignment="1" applyProtection="1">
      <alignment horizontal="center" vertical="center" wrapText="1"/>
    </xf>
    <xf numFmtId="0" fontId="4" fillId="5" borderId="40" xfId="0" applyFont="1" applyFill="1" applyBorder="1" applyAlignment="1" applyProtection="1">
      <alignment vertical="top" wrapText="1"/>
    </xf>
    <xf numFmtId="0" fontId="4" fillId="5" borderId="102" xfId="0" applyFont="1" applyFill="1" applyBorder="1" applyAlignment="1" applyProtection="1">
      <alignment vertical="top" wrapText="1"/>
    </xf>
    <xf numFmtId="0" fontId="4" fillId="5" borderId="103" xfId="0" applyFont="1" applyFill="1" applyBorder="1" applyAlignment="1" applyProtection="1">
      <alignment vertical="top" wrapText="1"/>
    </xf>
    <xf numFmtId="0" fontId="5" fillId="5" borderId="4" xfId="0" applyFont="1" applyFill="1" applyBorder="1" applyAlignment="1" applyProtection="1">
      <alignment horizontal="center" vertical="center" wrapText="1"/>
    </xf>
    <xf numFmtId="0" fontId="4" fillId="5" borderId="9" xfId="0" applyFont="1" applyFill="1" applyBorder="1" applyAlignment="1" applyProtection="1">
      <alignment horizontal="center" vertical="center" wrapText="1"/>
    </xf>
    <xf numFmtId="0" fontId="4" fillId="6" borderId="1" xfId="0" applyFont="1" applyFill="1" applyBorder="1" applyAlignment="1" applyProtection="1">
      <alignment vertical="top" wrapText="1"/>
    </xf>
    <xf numFmtId="41" fontId="4" fillId="6" borderId="1" xfId="0" applyNumberFormat="1" applyFont="1" applyFill="1" applyBorder="1" applyAlignment="1" applyProtection="1">
      <alignment horizontal="center" vertical="top" wrapText="1"/>
    </xf>
    <xf numFmtId="41" fontId="4" fillId="6" borderId="26" xfId="0" applyNumberFormat="1" applyFont="1" applyFill="1" applyBorder="1" applyAlignment="1" applyProtection="1">
      <alignment horizontal="center" vertical="top" wrapText="1"/>
    </xf>
    <xf numFmtId="41" fontId="4" fillId="6" borderId="31" xfId="0" applyNumberFormat="1" applyFont="1" applyFill="1" applyBorder="1" applyAlignment="1" applyProtection="1">
      <alignment horizontal="center" vertical="top" wrapText="1"/>
    </xf>
    <xf numFmtId="0" fontId="5" fillId="6" borderId="7" xfId="0" applyFont="1" applyFill="1" applyBorder="1" applyAlignment="1" applyProtection="1">
      <alignment vertical="top" wrapText="1"/>
    </xf>
    <xf numFmtId="0" fontId="4" fillId="6" borderId="7" xfId="0" applyFont="1" applyFill="1" applyBorder="1" applyAlignment="1" applyProtection="1">
      <alignment vertical="top" wrapText="1"/>
    </xf>
    <xf numFmtId="0" fontId="4" fillId="6" borderId="10" xfId="0" applyFont="1" applyFill="1" applyBorder="1" applyAlignment="1" applyProtection="1">
      <alignment vertical="top" wrapText="1"/>
    </xf>
    <xf numFmtId="0" fontId="5" fillId="6" borderId="10" xfId="0" applyFont="1" applyFill="1" applyBorder="1" applyAlignment="1" applyProtection="1">
      <alignment vertical="top" wrapText="1"/>
    </xf>
    <xf numFmtId="178" fontId="4" fillId="6" borderId="3" xfId="0" applyNumberFormat="1" applyFont="1" applyFill="1" applyBorder="1" applyAlignment="1" applyProtection="1">
      <alignment horizontal="center" vertical="top" wrapText="1"/>
    </xf>
    <xf numFmtId="178" fontId="4" fillId="6" borderId="83" xfId="0" applyNumberFormat="1" applyFont="1" applyFill="1" applyBorder="1" applyAlignment="1" applyProtection="1">
      <alignment horizontal="center" vertical="top" wrapText="1"/>
    </xf>
    <xf numFmtId="178" fontId="4" fillId="6" borderId="54" xfId="0" applyNumberFormat="1" applyFont="1" applyFill="1" applyBorder="1" applyAlignment="1" applyProtection="1">
      <alignment horizontal="center" vertical="top" wrapText="1"/>
    </xf>
    <xf numFmtId="0" fontId="4" fillId="5" borderId="6" xfId="0" applyFont="1" applyFill="1" applyBorder="1" applyAlignment="1" applyProtection="1">
      <alignment horizontal="center" vertical="center" wrapText="1"/>
    </xf>
    <xf numFmtId="0" fontId="4" fillId="5" borderId="10" xfId="0" applyFont="1" applyFill="1" applyBorder="1" applyAlignment="1" applyProtection="1">
      <alignment horizontal="center" vertical="center" wrapText="1"/>
    </xf>
    <xf numFmtId="0" fontId="5" fillId="6" borderId="84" xfId="0" applyFont="1" applyFill="1" applyBorder="1" applyAlignment="1">
      <alignment vertical="top" wrapText="1"/>
    </xf>
    <xf numFmtId="0" fontId="5" fillId="6" borderId="19" xfId="0" applyFont="1" applyFill="1" applyBorder="1" applyAlignment="1">
      <alignment vertical="top" wrapText="1"/>
    </xf>
    <xf numFmtId="0" fontId="0" fillId="6" borderId="105" xfId="0" applyFill="1" applyBorder="1" applyAlignment="1">
      <alignment vertical="top" wrapText="1"/>
    </xf>
    <xf numFmtId="0" fontId="4" fillId="5" borderId="1" xfId="0" applyFont="1" applyFill="1" applyBorder="1" applyAlignment="1">
      <alignment horizontal="center" vertical="center" wrapText="1"/>
    </xf>
    <xf numFmtId="0" fontId="4" fillId="5" borderId="9" xfId="0" applyFont="1" applyFill="1" applyBorder="1" applyAlignment="1">
      <alignment horizontal="center" vertical="center" wrapText="1"/>
    </xf>
    <xf numFmtId="0" fontId="4" fillId="5" borderId="54" xfId="0" applyFont="1" applyFill="1" applyBorder="1" applyAlignment="1">
      <alignment vertical="top" wrapText="1"/>
    </xf>
    <xf numFmtId="0" fontId="5" fillId="5" borderId="40" xfId="0" applyFont="1" applyFill="1" applyBorder="1" applyAlignment="1">
      <alignment vertical="top" wrapText="1"/>
    </xf>
    <xf numFmtId="0" fontId="0" fillId="5" borderId="97" xfId="0" applyFill="1" applyBorder="1" applyAlignment="1">
      <alignment vertical="top" wrapText="1"/>
    </xf>
    <xf numFmtId="14" fontId="0" fillId="0" borderId="1" xfId="0" applyNumberFormat="1" applyFill="1" applyBorder="1" applyAlignment="1">
      <alignment horizontal="left" vertical="top"/>
    </xf>
    <xf numFmtId="0" fontId="0" fillId="0" borderId="4" xfId="0" applyFill="1" applyBorder="1" applyAlignment="1" applyProtection="1">
      <alignment horizontal="center" vertical="center" wrapText="1"/>
    </xf>
    <xf numFmtId="0" fontId="0" fillId="0" borderId="40" xfId="0" applyFill="1" applyBorder="1" applyAlignment="1" applyProtection="1">
      <alignment vertical="top" wrapText="1"/>
    </xf>
    <xf numFmtId="0" fontId="4" fillId="0" borderId="1" xfId="0" applyFont="1" applyFill="1" applyBorder="1" applyAlignment="1">
      <alignment horizontal="center" vertical="center" wrapText="1"/>
    </xf>
    <xf numFmtId="0" fontId="4" fillId="0" borderId="9" xfId="0" applyFont="1" applyFill="1" applyBorder="1" applyAlignment="1">
      <alignment horizontal="center" vertical="center" wrapText="1"/>
    </xf>
    <xf numFmtId="0" fontId="0" fillId="6" borderId="61" xfId="0" applyFont="1" applyFill="1" applyBorder="1" applyAlignment="1" applyProtection="1">
      <alignment horizontal="left" vertical="top" wrapText="1"/>
    </xf>
    <xf numFmtId="0" fontId="4" fillId="6" borderId="61" xfId="0" applyFont="1" applyFill="1" applyBorder="1" applyAlignment="1" applyProtection="1">
      <alignment horizontal="left" vertical="top" wrapText="1"/>
    </xf>
    <xf numFmtId="0" fontId="5" fillId="6" borderId="3" xfId="0" applyFont="1" applyFill="1" applyBorder="1" applyAlignment="1" applyProtection="1">
      <alignment vertical="top" wrapText="1"/>
    </xf>
    <xf numFmtId="0" fontId="0" fillId="6" borderId="7" xfId="0" applyFont="1" applyFill="1" applyBorder="1" applyAlignment="1" applyProtection="1">
      <alignment vertical="top" wrapText="1"/>
    </xf>
    <xf numFmtId="0" fontId="5" fillId="6" borderId="33" xfId="0" applyFont="1" applyFill="1" applyBorder="1" applyAlignment="1" applyProtection="1">
      <alignment horizontal="center" vertical="top" wrapText="1"/>
    </xf>
    <xf numFmtId="0" fontId="5" fillId="6" borderId="3" xfId="0" applyFont="1" applyFill="1" applyBorder="1" applyAlignment="1" applyProtection="1">
      <alignment horizontal="left" vertical="top" wrapText="1"/>
    </xf>
    <xf numFmtId="0" fontId="0" fillId="6" borderId="3" xfId="0" applyFill="1" applyBorder="1" applyAlignment="1" applyProtection="1">
      <alignment horizontal="left" vertical="top" wrapText="1"/>
    </xf>
    <xf numFmtId="0" fontId="0" fillId="6" borderId="7" xfId="0" applyFont="1" applyFill="1" applyBorder="1" applyAlignment="1" applyProtection="1">
      <alignment horizontal="left" vertical="top" wrapText="1"/>
    </xf>
    <xf numFmtId="0" fontId="0" fillId="6" borderId="7" xfId="0" applyFont="1" applyFill="1" applyBorder="1" applyAlignment="1">
      <alignment vertical="top" wrapText="1"/>
    </xf>
    <xf numFmtId="0" fontId="0" fillId="6" borderId="10" xfId="0" applyFont="1" applyFill="1" applyBorder="1" applyAlignment="1">
      <alignment vertical="top" wrapText="1"/>
    </xf>
    <xf numFmtId="0" fontId="4" fillId="6" borderId="7" xfId="0" applyFont="1" applyFill="1" applyBorder="1" applyAlignment="1">
      <alignment vertical="top" wrapText="1"/>
    </xf>
    <xf numFmtId="0" fontId="0" fillId="6" borderId="12" xfId="0" applyFont="1" applyFill="1" applyBorder="1" applyAlignment="1">
      <alignment vertical="top" wrapText="1"/>
    </xf>
    <xf numFmtId="0" fontId="0" fillId="0" borderId="1" xfId="0" applyFill="1" applyBorder="1" applyAlignment="1">
      <alignment horizontal="left" vertical="top" wrapText="1"/>
    </xf>
    <xf numFmtId="41" fontId="4" fillId="6" borderId="7" xfId="0" applyNumberFormat="1" applyFont="1" applyFill="1" applyBorder="1" applyAlignment="1" applyProtection="1">
      <alignment horizontal="center" vertical="top" wrapText="1"/>
    </xf>
    <xf numFmtId="0" fontId="31" fillId="0" borderId="0" xfId="3" applyFont="1" applyAlignment="1">
      <alignment horizontal="right" wrapText="1"/>
    </xf>
    <xf numFmtId="0" fontId="4" fillId="6" borderId="25" xfId="0" applyNumberFormat="1" applyFont="1" applyFill="1" applyBorder="1" applyAlignment="1" applyProtection="1">
      <alignment horizontal="center" vertical="top"/>
    </xf>
    <xf numFmtId="179" fontId="4" fillId="6" borderId="1" xfId="0" applyNumberFormat="1" applyFont="1" applyFill="1" applyBorder="1" applyAlignment="1" applyProtection="1">
      <alignment horizontal="center" vertical="top" wrapText="1"/>
    </xf>
    <xf numFmtId="0" fontId="4" fillId="4" borderId="26" xfId="0" applyNumberFormat="1" applyFont="1" applyFill="1" applyBorder="1" applyAlignment="1" applyProtection="1">
      <alignment horizontal="center" vertical="top"/>
    </xf>
    <xf numFmtId="0" fontId="4" fillId="4" borderId="36" xfId="0" applyFont="1" applyFill="1" applyBorder="1" applyAlignment="1" applyProtection="1">
      <alignment wrapText="1"/>
    </xf>
    <xf numFmtId="0" fontId="4" fillId="4" borderId="29" xfId="0" applyFont="1" applyFill="1" applyBorder="1" applyAlignment="1" applyProtection="1">
      <alignment horizontal="center" vertical="center" wrapText="1"/>
    </xf>
    <xf numFmtId="0" fontId="4" fillId="4" borderId="26" xfId="0" applyFont="1" applyFill="1" applyBorder="1" applyAlignment="1" applyProtection="1">
      <alignment horizontal="center" vertical="center" wrapText="1"/>
    </xf>
    <xf numFmtId="0" fontId="4" fillId="4" borderId="25" xfId="0" applyNumberFormat="1" applyFont="1" applyFill="1" applyBorder="1" applyAlignment="1" applyProtection="1">
      <alignment horizontal="center" vertical="top"/>
    </xf>
    <xf numFmtId="0" fontId="4" fillId="4" borderId="18" xfId="0" applyFont="1" applyFill="1" applyBorder="1" applyAlignment="1" applyProtection="1">
      <alignment horizontal="center" vertical="center" wrapText="1"/>
    </xf>
    <xf numFmtId="0" fontId="4" fillId="4" borderId="38" xfId="0" applyFont="1" applyFill="1" applyBorder="1" applyAlignment="1" applyProtection="1">
      <alignment wrapText="1"/>
    </xf>
    <xf numFmtId="0" fontId="4" fillId="4" borderId="30" xfId="0" applyFont="1" applyFill="1" applyBorder="1" applyAlignment="1" applyProtection="1">
      <alignment horizontal="center" vertical="center" wrapText="1"/>
    </xf>
    <xf numFmtId="0" fontId="4" fillId="4" borderId="25" xfId="0" applyFont="1" applyFill="1" applyBorder="1" applyAlignment="1" applyProtection="1">
      <alignment horizontal="center" vertical="center" wrapText="1"/>
    </xf>
    <xf numFmtId="0" fontId="4" fillId="4" borderId="5" xfId="0" applyFont="1" applyFill="1" applyBorder="1" applyAlignment="1" applyProtection="1">
      <alignment horizontal="center" vertical="center" wrapText="1"/>
    </xf>
    <xf numFmtId="0" fontId="4" fillId="4" borderId="29" xfId="0" applyNumberFormat="1" applyFont="1" applyFill="1" applyBorder="1" applyAlignment="1" applyProtection="1">
      <alignment vertical="top" wrapText="1"/>
    </xf>
    <xf numFmtId="179" fontId="4" fillId="4" borderId="1" xfId="0" applyNumberFormat="1" applyFont="1" applyFill="1" applyBorder="1" applyAlignment="1" applyProtection="1">
      <alignment horizontal="center" vertical="top" wrapText="1"/>
    </xf>
    <xf numFmtId="0" fontId="4" fillId="4" borderId="31" xfId="0" applyNumberFormat="1" applyFont="1" applyFill="1" applyBorder="1" applyAlignment="1" applyProtection="1">
      <alignment horizontal="center" vertical="top"/>
    </xf>
    <xf numFmtId="0" fontId="4" fillId="4" borderId="8" xfId="0" applyFont="1" applyFill="1" applyBorder="1" applyAlignment="1" applyProtection="1">
      <alignment horizontal="center" vertical="center" wrapText="1"/>
    </xf>
    <xf numFmtId="0" fontId="4" fillId="4" borderId="82" xfId="0" applyFont="1" applyFill="1" applyBorder="1" applyAlignment="1" applyProtection="1">
      <alignment horizontal="center" vertical="center" wrapText="1"/>
    </xf>
    <xf numFmtId="0" fontId="4" fillId="4" borderId="31" xfId="0" applyFont="1" applyFill="1" applyBorder="1" applyAlignment="1" applyProtection="1">
      <alignment horizontal="center" vertical="center" wrapText="1"/>
    </xf>
    <xf numFmtId="0" fontId="4" fillId="2" borderId="15" xfId="0" applyFont="1" applyFill="1" applyBorder="1" applyAlignment="1" applyProtection="1">
      <alignment horizontal="center" vertical="top" wrapText="1"/>
    </xf>
    <xf numFmtId="0" fontId="4" fillId="0" borderId="7" xfId="0" applyFont="1" applyFill="1" applyBorder="1" applyAlignment="1" applyProtection="1">
      <alignment vertical="top" wrapText="1"/>
    </xf>
    <xf numFmtId="0" fontId="4" fillId="6" borderId="91" xfId="0" applyFont="1" applyFill="1" applyBorder="1" applyAlignment="1" applyProtection="1">
      <alignment horizontal="right" vertical="top" wrapText="1"/>
    </xf>
    <xf numFmtId="0" fontId="4" fillId="0" borderId="74" xfId="0" applyFont="1" applyFill="1" applyBorder="1" applyAlignment="1" applyProtection="1">
      <alignment horizontal="center" vertical="center" wrapText="1"/>
    </xf>
    <xf numFmtId="178" fontId="4" fillId="4" borderId="16" xfId="0" applyNumberFormat="1" applyFont="1" applyFill="1" applyBorder="1" applyAlignment="1" applyProtection="1">
      <alignment horizontal="center" vertical="top" wrapText="1"/>
    </xf>
    <xf numFmtId="0" fontId="4" fillId="4" borderId="6" xfId="0" applyFont="1" applyFill="1" applyBorder="1" applyAlignment="1" applyProtection="1">
      <alignment horizontal="center" vertical="center" wrapText="1"/>
      <protection locked="0"/>
    </xf>
    <xf numFmtId="178" fontId="4" fillId="4" borderId="54" xfId="0" applyNumberFormat="1" applyFont="1" applyFill="1" applyBorder="1" applyAlignment="1" applyProtection="1">
      <alignment horizontal="center" vertical="top" wrapText="1"/>
    </xf>
    <xf numFmtId="0" fontId="4" fillId="4" borderId="13" xfId="0" applyFont="1" applyFill="1" applyBorder="1" applyAlignment="1" applyProtection="1">
      <alignment horizontal="center" vertical="center" wrapText="1"/>
    </xf>
    <xf numFmtId="0" fontId="4" fillId="0" borderId="61" xfId="0" applyFont="1" applyFill="1" applyBorder="1" applyAlignment="1" applyProtection="1">
      <alignment horizontal="center" vertical="top" wrapText="1"/>
    </xf>
    <xf numFmtId="0" fontId="4" fillId="0" borderId="11" xfId="0" applyFont="1" applyFill="1" applyBorder="1" applyAlignment="1">
      <alignment horizontal="center" vertical="center" wrapText="1"/>
    </xf>
    <xf numFmtId="0" fontId="4" fillId="0" borderId="6" xfId="0" applyFont="1" applyFill="1" applyBorder="1" applyAlignment="1">
      <alignment horizontal="center" vertical="center" wrapText="1"/>
    </xf>
    <xf numFmtId="0" fontId="4" fillId="0" borderId="74" xfId="0" applyFont="1" applyFill="1" applyBorder="1" applyAlignment="1">
      <alignment horizontal="center" vertical="center" wrapText="1"/>
    </xf>
    <xf numFmtId="0" fontId="4" fillId="0" borderId="44" xfId="0" applyFont="1" applyFill="1" applyBorder="1" applyAlignment="1">
      <alignment vertical="top" wrapText="1"/>
    </xf>
    <xf numFmtId="0" fontId="4" fillId="6" borderId="50" xfId="0" applyFont="1" applyFill="1" applyBorder="1" applyAlignment="1">
      <alignment horizontal="center" vertical="top" wrapText="1"/>
    </xf>
    <xf numFmtId="0" fontId="4" fillId="4" borderId="50" xfId="0" applyFont="1" applyFill="1" applyBorder="1" applyAlignment="1" applyProtection="1">
      <alignment horizontal="center" vertical="top" wrapText="1"/>
    </xf>
    <xf numFmtId="0" fontId="21" fillId="4" borderId="7" xfId="0" applyFont="1" applyFill="1" applyBorder="1" applyAlignment="1" applyProtection="1">
      <alignment horizontal="center" vertical="center" wrapText="1"/>
    </xf>
    <xf numFmtId="0" fontId="21" fillId="4" borderId="10" xfId="0" applyFont="1" applyFill="1" applyBorder="1" applyAlignment="1" applyProtection="1">
      <alignment horizontal="center" vertical="center" wrapText="1"/>
    </xf>
    <xf numFmtId="0" fontId="4" fillId="4" borderId="1" xfId="0" applyFont="1" applyFill="1" applyBorder="1" applyAlignment="1" applyProtection="1">
      <alignment horizontal="center" vertical="center" wrapText="1"/>
      <protection locked="0"/>
    </xf>
    <xf numFmtId="0" fontId="4" fillId="0" borderId="44" xfId="0" applyFont="1" applyFill="1" applyBorder="1" applyAlignment="1" applyProtection="1">
      <alignment vertical="top" wrapText="1"/>
      <protection locked="0"/>
    </xf>
    <xf numFmtId="0" fontId="4" fillId="6" borderId="50" xfId="0" applyFont="1" applyFill="1" applyBorder="1" applyAlignment="1" applyProtection="1">
      <alignment horizontal="center" vertical="top" wrapText="1"/>
      <protection locked="0"/>
    </xf>
    <xf numFmtId="0" fontId="4" fillId="2" borderId="98" xfId="0" applyFont="1" applyFill="1" applyBorder="1" applyAlignment="1" applyProtection="1">
      <alignment horizontal="center" vertical="top" wrapText="1"/>
    </xf>
    <xf numFmtId="0" fontId="4" fillId="6" borderId="50" xfId="0" applyFont="1" applyFill="1" applyBorder="1" applyAlignment="1" applyProtection="1">
      <alignment horizontal="center" vertical="top" wrapText="1"/>
    </xf>
    <xf numFmtId="0" fontId="19" fillId="0" borderId="102" xfId="0" applyFont="1" applyFill="1" applyBorder="1" applyAlignment="1" applyProtection="1">
      <alignment vertical="top" wrapText="1"/>
    </xf>
    <xf numFmtId="0" fontId="19" fillId="0" borderId="40" xfId="0" applyFont="1" applyFill="1" applyBorder="1" applyAlignment="1" applyProtection="1">
      <alignment vertical="top" wrapText="1"/>
    </xf>
    <xf numFmtId="0" fontId="4" fillId="3" borderId="106" xfId="0" applyFont="1" applyFill="1" applyBorder="1" applyAlignment="1" applyProtection="1">
      <alignment horizontal="center" vertical="center" wrapText="1"/>
    </xf>
    <xf numFmtId="0" fontId="4" fillId="3" borderId="107" xfId="0" applyFont="1" applyFill="1" applyBorder="1" applyAlignment="1" applyProtection="1">
      <alignment horizontal="center" vertical="top" wrapText="1"/>
    </xf>
    <xf numFmtId="0" fontId="4" fillId="0" borderId="33" xfId="0" applyFont="1" applyFill="1" applyBorder="1" applyAlignment="1">
      <alignment horizontal="center" vertical="top"/>
    </xf>
    <xf numFmtId="0" fontId="4" fillId="2" borderId="30" xfId="0" applyNumberFormat="1" applyFont="1" applyFill="1" applyBorder="1" applyAlignment="1" applyProtection="1">
      <alignment vertical="top" wrapText="1"/>
    </xf>
    <xf numFmtId="0" fontId="4" fillId="2" borderId="82" xfId="0" applyNumberFormat="1" applyFont="1" applyFill="1" applyBorder="1" applyAlignment="1" applyProtection="1">
      <alignment vertical="top" wrapText="1"/>
    </xf>
    <xf numFmtId="0" fontId="4" fillId="0" borderId="36" xfId="0" applyFont="1" applyFill="1" applyBorder="1" applyAlignment="1" applyProtection="1">
      <alignment vertical="top" wrapText="1"/>
      <protection locked="0"/>
    </xf>
    <xf numFmtId="0" fontId="4" fillId="4" borderId="10" xfId="0" applyFont="1" applyFill="1" applyBorder="1" applyAlignment="1" applyProtection="1">
      <alignment horizontal="center" vertical="center" wrapText="1"/>
      <protection locked="0"/>
    </xf>
    <xf numFmtId="0" fontId="4" fillId="4" borderId="104" xfId="0" applyFont="1" applyFill="1" applyBorder="1" applyAlignment="1" applyProtection="1">
      <alignment horizontal="center" vertical="center" wrapText="1"/>
      <protection locked="0"/>
    </xf>
    <xf numFmtId="0" fontId="4" fillId="5" borderId="5" xfId="0" applyFont="1" applyFill="1" applyBorder="1" applyAlignment="1">
      <alignment horizontal="center" vertical="center" wrapText="1"/>
    </xf>
    <xf numFmtId="0" fontId="4" fillId="5" borderId="13" xfId="0" applyFont="1" applyFill="1" applyBorder="1" applyAlignment="1">
      <alignment horizontal="center" vertical="center" wrapText="1"/>
    </xf>
    <xf numFmtId="0" fontId="4" fillId="5" borderId="90" xfId="0" applyFont="1" applyFill="1" applyBorder="1" applyAlignment="1">
      <alignment horizontal="center" vertical="center" wrapText="1"/>
    </xf>
    <xf numFmtId="0" fontId="4" fillId="5" borderId="6" xfId="0" applyFont="1" applyFill="1" applyBorder="1" applyAlignment="1">
      <alignment horizontal="center" vertical="center" wrapText="1"/>
    </xf>
    <xf numFmtId="0" fontId="4" fillId="5" borderId="74" xfId="0" applyFont="1" applyFill="1" applyBorder="1" applyAlignment="1">
      <alignment horizontal="center" vertical="center" wrapText="1"/>
    </xf>
    <xf numFmtId="0" fontId="4" fillId="4" borderId="74" xfId="0" applyFont="1" applyFill="1" applyBorder="1" applyAlignment="1">
      <alignment horizontal="center" vertical="center" wrapText="1"/>
    </xf>
    <xf numFmtId="0" fontId="4" fillId="4" borderId="108" xfId="0" applyFont="1" applyFill="1" applyBorder="1" applyAlignment="1">
      <alignment horizontal="center" vertical="center" wrapText="1"/>
    </xf>
    <xf numFmtId="0" fontId="4" fillId="0" borderId="66" xfId="0" applyFont="1" applyFill="1" applyBorder="1" applyAlignment="1" applyProtection="1">
      <alignment horizontal="center" vertical="center" wrapText="1"/>
    </xf>
    <xf numFmtId="0" fontId="4" fillId="0" borderId="61" xfId="0" applyFont="1" applyFill="1" applyBorder="1" applyAlignment="1" applyProtection="1">
      <alignment horizontal="center" vertical="center" wrapText="1"/>
    </xf>
    <xf numFmtId="0" fontId="4" fillId="0" borderId="0" xfId="0" applyFont="1" applyFill="1" applyBorder="1" applyAlignment="1" applyProtection="1">
      <alignment wrapText="1"/>
    </xf>
    <xf numFmtId="0" fontId="4" fillId="0" borderId="0" xfId="0" applyFont="1" applyFill="1" applyBorder="1" applyAlignment="1" applyProtection="1">
      <alignment vertical="top" wrapText="1"/>
    </xf>
    <xf numFmtId="178" fontId="4" fillId="0" borderId="0" xfId="0" applyNumberFormat="1" applyFont="1" applyFill="1" applyBorder="1" applyProtection="1"/>
    <xf numFmtId="0" fontId="15" fillId="0" borderId="0" xfId="0" applyFont="1" applyFill="1" applyBorder="1" applyProtection="1"/>
    <xf numFmtId="0" fontId="4" fillId="0" borderId="17" xfId="0" applyFont="1" applyFill="1" applyBorder="1" applyProtection="1"/>
    <xf numFmtId="0" fontId="15" fillId="0" borderId="0" xfId="0" applyFont="1" applyFill="1" applyProtection="1"/>
    <xf numFmtId="0" fontId="0" fillId="0" borderId="72" xfId="0" applyFont="1" applyFill="1" applyBorder="1" applyAlignment="1" applyProtection="1">
      <alignment vertical="top" wrapText="1"/>
    </xf>
    <xf numFmtId="0" fontId="4" fillId="0" borderId="0" xfId="0" applyFont="1" applyBorder="1" applyAlignment="1" applyProtection="1">
      <alignment vertical="top"/>
    </xf>
    <xf numFmtId="0" fontId="14" fillId="0" borderId="0" xfId="0" applyFont="1" applyBorder="1" applyProtection="1"/>
    <xf numFmtId="0" fontId="4" fillId="0" borderId="0" xfId="0" applyFont="1" applyBorder="1" applyAlignment="1">
      <alignment vertical="top"/>
    </xf>
    <xf numFmtId="41" fontId="4" fillId="0" borderId="0" xfId="0" applyNumberFormat="1" applyFont="1" applyBorder="1" applyProtection="1"/>
    <xf numFmtId="0" fontId="4" fillId="0" borderId="53" xfId="0" applyFont="1" applyFill="1" applyBorder="1" applyProtection="1"/>
    <xf numFmtId="0" fontId="15" fillId="0" borderId="49" xfId="0" applyFont="1" applyFill="1" applyBorder="1" applyProtection="1"/>
    <xf numFmtId="0" fontId="4" fillId="0" borderId="47" xfId="0" applyFont="1" applyFill="1" applyBorder="1" applyProtection="1"/>
    <xf numFmtId="0" fontId="4" fillId="0" borderId="89" xfId="0" applyFont="1" applyFill="1" applyBorder="1" applyAlignment="1" applyProtection="1">
      <alignment vertical="top" wrapText="1"/>
    </xf>
    <xf numFmtId="0" fontId="4" fillId="0" borderId="89" xfId="0" applyFont="1" applyFill="1" applyBorder="1" applyAlignment="1">
      <alignment vertical="top" wrapText="1"/>
    </xf>
    <xf numFmtId="0" fontId="4" fillId="0" borderId="41" xfId="0" applyFont="1" applyFill="1" applyBorder="1" applyAlignment="1">
      <alignment horizontal="center" vertical="top"/>
    </xf>
    <xf numFmtId="0" fontId="11" fillId="0" borderId="0" xfId="0" applyFont="1" applyFill="1" applyBorder="1" applyAlignment="1" applyProtection="1">
      <alignment vertical="top" wrapText="1"/>
    </xf>
    <xf numFmtId="0" fontId="4" fillId="0" borderId="0" xfId="0" applyFont="1" applyBorder="1"/>
    <xf numFmtId="0" fontId="4" fillId="0" borderId="0" xfId="0" applyFont="1" applyBorder="1" applyAlignment="1">
      <alignment wrapText="1"/>
    </xf>
    <xf numFmtId="9" fontId="4" fillId="0" borderId="50" xfId="1" applyFont="1" applyFill="1" applyBorder="1" applyAlignment="1" applyProtection="1">
      <alignment vertical="top" wrapText="1"/>
    </xf>
    <xf numFmtId="9" fontId="4" fillId="0" borderId="98" xfId="1" applyFont="1" applyFill="1" applyBorder="1" applyAlignment="1" applyProtection="1">
      <alignment vertical="top" wrapText="1"/>
    </xf>
    <xf numFmtId="9" fontId="4" fillId="0" borderId="51" xfId="1" applyFont="1" applyFill="1" applyBorder="1" applyAlignment="1" applyProtection="1">
      <alignment vertical="top" wrapText="1"/>
    </xf>
    <xf numFmtId="0" fontId="4" fillId="0" borderId="37" xfId="0" applyFont="1" applyFill="1" applyBorder="1" applyAlignment="1" applyProtection="1">
      <alignment vertical="top" wrapText="1"/>
    </xf>
    <xf numFmtId="0" fontId="4" fillId="0" borderId="98" xfId="0" applyFont="1" applyFill="1" applyBorder="1" applyAlignment="1" applyProtection="1">
      <alignment wrapText="1"/>
    </xf>
    <xf numFmtId="0" fontId="5" fillId="0" borderId="98" xfId="0" applyFont="1" applyFill="1" applyBorder="1" applyAlignment="1" applyProtection="1">
      <alignment wrapText="1"/>
    </xf>
    <xf numFmtId="0" fontId="4" fillId="0" borderId="109" xfId="0" applyFont="1" applyFill="1" applyBorder="1" applyAlignment="1" applyProtection="1">
      <alignment wrapText="1"/>
    </xf>
    <xf numFmtId="0" fontId="5" fillId="0" borderId="53" xfId="0" applyFont="1" applyFill="1" applyBorder="1" applyAlignment="1" applyProtection="1">
      <alignment vertical="top" wrapText="1"/>
    </xf>
    <xf numFmtId="0" fontId="4" fillId="2" borderId="110" xfId="0" applyNumberFormat="1" applyFont="1" applyFill="1" applyBorder="1" applyAlignment="1" applyProtection="1">
      <alignment vertical="top" wrapText="1"/>
    </xf>
    <xf numFmtId="0" fontId="4" fillId="2" borderId="80" xfId="0" applyNumberFormat="1" applyFont="1" applyFill="1" applyBorder="1" applyAlignment="1" applyProtection="1">
      <alignment vertical="top" wrapText="1"/>
    </xf>
    <xf numFmtId="0" fontId="4" fillId="2" borderId="57" xfId="0" applyNumberFormat="1" applyFont="1" applyFill="1" applyBorder="1" applyAlignment="1" applyProtection="1">
      <alignment vertical="top" wrapText="1"/>
    </xf>
    <xf numFmtId="0" fontId="4" fillId="2" borderId="111" xfId="0" applyFont="1" applyFill="1" applyBorder="1" applyAlignment="1" applyProtection="1">
      <alignment horizontal="justify" vertical="top" wrapText="1"/>
    </xf>
    <xf numFmtId="0" fontId="4" fillId="6" borderId="111" xfId="0" applyFont="1" applyFill="1" applyBorder="1" applyAlignment="1" applyProtection="1">
      <alignment horizontal="justify" vertical="top" wrapText="1"/>
    </xf>
    <xf numFmtId="0" fontId="4" fillId="3" borderId="111" xfId="0" applyFont="1" applyFill="1" applyBorder="1" applyAlignment="1" applyProtection="1">
      <alignment horizontal="justify" vertical="top" wrapText="1"/>
    </xf>
    <xf numFmtId="0" fontId="4" fillId="6" borderId="99" xfId="0" applyFont="1" applyFill="1" applyBorder="1" applyAlignment="1" applyProtection="1">
      <alignment horizontal="justify" vertical="top" wrapText="1"/>
    </xf>
    <xf numFmtId="0" fontId="4" fillId="3" borderId="99" xfId="0" applyFont="1" applyFill="1" applyBorder="1" applyAlignment="1" applyProtection="1">
      <alignment horizontal="justify" vertical="top" wrapText="1"/>
    </xf>
    <xf numFmtId="0" fontId="4" fillId="4" borderId="99" xfId="0" applyFont="1" applyFill="1" applyBorder="1" applyAlignment="1" applyProtection="1">
      <alignment horizontal="justify" vertical="top" wrapText="1"/>
    </xf>
    <xf numFmtId="0" fontId="4" fillId="2" borderId="8" xfId="0" applyFont="1" applyFill="1" applyBorder="1" applyAlignment="1" applyProtection="1">
      <alignment vertical="top" textRotation="180" wrapText="1"/>
    </xf>
    <xf numFmtId="0" fontId="4" fillId="6" borderId="7" xfId="0" applyFont="1" applyFill="1" applyBorder="1" applyAlignment="1" applyProtection="1">
      <alignment vertical="top" textRotation="180" wrapText="1"/>
    </xf>
    <xf numFmtId="0" fontId="4" fillId="2" borderId="7" xfId="0" applyFont="1" applyFill="1" applyBorder="1" applyAlignment="1" applyProtection="1">
      <alignment vertical="top" textRotation="180" wrapText="1"/>
      <protection locked="0"/>
    </xf>
    <xf numFmtId="0" fontId="4" fillId="3" borderId="99" xfId="0" applyFont="1" applyFill="1" applyBorder="1" applyAlignment="1" applyProtection="1">
      <alignment horizontal="justify" vertical="top" wrapText="1"/>
      <protection locked="0"/>
    </xf>
    <xf numFmtId="0" fontId="4" fillId="3" borderId="99" xfId="0" applyFont="1" applyFill="1" applyBorder="1" applyAlignment="1">
      <alignment horizontal="justify" vertical="top" wrapText="1"/>
    </xf>
    <xf numFmtId="0" fontId="4" fillId="3" borderId="112" xfId="0" applyFont="1" applyFill="1" applyBorder="1" applyAlignment="1" applyProtection="1">
      <alignment horizontal="justify" vertical="top" wrapText="1"/>
    </xf>
    <xf numFmtId="0" fontId="4" fillId="4" borderId="111" xfId="0" applyFont="1" applyFill="1" applyBorder="1" applyAlignment="1" applyProtection="1">
      <alignment horizontal="justify" vertical="top" wrapText="1"/>
    </xf>
    <xf numFmtId="0" fontId="20" fillId="0" borderId="1" xfId="0" applyFont="1" applyFill="1" applyBorder="1" applyAlignment="1" applyProtection="1">
      <alignment horizontal="center" vertical="center" wrapText="1"/>
    </xf>
    <xf numFmtId="0" fontId="4" fillId="4" borderId="21" xfId="0" applyFont="1" applyFill="1" applyBorder="1" applyAlignment="1" applyProtection="1">
      <alignment horizontal="center" vertical="center" wrapText="1"/>
    </xf>
    <xf numFmtId="0" fontId="32" fillId="4" borderId="13" xfId="0" applyFont="1" applyFill="1" applyBorder="1" applyAlignment="1" applyProtection="1">
      <alignment horizontal="center" vertical="center" wrapText="1"/>
    </xf>
    <xf numFmtId="0" fontId="5" fillId="5" borderId="9" xfId="0" applyFont="1" applyFill="1" applyBorder="1" applyAlignment="1" applyProtection="1">
      <alignment horizontal="center" vertical="center" wrapText="1"/>
    </xf>
    <xf numFmtId="0" fontId="0" fillId="5" borderId="1" xfId="0" applyFont="1" applyFill="1" applyBorder="1" applyAlignment="1" applyProtection="1">
      <alignment horizontal="center" vertical="center" wrapText="1"/>
    </xf>
    <xf numFmtId="0" fontId="5" fillId="0" borderId="6" xfId="0" applyFont="1" applyFill="1" applyBorder="1" applyAlignment="1" applyProtection="1">
      <alignment horizontal="center" vertical="center" wrapText="1"/>
    </xf>
    <xf numFmtId="0" fontId="5" fillId="5" borderId="6" xfId="0" applyFont="1" applyFill="1" applyBorder="1" applyAlignment="1" applyProtection="1">
      <alignment horizontal="center" vertical="center" wrapText="1"/>
    </xf>
    <xf numFmtId="0" fontId="32" fillId="3" borderId="9" xfId="0" applyFont="1" applyFill="1" applyBorder="1" applyAlignment="1" applyProtection="1">
      <alignment horizontal="center" vertical="center" wrapText="1"/>
    </xf>
    <xf numFmtId="0" fontId="32" fillId="3" borderId="8" xfId="0" applyFont="1" applyFill="1" applyBorder="1" applyAlignment="1" applyProtection="1">
      <alignment horizontal="center" vertical="center" wrapText="1"/>
    </xf>
    <xf numFmtId="0" fontId="4" fillId="0" borderId="104" xfId="0" applyFont="1" applyFill="1" applyBorder="1" applyAlignment="1" applyProtection="1">
      <alignment horizontal="center" vertical="center" wrapText="1"/>
      <protection locked="0"/>
    </xf>
    <xf numFmtId="0" fontId="4" fillId="4" borderId="7" xfId="0" applyFont="1" applyFill="1" applyBorder="1" applyAlignment="1" applyProtection="1">
      <alignment vertical="top" textRotation="180" wrapText="1"/>
    </xf>
    <xf numFmtId="0" fontId="4" fillId="0" borderId="51" xfId="0" applyFont="1" applyFill="1" applyBorder="1" applyAlignment="1" applyProtection="1">
      <alignment horizontal="center" vertical="top" wrapText="1"/>
    </xf>
    <xf numFmtId="0" fontId="4" fillId="0" borderId="3" xfId="0" applyFont="1" applyFill="1" applyBorder="1" applyAlignment="1" applyProtection="1">
      <alignment horizontal="center" vertical="center" wrapText="1"/>
    </xf>
    <xf numFmtId="0" fontId="4" fillId="0" borderId="83" xfId="0" applyFont="1" applyFill="1" applyBorder="1" applyAlignment="1" applyProtection="1">
      <alignment horizontal="center" vertical="center" wrapText="1"/>
    </xf>
    <xf numFmtId="0" fontId="4" fillId="0" borderId="91" xfId="0" applyFont="1" applyFill="1" applyBorder="1" applyAlignment="1" applyProtection="1">
      <alignment horizontal="center" vertical="center" wrapText="1"/>
    </xf>
    <xf numFmtId="0" fontId="4" fillId="0" borderId="96" xfId="0" applyFont="1" applyFill="1" applyBorder="1" applyAlignment="1" applyProtection="1">
      <alignment horizontal="center" vertical="center" wrapText="1"/>
    </xf>
    <xf numFmtId="0" fontId="33" fillId="4" borderId="1" xfId="0" applyFont="1" applyFill="1" applyBorder="1" applyAlignment="1" applyProtection="1">
      <alignment horizontal="center" vertical="center" wrapText="1"/>
    </xf>
    <xf numFmtId="0" fontId="32" fillId="4" borderId="43" xfId="0" applyFont="1" applyFill="1" applyBorder="1" applyAlignment="1" applyProtection="1">
      <alignment horizontal="center" vertical="center" wrapText="1"/>
    </xf>
    <xf numFmtId="0" fontId="4" fillId="5" borderId="14" xfId="0" applyFont="1" applyFill="1" applyBorder="1" applyAlignment="1" applyProtection="1">
      <alignment horizontal="center" vertical="center" wrapText="1"/>
    </xf>
    <xf numFmtId="0" fontId="4" fillId="6" borderId="113" xfId="0" applyFont="1" applyFill="1" applyBorder="1" applyAlignment="1" applyProtection="1">
      <alignment horizontal="justify" vertical="top" wrapText="1"/>
    </xf>
    <xf numFmtId="0" fontId="5" fillId="6" borderId="111" xfId="0" applyFont="1" applyFill="1" applyBorder="1" applyAlignment="1">
      <alignment vertical="top" wrapText="1"/>
    </xf>
    <xf numFmtId="0" fontId="4" fillId="2" borderId="114" xfId="0" applyFont="1" applyFill="1" applyBorder="1" applyAlignment="1" applyProtection="1">
      <alignment horizontal="center" vertical="top" wrapText="1"/>
    </xf>
    <xf numFmtId="0" fontId="0" fillId="0" borderId="114" xfId="0" applyFill="1" applyBorder="1" applyAlignment="1" applyProtection="1">
      <alignment horizontal="center" vertical="top" wrapText="1"/>
    </xf>
    <xf numFmtId="0" fontId="4" fillId="0" borderId="13" xfId="0" applyFont="1" applyFill="1" applyBorder="1" applyAlignment="1" applyProtection="1">
      <alignment horizontal="center" vertical="center" wrapText="1"/>
      <protection locked="0"/>
    </xf>
    <xf numFmtId="0" fontId="4" fillId="4" borderId="14" xfId="0" applyFont="1" applyFill="1" applyBorder="1" applyAlignment="1" applyProtection="1">
      <alignment horizontal="center" vertical="center" wrapText="1"/>
    </xf>
    <xf numFmtId="0" fontId="33" fillId="0" borderId="1" xfId="0" applyFont="1" applyFill="1" applyBorder="1" applyAlignment="1" applyProtection="1">
      <alignment horizontal="center" vertical="center" wrapText="1"/>
    </xf>
    <xf numFmtId="0" fontId="4" fillId="6" borderId="1" xfId="0" applyFont="1" applyFill="1" applyBorder="1" applyAlignment="1" applyProtection="1">
      <alignment horizontal="left" vertical="top" wrapText="1"/>
    </xf>
    <xf numFmtId="0" fontId="0" fillId="0" borderId="4" xfId="0" applyFont="1" applyFill="1" applyBorder="1" applyAlignment="1" applyProtection="1">
      <alignment horizontal="center" vertical="center" wrapText="1"/>
    </xf>
    <xf numFmtId="0" fontId="0" fillId="0" borderId="18" xfId="0" applyFont="1" applyFill="1" applyBorder="1" applyAlignment="1" applyProtection="1">
      <alignment horizontal="center" vertical="center" wrapText="1"/>
    </xf>
    <xf numFmtId="179" fontId="4" fillId="0" borderId="29" xfId="0" applyNumberFormat="1" applyFont="1" applyFill="1" applyBorder="1" applyAlignment="1" applyProtection="1">
      <alignment horizontal="center" vertical="center" wrapText="1"/>
    </xf>
    <xf numFmtId="41" fontId="4" fillId="0" borderId="1" xfId="0" applyNumberFormat="1" applyFont="1" applyFill="1" applyBorder="1" applyAlignment="1" applyProtection="1">
      <alignment horizontal="center" vertical="top" wrapText="1"/>
    </xf>
    <xf numFmtId="0" fontId="32" fillId="0" borderId="9" xfId="0" applyFont="1" applyFill="1" applyBorder="1" applyAlignment="1" applyProtection="1">
      <alignment horizontal="center" vertical="center" wrapText="1"/>
    </xf>
    <xf numFmtId="0" fontId="4" fillId="0" borderId="115" xfId="0" applyFont="1" applyFill="1" applyBorder="1" applyAlignment="1" applyProtection="1">
      <alignment vertical="top" wrapText="1"/>
    </xf>
    <xf numFmtId="0" fontId="0" fillId="0" borderId="50" xfId="0" applyFont="1" applyFill="1" applyBorder="1" applyAlignment="1" applyProtection="1">
      <alignment horizontal="center" vertical="top" wrapText="1"/>
    </xf>
    <xf numFmtId="0" fontId="0" fillId="0" borderId="36" xfId="0" applyFont="1" applyFill="1" applyBorder="1" applyAlignment="1" applyProtection="1">
      <alignment vertical="top" wrapText="1"/>
    </xf>
    <xf numFmtId="0" fontId="0" fillId="0" borderId="6" xfId="0" applyFont="1" applyFill="1" applyBorder="1" applyAlignment="1" applyProtection="1">
      <alignment horizontal="center" vertical="center" wrapText="1"/>
    </xf>
    <xf numFmtId="0" fontId="0" fillId="0" borderId="61" xfId="0" applyFont="1" applyFill="1" applyBorder="1" applyAlignment="1" applyProtection="1">
      <alignment horizontal="center" vertical="center" wrapText="1"/>
    </xf>
    <xf numFmtId="0" fontId="5" fillId="0" borderId="61" xfId="0" applyFont="1" applyFill="1" applyBorder="1" applyAlignment="1" applyProtection="1">
      <alignment horizontal="center" vertical="center" wrapText="1"/>
    </xf>
    <xf numFmtId="0" fontId="4" fillId="6" borderId="15" xfId="0" applyFont="1" applyFill="1" applyBorder="1" applyAlignment="1">
      <alignment vertical="top"/>
    </xf>
    <xf numFmtId="0" fontId="4" fillId="6" borderId="55" xfId="0" applyFont="1" applyFill="1" applyBorder="1" applyAlignment="1" applyProtection="1">
      <alignment horizontal="right" wrapText="1"/>
    </xf>
    <xf numFmtId="0" fontId="4" fillId="6" borderId="15" xfId="0" applyFont="1" applyFill="1" applyBorder="1" applyAlignment="1" applyProtection="1">
      <alignment horizontal="center" wrapText="1"/>
    </xf>
    <xf numFmtId="0" fontId="5" fillId="6" borderId="47" xfId="0" applyFont="1" applyFill="1" applyBorder="1" applyAlignment="1" applyProtection="1">
      <alignment horizontal="right" vertical="top"/>
    </xf>
    <xf numFmtId="0" fontId="5" fillId="6" borderId="13" xfId="0" applyFont="1" applyFill="1" applyBorder="1" applyAlignment="1" applyProtection="1">
      <alignment horizontal="center"/>
    </xf>
    <xf numFmtId="0" fontId="4" fillId="6" borderId="0" xfId="0" applyFont="1" applyFill="1" applyBorder="1" applyAlignment="1">
      <alignment vertical="top"/>
    </xf>
    <xf numFmtId="0" fontId="4" fillId="6" borderId="91" xfId="0" applyFont="1" applyFill="1" applyBorder="1" applyAlignment="1" applyProtection="1">
      <alignment horizontal="center" wrapText="1"/>
    </xf>
    <xf numFmtId="0" fontId="4" fillId="6" borderId="98" xfId="0" applyFont="1" applyFill="1" applyBorder="1" applyAlignment="1" applyProtection="1">
      <alignment horizontal="left" vertical="top" wrapText="1"/>
    </xf>
    <xf numFmtId="0" fontId="0" fillId="6" borderId="1" xfId="0" applyFont="1" applyFill="1" applyBorder="1" applyAlignment="1" applyProtection="1">
      <alignment horizontal="left" vertical="top" wrapText="1"/>
    </xf>
    <xf numFmtId="0" fontId="5" fillId="6" borderId="80" xfId="0" applyFont="1" applyFill="1" applyBorder="1" applyAlignment="1" applyProtection="1">
      <alignment horizontal="center" vertical="top" wrapText="1"/>
    </xf>
    <xf numFmtId="176" fontId="5" fillId="6" borderId="3" xfId="0" applyNumberFormat="1" applyFont="1" applyFill="1" applyBorder="1" applyAlignment="1" applyProtection="1">
      <alignment horizontal="center" vertical="top" wrapText="1"/>
    </xf>
    <xf numFmtId="178" fontId="4" fillId="6" borderId="17" xfId="0" applyNumberFormat="1" applyFont="1" applyFill="1" applyBorder="1" applyAlignment="1">
      <alignment vertical="top"/>
    </xf>
    <xf numFmtId="0" fontId="4" fillId="6" borderId="81" xfId="0" applyFont="1" applyFill="1" applyBorder="1" applyAlignment="1" applyProtection="1">
      <alignment horizontal="left" vertical="top" wrapText="1"/>
    </xf>
    <xf numFmtId="176" fontId="4" fillId="6" borderId="16" xfId="0" applyNumberFormat="1" applyFont="1" applyFill="1" applyBorder="1" applyAlignment="1" applyProtection="1">
      <alignment horizontal="center" vertical="top" wrapText="1"/>
    </xf>
    <xf numFmtId="0" fontId="4" fillId="6" borderId="41" xfId="0" applyFont="1" applyFill="1" applyBorder="1" applyAlignment="1" applyProtection="1">
      <alignment horizontal="center" vertical="top" wrapText="1"/>
    </xf>
    <xf numFmtId="178" fontId="4" fillId="6" borderId="23" xfId="0" applyNumberFormat="1" applyFont="1" applyFill="1" applyBorder="1" applyAlignment="1" applyProtection="1">
      <alignment horizontal="left" vertical="top" wrapText="1"/>
    </xf>
    <xf numFmtId="178" fontId="4" fillId="6" borderId="16" xfId="0" applyNumberFormat="1" applyFont="1" applyFill="1" applyBorder="1" applyAlignment="1" applyProtection="1">
      <alignment horizontal="left" vertical="top" wrapText="1"/>
    </xf>
    <xf numFmtId="178" fontId="34" fillId="6" borderId="16" xfId="0" applyNumberFormat="1" applyFont="1" applyFill="1" applyBorder="1" applyAlignment="1" applyProtection="1">
      <alignment horizontal="center" vertical="top" wrapText="1"/>
    </xf>
    <xf numFmtId="0" fontId="0" fillId="6" borderId="116" xfId="0" applyFont="1" applyFill="1" applyBorder="1" applyAlignment="1" applyProtection="1">
      <alignment horizontal="center" wrapText="1"/>
    </xf>
    <xf numFmtId="0" fontId="0" fillId="0" borderId="6" xfId="0" applyFont="1" applyBorder="1" applyAlignment="1" applyProtection="1">
      <alignment wrapText="1"/>
    </xf>
    <xf numFmtId="9" fontId="4" fillId="4" borderId="26" xfId="1" applyFont="1" applyFill="1" applyBorder="1" applyAlignment="1" applyProtection="1">
      <alignment horizontal="center" vertical="top"/>
    </xf>
    <xf numFmtId="0" fontId="4" fillId="6" borderId="15" xfId="0" applyNumberFormat="1" applyFont="1" applyFill="1" applyBorder="1" applyAlignment="1">
      <alignment vertical="top"/>
    </xf>
    <xf numFmtId="0" fontId="4" fillId="6" borderId="55" xfId="0" applyFont="1" applyFill="1" applyBorder="1" applyAlignment="1" applyProtection="1">
      <alignment horizontal="right" vertical="top" wrapText="1"/>
    </xf>
    <xf numFmtId="0" fontId="4" fillId="6" borderId="15" xfId="0" applyFont="1" applyFill="1" applyBorder="1" applyAlignment="1" applyProtection="1">
      <alignment vertical="top" wrapText="1"/>
    </xf>
    <xf numFmtId="0" fontId="4" fillId="6" borderId="15" xfId="0" applyFont="1" applyFill="1" applyBorder="1" applyAlignment="1" applyProtection="1">
      <alignment horizontal="right" vertical="top" wrapText="1"/>
    </xf>
    <xf numFmtId="0" fontId="5" fillId="6" borderId="47" xfId="0" applyFont="1" applyFill="1" applyBorder="1" applyAlignment="1" applyProtection="1">
      <alignment horizontal="right" vertical="top" wrapText="1"/>
    </xf>
    <xf numFmtId="0" fontId="4" fillId="6" borderId="76" xfId="0" applyFont="1" applyFill="1" applyBorder="1" applyAlignment="1" applyProtection="1">
      <alignment horizontal="center" vertical="top" wrapText="1"/>
    </xf>
    <xf numFmtId="0" fontId="5" fillId="6" borderId="13" xfId="0" applyFont="1" applyFill="1" applyBorder="1" applyAlignment="1" applyProtection="1">
      <alignment horizontal="center" vertical="top" wrapText="1"/>
    </xf>
    <xf numFmtId="0" fontId="5" fillId="6" borderId="35" xfId="0" applyFont="1" applyFill="1" applyBorder="1" applyAlignment="1" applyProtection="1">
      <alignment vertical="top" wrapText="1"/>
    </xf>
    <xf numFmtId="0" fontId="4" fillId="6" borderId="0" xfId="0" applyNumberFormat="1" applyFont="1" applyFill="1" applyBorder="1" applyAlignment="1">
      <alignment vertical="top"/>
    </xf>
    <xf numFmtId="0" fontId="4" fillId="6" borderId="91" xfId="0" applyFont="1" applyFill="1" applyBorder="1" applyAlignment="1" applyProtection="1">
      <alignment wrapText="1"/>
    </xf>
    <xf numFmtId="0" fontId="4" fillId="6" borderId="98" xfId="0" applyFont="1" applyFill="1" applyBorder="1" applyAlignment="1" applyProtection="1">
      <alignment horizontal="right" vertical="top" wrapText="1"/>
    </xf>
    <xf numFmtId="0" fontId="0" fillId="6" borderId="8" xfId="0" applyFont="1" applyFill="1" applyBorder="1" applyAlignment="1" applyProtection="1">
      <alignment vertical="top" wrapText="1"/>
    </xf>
    <xf numFmtId="0" fontId="4" fillId="6" borderId="56" xfId="0" applyFont="1" applyFill="1" applyBorder="1" applyAlignment="1" applyProtection="1">
      <alignment vertical="top" wrapText="1"/>
    </xf>
    <xf numFmtId="0" fontId="5" fillId="6" borderId="99" xfId="0" applyFont="1" applyFill="1" applyBorder="1" applyAlignment="1" applyProtection="1">
      <alignment horizontal="center" vertical="top" wrapText="1"/>
    </xf>
    <xf numFmtId="41" fontId="5" fillId="6" borderId="7" xfId="0" applyNumberFormat="1" applyFont="1" applyFill="1" applyBorder="1" applyAlignment="1" applyProtection="1">
      <alignment horizontal="center" vertical="top" wrapText="1"/>
    </xf>
    <xf numFmtId="41" fontId="5" fillId="6" borderId="31" xfId="0" applyNumberFormat="1" applyFont="1" applyFill="1" applyBorder="1" applyAlignment="1" applyProtection="1">
      <alignment horizontal="center" vertical="top" wrapText="1"/>
    </xf>
    <xf numFmtId="0" fontId="4" fillId="6" borderId="8" xfId="0" applyFont="1" applyFill="1" applyBorder="1" applyAlignment="1" applyProtection="1">
      <alignment vertical="top" wrapText="1"/>
    </xf>
    <xf numFmtId="0" fontId="32" fillId="6" borderId="8" xfId="0" applyFont="1" applyFill="1" applyBorder="1" applyAlignment="1" applyProtection="1">
      <alignment vertical="top" wrapText="1"/>
    </xf>
    <xf numFmtId="0" fontId="14" fillId="6" borderId="8" xfId="0" applyFont="1" applyFill="1" applyBorder="1" applyAlignment="1" applyProtection="1">
      <alignment vertical="top" wrapText="1"/>
    </xf>
    <xf numFmtId="0" fontId="4" fillId="6" borderId="52" xfId="0" applyFont="1" applyFill="1" applyBorder="1" applyAlignment="1" applyProtection="1">
      <alignment horizontal="justify" vertical="top" wrapText="1"/>
    </xf>
    <xf numFmtId="0" fontId="4" fillId="6" borderId="16" xfId="0" applyFont="1" applyFill="1" applyBorder="1" applyAlignment="1" applyProtection="1">
      <alignment vertical="top" wrapText="1"/>
    </xf>
    <xf numFmtId="178" fontId="4" fillId="6" borderId="41" xfId="0" applyNumberFormat="1" applyFont="1" applyFill="1" applyBorder="1" applyAlignment="1" applyProtection="1">
      <alignment horizontal="center" vertical="top" wrapText="1"/>
    </xf>
    <xf numFmtId="178" fontId="4" fillId="6" borderId="2" xfId="0" applyNumberFormat="1" applyFont="1" applyFill="1" applyBorder="1" applyAlignment="1" applyProtection="1">
      <alignment horizontal="center" vertical="top" wrapText="1"/>
    </xf>
    <xf numFmtId="178" fontId="32" fillId="6" borderId="2" xfId="0" applyNumberFormat="1" applyFont="1" applyFill="1" applyBorder="1" applyAlignment="1" applyProtection="1">
      <alignment horizontal="center" vertical="top" wrapText="1"/>
    </xf>
    <xf numFmtId="178" fontId="14" fillId="6" borderId="2" xfId="0" applyNumberFormat="1" applyFont="1" applyFill="1" applyBorder="1" applyAlignment="1" applyProtection="1">
      <alignment horizontal="center" vertical="top" wrapText="1"/>
    </xf>
    <xf numFmtId="178" fontId="4" fillId="6" borderId="56" xfId="0" applyNumberFormat="1" applyFont="1" applyFill="1" applyBorder="1" applyAlignment="1" applyProtection="1">
      <alignment vertical="top" wrapText="1"/>
    </xf>
    <xf numFmtId="0" fontId="4" fillId="6" borderId="4" xfId="0" applyFont="1" applyFill="1" applyBorder="1" applyAlignment="1" applyProtection="1">
      <alignment vertical="top" wrapText="1"/>
    </xf>
    <xf numFmtId="41" fontId="21" fillId="6" borderId="4" xfId="0" applyNumberFormat="1" applyFont="1" applyFill="1" applyBorder="1" applyAlignment="1" applyProtection="1">
      <alignment horizontal="center" vertical="top" wrapText="1"/>
    </xf>
    <xf numFmtId="41" fontId="21" fillId="6" borderId="25" xfId="0" applyNumberFormat="1" applyFont="1" applyFill="1" applyBorder="1" applyAlignment="1" applyProtection="1">
      <alignment horizontal="center" vertical="top" wrapText="1"/>
    </xf>
    <xf numFmtId="0" fontId="5" fillId="6" borderId="99" xfId="0" applyFont="1" applyFill="1" applyBorder="1" applyAlignment="1" applyProtection="1">
      <alignment horizontal="justify" vertical="top" wrapText="1"/>
    </xf>
    <xf numFmtId="0" fontId="4" fillId="6" borderId="13" xfId="0" applyFont="1" applyFill="1" applyBorder="1" applyAlignment="1" applyProtection="1">
      <alignment horizontal="center" vertical="top" wrapText="1"/>
    </xf>
    <xf numFmtId="0" fontId="4" fillId="6" borderId="99" xfId="0" applyFont="1" applyFill="1" applyBorder="1" applyAlignment="1" applyProtection="1">
      <alignment horizontal="justify" vertical="top" wrapText="1"/>
      <protection locked="0"/>
    </xf>
    <xf numFmtId="0" fontId="4" fillId="6" borderId="99" xfId="0" applyFont="1" applyFill="1" applyBorder="1" applyAlignment="1">
      <alignment horizontal="justify" vertical="top" wrapText="1"/>
    </xf>
    <xf numFmtId="0" fontId="4" fillId="4" borderId="61" xfId="0" applyFont="1" applyFill="1" applyBorder="1" applyAlignment="1" applyProtection="1">
      <alignment horizontal="center" vertical="center" wrapText="1"/>
    </xf>
    <xf numFmtId="0" fontId="4" fillId="6" borderId="13" xfId="0" applyFont="1" applyFill="1" applyBorder="1" applyAlignment="1" applyProtection="1">
      <alignment vertical="top" wrapText="1"/>
    </xf>
    <xf numFmtId="0" fontId="35" fillId="0" borderId="1" xfId="0" applyFont="1" applyFill="1" applyBorder="1" applyAlignment="1" applyProtection="1">
      <alignment horizontal="center" vertical="center" wrapText="1"/>
    </xf>
    <xf numFmtId="178" fontId="34" fillId="6" borderId="16" xfId="0" applyNumberFormat="1" applyFont="1" applyFill="1" applyBorder="1" applyAlignment="1" applyProtection="1">
      <alignment horizontal="justify" vertical="top" wrapText="1"/>
    </xf>
    <xf numFmtId="9" fontId="0" fillId="0" borderId="56" xfId="1" applyFont="1" applyFill="1" applyBorder="1" applyAlignment="1" applyProtection="1">
      <alignment vertical="top" wrapText="1"/>
    </xf>
    <xf numFmtId="41" fontId="4" fillId="6" borderId="13" xfId="0" applyNumberFormat="1" applyFont="1" applyFill="1" applyBorder="1" applyAlignment="1" applyProtection="1">
      <alignment horizontal="center" vertical="top" wrapText="1"/>
    </xf>
    <xf numFmtId="41" fontId="4" fillId="6" borderId="75" xfId="0" applyNumberFormat="1" applyFont="1" applyFill="1" applyBorder="1" applyAlignment="1" applyProtection="1">
      <alignment horizontal="center" vertical="top" wrapText="1"/>
    </xf>
    <xf numFmtId="0" fontId="32" fillId="3" borderId="43" xfId="0" applyFont="1" applyFill="1" applyBorder="1" applyAlignment="1" applyProtection="1">
      <alignment horizontal="center" vertical="center" wrapText="1"/>
    </xf>
    <xf numFmtId="0" fontId="4" fillId="5" borderId="70" xfId="0" applyFont="1" applyFill="1" applyBorder="1" applyAlignment="1" applyProtection="1">
      <alignment horizontal="center" vertical="center" wrapText="1"/>
    </xf>
    <xf numFmtId="0" fontId="0" fillId="2" borderId="111" xfId="0" applyFont="1" applyFill="1" applyBorder="1" applyAlignment="1" applyProtection="1">
      <alignment horizontal="justify" vertical="top" wrapText="1"/>
    </xf>
    <xf numFmtId="0" fontId="4" fillId="0" borderId="56" xfId="0" applyFont="1" applyFill="1" applyBorder="1" applyAlignment="1" applyProtection="1">
      <alignment vertical="top" wrapText="1"/>
    </xf>
    <xf numFmtId="0" fontId="0" fillId="0" borderId="35" xfId="0" applyFont="1" applyFill="1" applyBorder="1" applyAlignment="1" applyProtection="1">
      <alignment vertical="top" wrapText="1"/>
    </xf>
    <xf numFmtId="0" fontId="4" fillId="0" borderId="114" xfId="0" applyFont="1" applyFill="1" applyBorder="1" applyAlignment="1" applyProtection="1">
      <alignment horizontal="center" vertical="top" wrapText="1"/>
    </xf>
    <xf numFmtId="0" fontId="4" fillId="4" borderId="51" xfId="0" applyFont="1" applyFill="1" applyBorder="1" applyAlignment="1" applyProtection="1">
      <alignment horizontal="center" vertical="top" wrapText="1"/>
    </xf>
    <xf numFmtId="0" fontId="4" fillId="4" borderId="7" xfId="0" applyFont="1" applyFill="1" applyBorder="1" applyAlignment="1" applyProtection="1">
      <alignment horizontal="center" vertical="center" wrapText="1"/>
      <protection locked="0"/>
    </xf>
    <xf numFmtId="0" fontId="4" fillId="3" borderId="59" xfId="0" applyFont="1" applyFill="1" applyBorder="1" applyAlignment="1" applyProtection="1">
      <alignment horizontal="center" vertical="center" wrapText="1"/>
    </xf>
    <xf numFmtId="0" fontId="4" fillId="3" borderId="12" xfId="0" applyFont="1" applyFill="1" applyBorder="1" applyAlignment="1" applyProtection="1">
      <alignment horizontal="center" vertical="center" wrapText="1"/>
    </xf>
    <xf numFmtId="0" fontId="5" fillId="0" borderId="72" xfId="0" applyFont="1" applyFill="1" applyBorder="1" applyAlignment="1" applyProtection="1">
      <alignment vertical="top" wrapText="1"/>
    </xf>
    <xf numFmtId="14" fontId="0" fillId="7" borderId="1" xfId="0" applyNumberFormat="1" applyFill="1" applyBorder="1" applyAlignment="1">
      <alignment horizontal="left" vertical="top"/>
    </xf>
    <xf numFmtId="0" fontId="4" fillId="0" borderId="117" xfId="0" applyFont="1" applyFill="1" applyBorder="1" applyAlignment="1" applyProtection="1">
      <alignment horizontal="center" vertical="center" wrapText="1"/>
    </xf>
    <xf numFmtId="0" fontId="5" fillId="0" borderId="117" xfId="0" applyFont="1" applyFill="1" applyBorder="1" applyAlignment="1" applyProtection="1">
      <alignment horizontal="center" vertical="center" wrapText="1"/>
    </xf>
    <xf numFmtId="0" fontId="5" fillId="0" borderId="65" xfId="0" applyFont="1" applyFill="1" applyBorder="1" applyAlignment="1" applyProtection="1">
      <alignment horizontal="center" vertical="center" wrapText="1"/>
    </xf>
    <xf numFmtId="0" fontId="4" fillId="0" borderId="65" xfId="0" applyFont="1" applyFill="1" applyBorder="1" applyAlignment="1" applyProtection="1">
      <alignment horizontal="center" vertical="center" wrapText="1"/>
    </xf>
    <xf numFmtId="0" fontId="0" fillId="0" borderId="65" xfId="0" applyFill="1" applyBorder="1" applyAlignment="1" applyProtection="1">
      <alignment horizontal="center" vertical="center" wrapText="1"/>
    </xf>
    <xf numFmtId="0" fontId="4" fillId="0" borderId="76" xfId="0" applyFont="1" applyFill="1" applyBorder="1" applyAlignment="1" applyProtection="1">
      <alignment horizontal="center" vertical="center" wrapText="1"/>
    </xf>
    <xf numFmtId="0" fontId="4" fillId="0" borderId="118" xfId="0" applyFont="1" applyFill="1" applyBorder="1" applyAlignment="1" applyProtection="1">
      <alignment horizontal="center" vertical="center" wrapText="1"/>
    </xf>
    <xf numFmtId="0" fontId="0" fillId="0" borderId="7" xfId="0" applyFill="1" applyBorder="1" applyAlignment="1" applyProtection="1">
      <alignment horizontal="center" vertical="center" wrapText="1"/>
    </xf>
    <xf numFmtId="0" fontId="5" fillId="0" borderId="10" xfId="0" applyFont="1" applyFill="1" applyBorder="1" applyAlignment="1" applyProtection="1">
      <alignment horizontal="center" vertical="center" wrapText="1"/>
    </xf>
    <xf numFmtId="179" fontId="18" fillId="0" borderId="70" xfId="0" applyNumberFormat="1" applyFont="1" applyFill="1" applyBorder="1" applyAlignment="1" applyProtection="1">
      <alignment horizontal="center" vertical="center" wrapText="1"/>
    </xf>
    <xf numFmtId="41" fontId="21" fillId="6" borderId="26" xfId="0" applyNumberFormat="1" applyFont="1" applyFill="1" applyBorder="1" applyAlignment="1" applyProtection="1">
      <alignment horizontal="center" vertical="top" wrapText="1"/>
    </xf>
    <xf numFmtId="0" fontId="5" fillId="6" borderId="48" xfId="0" applyFont="1" applyFill="1" applyBorder="1" applyAlignment="1" applyProtection="1">
      <alignment horizontal="justify" vertical="top" wrapText="1"/>
    </xf>
    <xf numFmtId="0" fontId="4" fillId="6" borderId="3" xfId="0" applyFont="1" applyFill="1" applyBorder="1" applyAlignment="1" applyProtection="1">
      <alignment vertical="top" wrapText="1"/>
    </xf>
    <xf numFmtId="41" fontId="4" fillId="6" borderId="3" xfId="0" applyNumberFormat="1" applyFont="1" applyFill="1" applyBorder="1" applyAlignment="1" applyProtection="1">
      <alignment horizontal="center" vertical="top" wrapText="1"/>
    </xf>
    <xf numFmtId="41" fontId="4" fillId="6" borderId="33" xfId="0" applyNumberFormat="1" applyFont="1" applyFill="1" applyBorder="1" applyAlignment="1" applyProtection="1">
      <alignment horizontal="center" vertical="top" wrapText="1"/>
    </xf>
    <xf numFmtId="0" fontId="5" fillId="6" borderId="111" xfId="0" applyFont="1" applyFill="1" applyBorder="1" applyAlignment="1" applyProtection="1">
      <alignment horizontal="justify" vertical="top" wrapText="1"/>
    </xf>
    <xf numFmtId="0" fontId="0" fillId="6" borderId="10" xfId="0" applyFont="1" applyFill="1" applyBorder="1" applyAlignment="1" applyProtection="1">
      <alignment vertical="top" wrapText="1"/>
    </xf>
    <xf numFmtId="0" fontId="0" fillId="0" borderId="30" xfId="0" applyFont="1" applyFill="1" applyBorder="1" applyAlignment="1" applyProtection="1">
      <alignment horizontal="center" vertical="center" wrapText="1"/>
    </xf>
    <xf numFmtId="0" fontId="33" fillId="0" borderId="4" xfId="0" applyFont="1" applyFill="1" applyBorder="1" applyAlignment="1" applyProtection="1">
      <alignment horizontal="center" vertical="center" wrapText="1"/>
    </xf>
    <xf numFmtId="0" fontId="32" fillId="0" borderId="18" xfId="0" applyFont="1" applyFill="1" applyBorder="1" applyAlignment="1" applyProtection="1">
      <alignment horizontal="center" vertical="center" wrapText="1"/>
    </xf>
    <xf numFmtId="0" fontId="0" fillId="0" borderId="9" xfId="0" applyFont="1" applyFill="1" applyBorder="1" applyAlignment="1" applyProtection="1">
      <alignment horizontal="center" vertical="center" wrapText="1"/>
    </xf>
    <xf numFmtId="0" fontId="4" fillId="0" borderId="70" xfId="0" applyFont="1" applyFill="1" applyBorder="1" applyAlignment="1" applyProtection="1">
      <alignment horizontal="center" vertical="center" wrapText="1"/>
    </xf>
    <xf numFmtId="0" fontId="4" fillId="6" borderId="98" xfId="0" applyFont="1" applyFill="1" applyBorder="1" applyAlignment="1" applyProtection="1">
      <alignment horizontal="center" vertical="top" wrapText="1"/>
    </xf>
    <xf numFmtId="0" fontId="4" fillId="6" borderId="10" xfId="0" applyFont="1" applyFill="1" applyBorder="1" applyAlignment="1" applyProtection="1">
      <alignment vertical="top" textRotation="180" wrapText="1"/>
    </xf>
    <xf numFmtId="0" fontId="5" fillId="0" borderId="119" xfId="0" applyFont="1" applyFill="1" applyBorder="1" applyAlignment="1" applyProtection="1">
      <alignment horizontal="center" vertical="center" wrapText="1"/>
    </xf>
    <xf numFmtId="0" fontId="5" fillId="0" borderId="43" xfId="0" applyFont="1" applyFill="1" applyBorder="1" applyAlignment="1" applyProtection="1">
      <alignment horizontal="center" vertical="center" wrapText="1"/>
    </xf>
    <xf numFmtId="0" fontId="5" fillId="0" borderId="13" xfId="0" applyFont="1" applyFill="1" applyBorder="1" applyAlignment="1" applyProtection="1">
      <alignment horizontal="center" vertical="center" wrapText="1"/>
    </xf>
    <xf numFmtId="0" fontId="4" fillId="6" borderId="114" xfId="0" applyFont="1" applyFill="1" applyBorder="1" applyAlignment="1" applyProtection="1">
      <alignment horizontal="center" vertical="top" wrapText="1"/>
    </xf>
    <xf numFmtId="0" fontId="5" fillId="0" borderId="74" xfId="0" applyFont="1" applyFill="1" applyBorder="1" applyAlignment="1" applyProtection="1">
      <alignment horizontal="center" vertical="center" wrapText="1"/>
    </xf>
    <xf numFmtId="179" fontId="4" fillId="0" borderId="69" xfId="0" applyNumberFormat="1" applyFont="1" applyFill="1" applyBorder="1" applyAlignment="1" applyProtection="1">
      <alignment horizontal="center" vertical="center" wrapText="1"/>
    </xf>
    <xf numFmtId="0" fontId="4" fillId="0" borderId="82" xfId="0" applyFont="1" applyFill="1" applyBorder="1" applyAlignment="1" applyProtection="1">
      <alignment horizontal="center" vertical="center" wrapText="1"/>
    </xf>
    <xf numFmtId="0" fontId="4" fillId="0" borderId="31" xfId="0" applyFont="1" applyFill="1" applyBorder="1" applyAlignment="1" applyProtection="1">
      <alignment horizontal="center" vertical="center" wrapText="1"/>
    </xf>
    <xf numFmtId="0" fontId="4" fillId="0" borderId="87" xfId="0" applyFont="1" applyFill="1" applyBorder="1" applyAlignment="1" applyProtection="1">
      <alignment horizontal="center" vertical="center" wrapText="1"/>
    </xf>
    <xf numFmtId="0" fontId="4" fillId="0" borderId="75" xfId="0" applyFont="1" applyFill="1" applyBorder="1" applyAlignment="1" applyProtection="1">
      <alignment horizontal="center" vertical="center" wrapText="1"/>
    </xf>
    <xf numFmtId="0" fontId="4" fillId="8" borderId="1" xfId="0" applyFont="1" applyFill="1" applyBorder="1" applyAlignment="1" applyProtection="1">
      <alignment horizontal="center" vertical="center" wrapText="1"/>
    </xf>
    <xf numFmtId="0" fontId="4" fillId="8" borderId="26" xfId="0" applyNumberFormat="1" applyFont="1" applyFill="1" applyBorder="1" applyAlignment="1" applyProtection="1">
      <alignment horizontal="center" vertical="top"/>
    </xf>
    <xf numFmtId="0" fontId="4" fillId="8" borderId="9" xfId="0" applyFont="1" applyFill="1" applyBorder="1" applyAlignment="1" applyProtection="1">
      <alignment horizontal="center" vertical="center" wrapText="1"/>
    </xf>
    <xf numFmtId="0" fontId="32" fillId="8" borderId="4" xfId="0" applyFont="1" applyFill="1" applyBorder="1" applyAlignment="1" applyProtection="1">
      <alignment horizontal="center" vertical="center" wrapText="1"/>
    </xf>
    <xf numFmtId="0" fontId="14" fillId="8" borderId="4" xfId="0" applyFont="1" applyFill="1" applyBorder="1" applyAlignment="1" applyProtection="1">
      <alignment horizontal="center" vertical="center" wrapText="1"/>
    </xf>
    <xf numFmtId="0" fontId="4" fillId="8" borderId="11" xfId="0" applyFont="1" applyFill="1" applyBorder="1" applyAlignment="1" applyProtection="1">
      <alignment horizontal="center" vertical="center" wrapText="1"/>
    </xf>
    <xf numFmtId="0" fontId="4" fillId="8" borderId="74" xfId="0" applyFont="1" applyFill="1" applyBorder="1" applyAlignment="1" applyProtection="1">
      <alignment horizontal="center" vertical="center" wrapText="1"/>
    </xf>
    <xf numFmtId="0" fontId="4" fillId="6" borderId="26" xfId="0" applyNumberFormat="1" applyFont="1" applyFill="1" applyBorder="1" applyAlignment="1" applyProtection="1">
      <alignment horizontal="center" vertical="top"/>
    </xf>
    <xf numFmtId="0" fontId="36" fillId="6" borderId="1" xfId="0" applyFont="1" applyFill="1" applyBorder="1" applyAlignment="1" applyProtection="1">
      <alignment horizontal="left" vertical="top" wrapText="1"/>
    </xf>
    <xf numFmtId="0" fontId="38" fillId="6" borderId="99" xfId="0" applyFont="1" applyFill="1" applyBorder="1" applyAlignment="1" applyProtection="1">
      <alignment horizontal="justify" vertical="top" wrapText="1"/>
    </xf>
    <xf numFmtId="0" fontId="20" fillId="6" borderId="35" xfId="0" applyFont="1" applyFill="1" applyBorder="1" applyAlignment="1">
      <alignment vertical="top"/>
    </xf>
    <xf numFmtId="0" fontId="20" fillId="6" borderId="84" xfId="0" applyFont="1" applyFill="1" applyBorder="1" applyAlignment="1">
      <alignment horizontal="center" vertical="center" wrapText="1"/>
    </xf>
    <xf numFmtId="0" fontId="20" fillId="6" borderId="19" xfId="0" applyFont="1" applyFill="1" applyBorder="1" applyAlignment="1">
      <alignment horizontal="center" vertical="center" wrapText="1"/>
    </xf>
    <xf numFmtId="0" fontId="20" fillId="6" borderId="93" xfId="0" applyFont="1" applyFill="1" applyBorder="1" applyAlignment="1">
      <alignment horizontal="center" vertical="center" wrapText="1"/>
    </xf>
    <xf numFmtId="0" fontId="20" fillId="6" borderId="53" xfId="0" applyFont="1" applyFill="1" applyBorder="1" applyAlignment="1">
      <alignment horizontal="center" vertical="top"/>
    </xf>
    <xf numFmtId="0" fontId="39" fillId="0" borderId="0" xfId="0" applyFont="1" applyBorder="1"/>
    <xf numFmtId="0" fontId="20" fillId="0" borderId="0" xfId="0" applyFont="1"/>
    <xf numFmtId="0" fontId="40" fillId="4" borderId="120" xfId="0" applyFont="1" applyFill="1" applyBorder="1" applyAlignment="1" applyProtection="1">
      <alignment horizontal="left" vertical="top" wrapText="1"/>
    </xf>
    <xf numFmtId="0" fontId="40" fillId="4" borderId="87" xfId="0" applyFont="1" applyFill="1" applyBorder="1" applyAlignment="1" applyProtection="1">
      <alignment horizontal="center" vertical="top" wrapText="1"/>
    </xf>
    <xf numFmtId="0" fontId="20" fillId="4" borderId="13" xfId="0" applyFont="1" applyFill="1" applyBorder="1" applyAlignment="1">
      <alignment horizontal="center" vertical="top"/>
    </xf>
    <xf numFmtId="0" fontId="20" fillId="4" borderId="90" xfId="0" applyFont="1" applyFill="1" applyBorder="1" applyAlignment="1">
      <alignment horizontal="center" vertical="top"/>
    </xf>
    <xf numFmtId="0" fontId="20" fillId="0" borderId="47" xfId="0" applyFont="1" applyBorder="1" applyAlignment="1">
      <alignment horizontal="left" vertical="top" wrapText="1"/>
    </xf>
    <xf numFmtId="0" fontId="20" fillId="6" borderId="60" xfId="0" applyFont="1" applyFill="1" applyBorder="1" applyAlignment="1">
      <alignment vertical="top"/>
    </xf>
    <xf numFmtId="0" fontId="20" fillId="0" borderId="39" xfId="0" applyFont="1" applyBorder="1" applyAlignment="1">
      <alignment horizontal="center" vertical="top"/>
    </xf>
    <xf numFmtId="0" fontId="20" fillId="0" borderId="40" xfId="0" applyFont="1" applyBorder="1" applyAlignment="1">
      <alignment horizontal="left" vertical="top" wrapText="1"/>
    </xf>
    <xf numFmtId="0" fontId="20" fillId="0" borderId="40" xfId="0" applyFont="1" applyBorder="1" applyAlignment="1">
      <alignment horizontal="center" vertical="top"/>
    </xf>
    <xf numFmtId="0" fontId="20" fillId="0" borderId="45" xfId="0" applyFont="1" applyBorder="1" applyAlignment="1">
      <alignment horizontal="center" vertical="top"/>
    </xf>
    <xf numFmtId="0" fontId="20" fillId="0" borderId="103" xfId="0" applyFont="1" applyBorder="1" applyAlignment="1">
      <alignment horizontal="center" vertical="top"/>
    </xf>
    <xf numFmtId="0" fontId="20" fillId="0" borderId="53" xfId="0" applyFont="1" applyBorder="1" applyAlignment="1">
      <alignment vertical="top" wrapText="1"/>
    </xf>
    <xf numFmtId="0" fontId="20" fillId="4" borderId="4" xfId="0" applyFont="1" applyFill="1" applyBorder="1" applyAlignment="1">
      <alignment horizontal="center" vertical="center"/>
    </xf>
    <xf numFmtId="0" fontId="20" fillId="4" borderId="1" xfId="0" applyFont="1" applyFill="1" applyBorder="1" applyAlignment="1">
      <alignment horizontal="center" vertical="center"/>
    </xf>
    <xf numFmtId="0" fontId="20" fillId="4" borderId="7" xfId="0" applyFont="1" applyFill="1" applyBorder="1" applyAlignment="1">
      <alignment horizontal="center" vertical="center"/>
    </xf>
    <xf numFmtId="179" fontId="4" fillId="0" borderId="69" xfId="0" applyNumberFormat="1" applyFont="1" applyFill="1" applyBorder="1" applyAlignment="1" applyProtection="1">
      <alignment horizontal="center" vertical="center" wrapText="1"/>
    </xf>
    <xf numFmtId="0" fontId="4" fillId="8" borderId="4" xfId="0" applyFont="1" applyFill="1" applyBorder="1" applyAlignment="1" applyProtection="1">
      <alignment horizontal="center" vertical="center" wrapText="1"/>
    </xf>
    <xf numFmtId="0" fontId="4" fillId="8" borderId="19" xfId="0" applyFont="1" applyFill="1" applyBorder="1" applyAlignment="1" applyProtection="1">
      <alignment horizontal="center" vertical="center" wrapText="1"/>
    </xf>
    <xf numFmtId="0" fontId="4" fillId="8" borderId="7" xfId="0" applyFont="1" applyFill="1" applyBorder="1" applyAlignment="1" applyProtection="1">
      <alignment horizontal="center" vertical="center" wrapText="1"/>
    </xf>
    <xf numFmtId="0" fontId="5" fillId="4" borderId="7" xfId="0" applyFont="1" applyFill="1" applyBorder="1" applyAlignment="1" applyProtection="1">
      <alignment horizontal="left" vertical="top" wrapText="1"/>
    </xf>
    <xf numFmtId="178" fontId="4" fillId="4" borderId="16" xfId="0" applyNumberFormat="1" applyFont="1" applyFill="1" applyBorder="1" applyAlignment="1" applyProtection="1">
      <alignment horizontal="justify" vertical="top" wrapText="1"/>
    </xf>
    <xf numFmtId="0" fontId="4" fillId="4" borderId="40" xfId="0" applyFont="1" applyFill="1" applyBorder="1" applyAlignment="1" applyProtection="1">
      <alignment vertical="top" wrapText="1"/>
    </xf>
    <xf numFmtId="0" fontId="41" fillId="6" borderId="2" xfId="0" applyFont="1" applyFill="1" applyBorder="1" applyAlignment="1">
      <alignment horizontal="center" vertical="top" wrapText="1"/>
    </xf>
    <xf numFmtId="0" fontId="41" fillId="6" borderId="3" xfId="0" applyFont="1" applyFill="1" applyBorder="1" applyAlignment="1">
      <alignment horizontal="center" vertical="top" wrapText="1"/>
    </xf>
    <xf numFmtId="0" fontId="41" fillId="6" borderId="1" xfId="0" applyFont="1" applyFill="1" applyBorder="1" applyAlignment="1">
      <alignment horizontal="center" vertical="top" wrapText="1"/>
    </xf>
    <xf numFmtId="0" fontId="41" fillId="6" borderId="74" xfId="0" applyFont="1" applyFill="1" applyBorder="1" applyAlignment="1">
      <alignment horizontal="center" vertical="top" wrapText="1"/>
    </xf>
    <xf numFmtId="0" fontId="41" fillId="6" borderId="2" xfId="0" applyFont="1" applyFill="1" applyBorder="1" applyAlignment="1">
      <alignment vertical="top" wrapText="1"/>
    </xf>
    <xf numFmtId="0" fontId="41" fillId="6" borderId="3" xfId="0" applyFont="1" applyFill="1" applyBorder="1" applyAlignment="1">
      <alignment vertical="top" wrapText="1"/>
    </xf>
    <xf numFmtId="178" fontId="43" fillId="6" borderId="2" xfId="0" applyNumberFormat="1" applyFont="1" applyFill="1" applyBorder="1" applyAlignment="1" applyProtection="1">
      <alignment horizontal="left" vertical="top" wrapText="1"/>
    </xf>
    <xf numFmtId="178" fontId="43" fillId="6" borderId="3" xfId="0" applyNumberFormat="1" applyFont="1" applyFill="1" applyBorder="1" applyAlignment="1" applyProtection="1">
      <alignment horizontal="left" vertical="top" wrapText="1"/>
    </xf>
    <xf numFmtId="0" fontId="42" fillId="5" borderId="75" xfId="0" applyFont="1" applyFill="1" applyBorder="1" applyAlignment="1" applyProtection="1">
      <alignment horizontal="center" vertical="center" wrapText="1"/>
    </xf>
    <xf numFmtId="0" fontId="42" fillId="5" borderId="76" xfId="0" applyFont="1" applyFill="1" applyBorder="1" applyAlignment="1" applyProtection="1">
      <alignment horizontal="center" vertical="center" wrapText="1"/>
    </xf>
    <xf numFmtId="0" fontId="42" fillId="5" borderId="14" xfId="0" applyFont="1" applyFill="1" applyBorder="1" applyAlignment="1" applyProtection="1">
      <alignment horizontal="center" vertical="center" wrapText="1"/>
    </xf>
    <xf numFmtId="0" fontId="42" fillId="0" borderId="90" xfId="0" applyFont="1" applyFill="1" applyBorder="1" applyAlignment="1" applyProtection="1">
      <alignment horizontal="center" vertical="center" wrapText="1"/>
    </xf>
    <xf numFmtId="0" fontId="42" fillId="5" borderId="29" xfId="0" applyFont="1" applyFill="1" applyBorder="1" applyAlignment="1" applyProtection="1">
      <alignment horizontal="center" vertical="center" wrapText="1"/>
    </xf>
    <xf numFmtId="0" fontId="42" fillId="5" borderId="1" xfId="0" applyFont="1" applyFill="1" applyBorder="1" applyAlignment="1" applyProtection="1">
      <alignment horizontal="center" vertical="center" wrapText="1"/>
    </xf>
    <xf numFmtId="0" fontId="42" fillId="5" borderId="26" xfId="0" applyFont="1" applyFill="1" applyBorder="1" applyAlignment="1" applyProtection="1">
      <alignment horizontal="center" vertical="center" wrapText="1"/>
    </xf>
    <xf numFmtId="0" fontId="42" fillId="5" borderId="9" xfId="0" applyFont="1" applyFill="1" applyBorder="1" applyAlignment="1" applyProtection="1">
      <alignment horizontal="center" vertical="center" wrapText="1"/>
    </xf>
    <xf numFmtId="0" fontId="42" fillId="5" borderId="6" xfId="0" applyFont="1" applyFill="1" applyBorder="1" applyAlignment="1" applyProtection="1">
      <alignment horizontal="center" vertical="center" wrapText="1"/>
    </xf>
    <xf numFmtId="0" fontId="42" fillId="5" borderId="74" xfId="0" applyFont="1" applyFill="1" applyBorder="1" applyAlignment="1" applyProtection="1">
      <alignment horizontal="center" vertical="center" wrapText="1"/>
    </xf>
    <xf numFmtId="0" fontId="42" fillId="9" borderId="1" xfId="0" applyFont="1" applyFill="1" applyBorder="1" applyAlignment="1" applyProtection="1">
      <alignment horizontal="center" vertical="center" wrapText="1"/>
    </xf>
    <xf numFmtId="0" fontId="42" fillId="7" borderId="74" xfId="0" applyFont="1" applyFill="1" applyBorder="1" applyAlignment="1" applyProtection="1">
      <alignment horizontal="center" vertical="center" wrapText="1"/>
    </xf>
    <xf numFmtId="0" fontId="42" fillId="0" borderId="29" xfId="0" applyFont="1" applyFill="1" applyBorder="1" applyAlignment="1" applyProtection="1">
      <alignment horizontal="center" vertical="center" wrapText="1"/>
    </xf>
    <xf numFmtId="0" fontId="42" fillId="0" borderId="9" xfId="0" applyFont="1" applyFill="1" applyBorder="1" applyAlignment="1" applyProtection="1">
      <alignment horizontal="center" vertical="center" wrapText="1"/>
    </xf>
    <xf numFmtId="0" fontId="42" fillId="0" borderId="1" xfId="0" applyFont="1" applyFill="1" applyBorder="1" applyAlignment="1" applyProtection="1">
      <alignment horizontal="center" vertical="center" wrapText="1"/>
    </xf>
    <xf numFmtId="0" fontId="42" fillId="0" borderId="26" xfId="0" applyFont="1" applyFill="1" applyBorder="1" applyAlignment="1" applyProtection="1">
      <alignment horizontal="center" vertical="center" wrapText="1"/>
    </xf>
    <xf numFmtId="0" fontId="42" fillId="9" borderId="26" xfId="0" applyFont="1" applyFill="1" applyBorder="1" applyAlignment="1" applyProtection="1">
      <alignment horizontal="center" vertical="center" wrapText="1"/>
    </xf>
    <xf numFmtId="0" fontId="42" fillId="5" borderId="8" xfId="0" applyFont="1" applyFill="1" applyBorder="1" applyAlignment="1" applyProtection="1">
      <alignment horizontal="center" vertical="center" wrapText="1"/>
    </xf>
    <xf numFmtId="0" fontId="42" fillId="9" borderId="29" xfId="0" applyFont="1" applyFill="1" applyBorder="1" applyAlignment="1" applyProtection="1">
      <alignment horizontal="center" vertical="center" wrapText="1"/>
    </xf>
    <xf numFmtId="0" fontId="42" fillId="7" borderId="9" xfId="0" applyFont="1" applyFill="1" applyBorder="1" applyAlignment="1" applyProtection="1">
      <alignment horizontal="center" vertical="center" wrapText="1"/>
    </xf>
    <xf numFmtId="0" fontId="42" fillId="0" borderId="39" xfId="0" applyFont="1" applyFill="1" applyBorder="1" applyAlignment="1" applyProtection="1">
      <alignment vertical="top" wrapText="1"/>
    </xf>
    <xf numFmtId="0" fontId="42" fillId="0" borderId="41" xfId="0" applyFont="1" applyFill="1" applyBorder="1" applyAlignment="1" applyProtection="1">
      <alignment vertical="top" wrapText="1"/>
    </xf>
    <xf numFmtId="0" fontId="42" fillId="0" borderId="42" xfId="0" applyFont="1" applyFill="1" applyBorder="1" applyAlignment="1" applyProtection="1">
      <alignment vertical="top" wrapText="1"/>
    </xf>
    <xf numFmtId="0" fontId="42" fillId="0" borderId="40" xfId="0" applyFont="1" applyFill="1" applyBorder="1" applyAlignment="1" applyProtection="1">
      <alignment vertical="top" wrapText="1"/>
    </xf>
    <xf numFmtId="0" fontId="42" fillId="0" borderId="17" xfId="0" applyFont="1" applyFill="1" applyBorder="1" applyAlignment="1" applyProtection="1">
      <alignment vertical="top" wrapText="1"/>
    </xf>
    <xf numFmtId="0" fontId="42" fillId="0" borderId="0" xfId="0" applyFont="1" applyBorder="1" applyProtection="1"/>
    <xf numFmtId="0" fontId="41" fillId="6" borderId="6" xfId="0" applyFont="1" applyFill="1" applyBorder="1" applyAlignment="1">
      <alignment horizontal="center" vertical="top" wrapText="1"/>
    </xf>
    <xf numFmtId="0" fontId="41" fillId="6" borderId="83" xfId="0" applyFont="1" applyFill="1" applyBorder="1" applyAlignment="1">
      <alignment vertical="top" wrapText="1"/>
    </xf>
    <xf numFmtId="178" fontId="43" fillId="6" borderId="83" xfId="0" applyNumberFormat="1" applyFont="1" applyFill="1" applyBorder="1" applyAlignment="1" applyProtection="1">
      <alignment horizontal="left" vertical="top" wrapText="1"/>
    </xf>
    <xf numFmtId="0" fontId="42" fillId="9" borderId="6" xfId="0" applyFont="1" applyFill="1" applyBorder="1" applyAlignment="1" applyProtection="1">
      <alignment horizontal="center" vertical="center" wrapText="1"/>
    </xf>
    <xf numFmtId="0" fontId="42" fillId="0" borderId="54" xfId="0" applyFont="1" applyFill="1" applyBorder="1" applyAlignment="1" applyProtection="1">
      <alignment vertical="top" wrapText="1"/>
    </xf>
    <xf numFmtId="0" fontId="41" fillId="6" borderId="9" xfId="0" applyFont="1" applyFill="1" applyBorder="1" applyAlignment="1">
      <alignment horizontal="center" vertical="top" wrapText="1"/>
    </xf>
    <xf numFmtId="0" fontId="42" fillId="5" borderId="43" xfId="0" applyFont="1" applyFill="1" applyBorder="1" applyAlignment="1" applyProtection="1">
      <alignment horizontal="center" vertical="center" wrapText="1"/>
    </xf>
    <xf numFmtId="0" fontId="42" fillId="5" borderId="18" xfId="0" applyFont="1" applyFill="1" applyBorder="1" applyAlignment="1" applyProtection="1">
      <alignment horizontal="center" vertical="center" wrapText="1"/>
    </xf>
    <xf numFmtId="0" fontId="42" fillId="0" borderId="18" xfId="0" applyFont="1" applyFill="1" applyBorder="1" applyAlignment="1" applyProtection="1">
      <alignment horizontal="center" vertical="center" wrapText="1"/>
    </xf>
    <xf numFmtId="0" fontId="42" fillId="0" borderId="23" xfId="0" applyFont="1" applyFill="1" applyBorder="1" applyAlignment="1" applyProtection="1">
      <alignment vertical="top" wrapText="1"/>
    </xf>
    <xf numFmtId="0" fontId="41" fillId="6" borderId="29" xfId="0" applyFont="1" applyFill="1" applyBorder="1" applyAlignment="1">
      <alignment horizontal="center" vertical="top" wrapText="1"/>
    </xf>
    <xf numFmtId="0" fontId="41" fillId="6" borderId="26" xfId="0" applyFont="1" applyFill="1" applyBorder="1" applyAlignment="1">
      <alignment horizontal="center" vertical="top" wrapText="1"/>
    </xf>
    <xf numFmtId="0" fontId="41" fillId="6" borderId="80" xfId="0" applyFont="1" applyFill="1" applyBorder="1" applyAlignment="1">
      <alignment vertical="top" wrapText="1"/>
    </xf>
    <xf numFmtId="0" fontId="41" fillId="6" borderId="33" xfId="0" applyFont="1" applyFill="1" applyBorder="1" applyAlignment="1">
      <alignment vertical="top" wrapText="1"/>
    </xf>
    <xf numFmtId="178" fontId="43" fillId="6" borderId="80" xfId="0" applyNumberFormat="1" applyFont="1" applyFill="1" applyBorder="1" applyAlignment="1" applyProtection="1">
      <alignment horizontal="left" vertical="top" wrapText="1"/>
    </xf>
    <xf numFmtId="178" fontId="43" fillId="6" borderId="33" xfId="0" applyNumberFormat="1" applyFont="1" applyFill="1" applyBorder="1" applyAlignment="1" applyProtection="1">
      <alignment horizontal="left" vertical="top" wrapText="1"/>
    </xf>
    <xf numFmtId="0" fontId="42" fillId="5" borderId="113" xfId="0" applyFont="1" applyFill="1" applyBorder="1" applyAlignment="1" applyProtection="1">
      <alignment horizontal="center" vertical="center" wrapText="1"/>
    </xf>
    <xf numFmtId="0" fontId="42" fillId="8" borderId="29" xfId="0" applyFont="1" applyFill="1" applyBorder="1" applyAlignment="1" applyProtection="1">
      <alignment horizontal="center" vertical="center" wrapText="1"/>
    </xf>
    <xf numFmtId="0" fontId="42" fillId="8" borderId="26" xfId="0" applyFont="1" applyFill="1" applyBorder="1" applyAlignment="1" applyProtection="1">
      <alignment horizontal="center" vertical="center" wrapText="1"/>
    </xf>
    <xf numFmtId="0" fontId="42" fillId="8" borderId="1" xfId="0" applyFont="1" applyFill="1" applyBorder="1" applyAlignment="1" applyProtection="1">
      <alignment horizontal="center" vertical="center" wrapText="1"/>
    </xf>
    <xf numFmtId="0" fontId="42" fillId="8" borderId="9" xfId="0" applyFont="1" applyFill="1" applyBorder="1" applyAlignment="1" applyProtection="1">
      <alignment horizontal="center" vertical="center" wrapText="1"/>
    </xf>
    <xf numFmtId="0" fontId="42" fillId="8" borderId="6" xfId="0" applyFont="1" applyFill="1" applyBorder="1" applyAlignment="1" applyProtection="1">
      <alignment horizontal="center" vertical="center" wrapText="1"/>
    </xf>
    <xf numFmtId="0" fontId="42" fillId="8" borderId="74" xfId="0" applyFont="1" applyFill="1" applyBorder="1" applyAlignment="1" applyProtection="1">
      <alignment horizontal="center" vertical="center" wrapText="1"/>
    </xf>
    <xf numFmtId="0" fontId="42" fillId="8" borderId="18" xfId="0" applyFont="1" applyFill="1" applyBorder="1" applyAlignment="1" applyProtection="1">
      <alignment horizontal="center" vertical="center" wrapText="1"/>
    </xf>
    <xf numFmtId="0" fontId="42" fillId="8" borderId="8" xfId="0" applyFont="1" applyFill="1" applyBorder="1" applyAlignment="1" applyProtection="1">
      <alignment horizontal="center" vertical="center" wrapText="1"/>
    </xf>
    <xf numFmtId="0" fontId="42" fillId="0" borderId="6" xfId="0" applyFont="1" applyFill="1" applyBorder="1" applyAlignment="1" applyProtection="1">
      <alignment horizontal="center" vertical="center" wrapText="1"/>
    </xf>
    <xf numFmtId="0" fontId="42" fillId="0" borderId="74" xfId="0" applyFont="1" applyFill="1" applyBorder="1" applyAlignment="1" applyProtection="1">
      <alignment horizontal="center" vertical="center" wrapText="1"/>
    </xf>
    <xf numFmtId="0" fontId="42" fillId="0" borderId="8" xfId="0" applyFont="1" applyFill="1" applyBorder="1" applyAlignment="1" applyProtection="1">
      <alignment horizontal="center" vertical="center" wrapText="1"/>
    </xf>
    <xf numFmtId="0" fontId="42" fillId="0" borderId="78" xfId="0" applyFont="1" applyFill="1" applyBorder="1" applyAlignment="1" applyProtection="1">
      <alignment horizontal="center" vertical="center" wrapText="1"/>
    </xf>
    <xf numFmtId="0" fontId="42" fillId="0" borderId="43" xfId="0" applyFont="1" applyFill="1" applyBorder="1" applyAlignment="1" applyProtection="1">
      <alignment horizontal="center" vertical="center" wrapText="1"/>
    </xf>
    <xf numFmtId="0" fontId="4" fillId="0" borderId="3" xfId="0" applyFont="1" applyFill="1" applyBorder="1" applyAlignment="1" applyProtection="1">
      <alignment horizontal="center" vertical="center" wrapText="1"/>
    </xf>
    <xf numFmtId="0" fontId="4" fillId="6" borderId="6" xfId="0" applyFont="1" applyFill="1" applyBorder="1" applyAlignment="1" applyProtection="1">
      <alignment vertical="top" wrapText="1"/>
    </xf>
    <xf numFmtId="0" fontId="15" fillId="8" borderId="1" xfId="0" applyFont="1" applyFill="1" applyBorder="1" applyAlignment="1" applyProtection="1">
      <alignment horizontal="center" vertical="center" wrapText="1"/>
    </xf>
    <xf numFmtId="0" fontId="15" fillId="8" borderId="6" xfId="0" applyFont="1" applyFill="1" applyBorder="1" applyAlignment="1" applyProtection="1">
      <alignment horizontal="center" vertical="center" wrapText="1"/>
    </xf>
    <xf numFmtId="0" fontId="42" fillId="0" borderId="30" xfId="0" applyFont="1" applyFill="1" applyBorder="1" applyAlignment="1" applyProtection="1">
      <alignment horizontal="center" vertical="center" wrapText="1"/>
    </xf>
    <xf numFmtId="0" fontId="42" fillId="0" borderId="13" xfId="0" applyFont="1" applyFill="1" applyBorder="1" applyAlignment="1" applyProtection="1">
      <alignment horizontal="center" vertical="center" wrapText="1"/>
    </xf>
    <xf numFmtId="0" fontId="42" fillId="0" borderId="75" xfId="0" applyFont="1" applyFill="1" applyBorder="1" applyAlignment="1" applyProtection="1">
      <alignment horizontal="center" vertical="center" wrapText="1"/>
    </xf>
    <xf numFmtId="0" fontId="42" fillId="0" borderId="65" xfId="0" applyFont="1" applyFill="1" applyBorder="1" applyAlignment="1" applyProtection="1">
      <alignment horizontal="center" vertical="center" wrapText="1"/>
    </xf>
    <xf numFmtId="0" fontId="42" fillId="0" borderId="131" xfId="0" applyFont="1" applyFill="1" applyBorder="1" applyAlignment="1" applyProtection="1">
      <alignment horizontal="center" vertical="center" wrapText="1"/>
    </xf>
    <xf numFmtId="0" fontId="42" fillId="0" borderId="4" xfId="0" applyFont="1" applyFill="1" applyBorder="1" applyAlignment="1" applyProtection="1">
      <alignment horizontal="center" vertical="center" wrapText="1"/>
    </xf>
    <xf numFmtId="0" fontId="42" fillId="0" borderId="25" xfId="0" applyFont="1" applyFill="1" applyBorder="1" applyAlignment="1" applyProtection="1">
      <alignment horizontal="center" vertical="center" wrapText="1"/>
    </xf>
    <xf numFmtId="0" fontId="42" fillId="0" borderId="82" xfId="0" applyFont="1" applyFill="1" applyBorder="1" applyAlignment="1" applyProtection="1">
      <alignment horizontal="center" vertical="center" wrapText="1"/>
    </xf>
    <xf numFmtId="0" fontId="42" fillId="0" borderId="87" xfId="0" applyFont="1" applyFill="1" applyBorder="1" applyAlignment="1" applyProtection="1">
      <alignment horizontal="center" vertical="center" wrapText="1"/>
    </xf>
    <xf numFmtId="0" fontId="42" fillId="0" borderId="7" xfId="0" applyFont="1" applyFill="1" applyBorder="1" applyAlignment="1" applyProtection="1">
      <alignment horizontal="center" vertical="center" wrapText="1"/>
    </xf>
    <xf numFmtId="0" fontId="42" fillId="0" borderId="70" xfId="0" applyFont="1" applyFill="1" applyBorder="1" applyAlignment="1" applyProtection="1">
      <alignment horizontal="center" vertical="center" wrapText="1"/>
    </xf>
    <xf numFmtId="0" fontId="42" fillId="0" borderId="34" xfId="0" applyFont="1" applyFill="1" applyBorder="1" applyAlignment="1" applyProtection="1">
      <alignment horizontal="center" vertical="center" wrapText="1"/>
    </xf>
    <xf numFmtId="0" fontId="42" fillId="0" borderId="16" xfId="0" applyFont="1" applyFill="1" applyBorder="1" applyAlignment="1" applyProtection="1">
      <alignment vertical="top" wrapText="1"/>
    </xf>
    <xf numFmtId="0" fontId="41" fillId="6" borderId="7" xfId="0" applyFont="1" applyFill="1" applyBorder="1" applyAlignment="1">
      <alignment horizontal="center" vertical="top" wrapText="1"/>
    </xf>
    <xf numFmtId="0" fontId="41" fillId="6" borderId="82" xfId="0" applyFont="1" applyFill="1" applyBorder="1" applyAlignment="1">
      <alignment horizontal="center" vertical="top" wrapText="1"/>
    </xf>
    <xf numFmtId="0" fontId="41" fillId="6" borderId="31" xfId="0" applyFont="1" applyFill="1" applyBorder="1" applyAlignment="1">
      <alignment horizontal="center" vertical="top" wrapText="1"/>
    </xf>
    <xf numFmtId="178" fontId="43" fillId="6" borderId="81" xfId="0" applyNumberFormat="1" applyFont="1" applyFill="1" applyBorder="1" applyAlignment="1" applyProtection="1">
      <alignment horizontal="left" vertical="top" wrapText="1"/>
    </xf>
    <xf numFmtId="178" fontId="43" fillId="6" borderId="16" xfId="0" applyNumberFormat="1" applyFont="1" applyFill="1" applyBorder="1" applyAlignment="1" applyProtection="1">
      <alignment horizontal="left" vertical="top" wrapText="1"/>
    </xf>
    <xf numFmtId="178" fontId="43" fillId="6" borderId="41" xfId="0" applyNumberFormat="1" applyFont="1" applyFill="1" applyBorder="1" applyAlignment="1" applyProtection="1">
      <alignment horizontal="left" vertical="top" wrapText="1"/>
    </xf>
    <xf numFmtId="0" fontId="4" fillId="8" borderId="111" xfId="0" applyFont="1" applyFill="1" applyBorder="1" applyAlignment="1" applyProtection="1">
      <alignment horizontal="justify" vertical="top" wrapText="1"/>
    </xf>
    <xf numFmtId="0" fontId="4" fillId="8" borderId="1" xfId="0" applyFont="1" applyFill="1" applyBorder="1" applyAlignment="1" applyProtection="1">
      <alignment vertical="top" wrapText="1"/>
    </xf>
    <xf numFmtId="41" fontId="4" fillId="8" borderId="1" xfId="0" applyNumberFormat="1" applyFont="1" applyFill="1" applyBorder="1" applyAlignment="1" applyProtection="1">
      <alignment horizontal="center" vertical="top" wrapText="1"/>
    </xf>
    <xf numFmtId="41" fontId="4" fillId="8" borderId="26" xfId="0" applyNumberFormat="1" applyFont="1" applyFill="1" applyBorder="1" applyAlignment="1" applyProtection="1">
      <alignment horizontal="center" vertical="top" wrapText="1"/>
    </xf>
    <xf numFmtId="0" fontId="32" fillId="8" borderId="9" xfId="0" applyFont="1" applyFill="1" applyBorder="1" applyAlignment="1" applyProtection="1">
      <alignment horizontal="center" vertical="center" wrapText="1"/>
    </xf>
    <xf numFmtId="0" fontId="4" fillId="8" borderId="6" xfId="0" applyFont="1" applyFill="1" applyBorder="1" applyAlignment="1" applyProtection="1">
      <alignment horizontal="center" vertical="center" wrapText="1"/>
    </xf>
    <xf numFmtId="0" fontId="42" fillId="8" borderId="4" xfId="0" applyFont="1" applyFill="1" applyBorder="1" applyAlignment="1" applyProtection="1">
      <alignment horizontal="center" vertical="center" wrapText="1"/>
    </xf>
    <xf numFmtId="0" fontId="42" fillId="8" borderId="30" xfId="0" applyFont="1" applyFill="1" applyBorder="1" applyAlignment="1" applyProtection="1">
      <alignment horizontal="center" vertical="center" wrapText="1"/>
    </xf>
    <xf numFmtId="0" fontId="4" fillId="8" borderId="0" xfId="0" applyFont="1" applyFill="1" applyBorder="1" applyProtection="1"/>
    <xf numFmtId="0" fontId="4" fillId="8" borderId="7" xfId="0" applyFont="1" applyFill="1" applyBorder="1" applyAlignment="1" applyProtection="1">
      <alignment vertical="top" wrapText="1"/>
    </xf>
    <xf numFmtId="41" fontId="4" fillId="8" borderId="7" xfId="0" applyNumberFormat="1" applyFont="1" applyFill="1" applyBorder="1" applyAlignment="1" applyProtection="1">
      <alignment horizontal="center" vertical="top" wrapText="1"/>
    </xf>
    <xf numFmtId="41" fontId="4" fillId="8" borderId="31" xfId="0" applyNumberFormat="1" applyFont="1" applyFill="1" applyBorder="1" applyAlignment="1" applyProtection="1">
      <alignment horizontal="center" vertical="top" wrapText="1"/>
    </xf>
    <xf numFmtId="0" fontId="4" fillId="8" borderId="111" xfId="0" applyFont="1" applyFill="1" applyBorder="1" applyAlignment="1">
      <alignment vertical="top" wrapText="1"/>
    </xf>
    <xf numFmtId="0" fontId="4" fillId="8" borderId="0" xfId="0" applyFont="1" applyFill="1" applyBorder="1" applyAlignment="1">
      <alignment horizontal="center" vertical="center" wrapText="1"/>
    </xf>
    <xf numFmtId="0" fontId="22" fillId="8" borderId="0" xfId="0" applyFont="1" applyFill="1" applyBorder="1" applyAlignment="1">
      <alignment horizontal="center" vertical="center" wrapText="1"/>
    </xf>
    <xf numFmtId="0" fontId="4" fillId="8" borderId="0" xfId="0" applyFont="1" applyFill="1" applyBorder="1" applyAlignment="1">
      <alignment wrapText="1"/>
    </xf>
    <xf numFmtId="0" fontId="4" fillId="8" borderId="111" xfId="0" applyFont="1" applyFill="1" applyBorder="1" applyAlignment="1">
      <alignment horizontal="justify" vertical="top" wrapText="1"/>
    </xf>
    <xf numFmtId="41" fontId="4" fillId="8" borderId="1" xfId="0" applyNumberFormat="1" applyFont="1" applyFill="1" applyBorder="1" applyAlignment="1">
      <alignment horizontal="justify" vertical="top" wrapText="1"/>
    </xf>
    <xf numFmtId="0" fontId="4" fillId="8" borderId="0" xfId="0" applyFont="1" applyFill="1" applyBorder="1" applyAlignment="1">
      <alignment horizontal="center" vertical="center"/>
    </xf>
    <xf numFmtId="0" fontId="22" fillId="8" borderId="0" xfId="0" applyFont="1" applyFill="1" applyBorder="1" applyAlignment="1">
      <alignment horizontal="center" vertical="center"/>
    </xf>
    <xf numFmtId="0" fontId="4" fillId="8" borderId="0" xfId="0" applyFont="1" applyFill="1" applyBorder="1" applyAlignment="1">
      <alignment vertical="top" wrapText="1"/>
    </xf>
    <xf numFmtId="0" fontId="4" fillId="8" borderId="0" xfId="0" applyFont="1" applyFill="1" applyBorder="1"/>
    <xf numFmtId="0" fontId="42" fillId="8" borderId="25" xfId="0" applyFont="1" applyFill="1" applyBorder="1" applyAlignment="1" applyProtection="1">
      <alignment horizontal="center" vertical="center" wrapText="1"/>
    </xf>
    <xf numFmtId="9" fontId="4" fillId="8" borderId="50" xfId="1" applyFont="1" applyFill="1" applyBorder="1" applyAlignment="1" applyProtection="1">
      <alignment vertical="top" wrapText="1"/>
    </xf>
    <xf numFmtId="0" fontId="4" fillId="8" borderId="53" xfId="0" applyFont="1" applyFill="1" applyBorder="1" applyAlignment="1">
      <alignment vertical="top" textRotation="180"/>
    </xf>
    <xf numFmtId="41" fontId="4" fillId="8" borderId="6" xfId="0" applyNumberFormat="1" applyFont="1" applyFill="1" applyBorder="1" applyAlignment="1">
      <alignment horizontal="center" vertical="top" wrapText="1"/>
    </xf>
    <xf numFmtId="41" fontId="4" fillId="8" borderId="26" xfId="0" applyNumberFormat="1" applyFont="1" applyFill="1" applyBorder="1" applyAlignment="1">
      <alignment horizontal="center" vertical="top" wrapText="1"/>
    </xf>
    <xf numFmtId="0" fontId="4" fillId="8" borderId="9" xfId="0" applyFont="1" applyFill="1" applyBorder="1" applyAlignment="1">
      <alignment horizontal="center" vertical="center"/>
    </xf>
    <xf numFmtId="0" fontId="4" fillId="8" borderId="1" xfId="0" applyFont="1" applyFill="1" applyBorder="1" applyAlignment="1">
      <alignment horizontal="center" vertical="center"/>
    </xf>
    <xf numFmtId="0" fontId="42" fillId="8" borderId="29" xfId="0" applyFont="1" applyFill="1" applyBorder="1" applyAlignment="1">
      <alignment horizontal="center" vertical="center"/>
    </xf>
    <xf numFmtId="0" fontId="42" fillId="8" borderId="9" xfId="0" applyFont="1" applyFill="1" applyBorder="1" applyAlignment="1">
      <alignment horizontal="center" vertical="center"/>
    </xf>
    <xf numFmtId="0" fontId="4" fillId="8" borderId="99" xfId="0" applyFont="1" applyFill="1" applyBorder="1" applyAlignment="1" applyProtection="1">
      <alignment horizontal="justify" vertical="top" wrapText="1"/>
    </xf>
    <xf numFmtId="9" fontId="4" fillId="8" borderId="98" xfId="1" applyFont="1" applyFill="1" applyBorder="1" applyAlignment="1" applyProtection="1">
      <alignment vertical="top" wrapText="1"/>
    </xf>
    <xf numFmtId="9" fontId="4" fillId="8" borderId="51" xfId="1" applyFont="1" applyFill="1" applyBorder="1" applyAlignment="1" applyProtection="1">
      <alignment vertical="top" wrapText="1"/>
    </xf>
    <xf numFmtId="0" fontId="4" fillId="8" borderId="99" xfId="0" applyFont="1" applyFill="1" applyBorder="1" applyAlignment="1">
      <alignment vertical="top" wrapText="1"/>
    </xf>
    <xf numFmtId="0" fontId="4" fillId="8" borderId="83" xfId="0" applyFont="1" applyFill="1" applyBorder="1" applyAlignment="1">
      <alignment horizontal="center" vertical="center" wrapText="1"/>
    </xf>
    <xf numFmtId="0" fontId="14" fillId="8" borderId="0" xfId="0" applyFont="1" applyFill="1" applyBorder="1" applyAlignment="1">
      <alignment horizontal="center" vertical="center" wrapText="1"/>
    </xf>
    <xf numFmtId="0" fontId="4" fillId="8" borderId="49" xfId="0" applyFont="1" applyFill="1" applyBorder="1" applyAlignment="1">
      <alignment vertical="top" textRotation="180"/>
    </xf>
    <xf numFmtId="0" fontId="4" fillId="8" borderId="63" xfId="0" applyFont="1" applyFill="1" applyBorder="1" applyAlignment="1">
      <alignment horizontal="left" vertical="top" textRotation="180"/>
    </xf>
    <xf numFmtId="0" fontId="4" fillId="8" borderId="8" xfId="0" applyFont="1" applyFill="1" applyBorder="1" applyAlignment="1" applyProtection="1">
      <alignment horizontal="center" vertical="center" wrapText="1"/>
    </xf>
    <xf numFmtId="0" fontId="32" fillId="8" borderId="8" xfId="0" applyFont="1" applyFill="1" applyBorder="1" applyAlignment="1" applyProtection="1">
      <alignment horizontal="center" vertical="center" wrapText="1"/>
    </xf>
    <xf numFmtId="0" fontId="4" fillId="8" borderId="10" xfId="0" applyFont="1" applyFill="1" applyBorder="1" applyAlignment="1" applyProtection="1">
      <alignment horizontal="center" vertical="center" wrapText="1"/>
    </xf>
    <xf numFmtId="0" fontId="42" fillId="8" borderId="82" xfId="0" applyFont="1" applyFill="1" applyBorder="1" applyAlignment="1" applyProtection="1">
      <alignment horizontal="center" vertical="center" wrapText="1"/>
    </xf>
    <xf numFmtId="0" fontId="42" fillId="8" borderId="31" xfId="0" applyFont="1" applyFill="1" applyBorder="1" applyAlignment="1" applyProtection="1">
      <alignment horizontal="center" vertical="center" wrapText="1"/>
    </xf>
    <xf numFmtId="9" fontId="4" fillId="8" borderId="37" xfId="1" applyFont="1" applyFill="1" applyBorder="1" applyAlignment="1" applyProtection="1">
      <alignment vertical="top" wrapText="1"/>
    </xf>
    <xf numFmtId="9" fontId="0" fillId="8" borderId="56" xfId="1" applyFont="1" applyFill="1" applyBorder="1" applyAlignment="1" applyProtection="1">
      <alignment vertical="top" wrapText="1"/>
    </xf>
    <xf numFmtId="0" fontId="4" fillId="8" borderId="69" xfId="0" applyFont="1" applyFill="1" applyBorder="1" applyAlignment="1">
      <alignment horizontal="center" vertical="center" wrapText="1"/>
    </xf>
    <xf numFmtId="0" fontId="4" fillId="0" borderId="5" xfId="0" applyFont="1" applyFill="1" applyBorder="1" applyAlignment="1">
      <alignment horizontal="center" vertical="center" wrapText="1"/>
    </xf>
    <xf numFmtId="0" fontId="5" fillId="6" borderId="54" xfId="0" applyFont="1" applyFill="1" applyBorder="1" applyAlignment="1">
      <alignment vertical="top" wrapText="1"/>
    </xf>
    <xf numFmtId="0" fontId="4" fillId="8" borderId="13" xfId="0" applyFont="1" applyFill="1" applyBorder="1" applyAlignment="1" applyProtection="1">
      <alignment horizontal="center" vertical="center" wrapText="1"/>
    </xf>
    <xf numFmtId="0" fontId="38" fillId="2" borderId="111" xfId="0" applyFont="1" applyFill="1" applyBorder="1" applyAlignment="1" applyProtection="1">
      <alignment horizontal="justify" vertical="top" wrapText="1"/>
    </xf>
    <xf numFmtId="0" fontId="4" fillId="6" borderId="76" xfId="0" applyFont="1" applyFill="1" applyBorder="1" applyAlignment="1" applyProtection="1">
      <alignment horizontal="center" vertical="top" wrapText="1"/>
    </xf>
    <xf numFmtId="9" fontId="0" fillId="0" borderId="50" xfId="1" applyFont="1" applyFill="1" applyBorder="1" applyAlignment="1" applyProtection="1">
      <alignment vertical="top" wrapText="1"/>
    </xf>
    <xf numFmtId="0" fontId="4" fillId="6" borderId="63" xfId="0" applyFont="1" applyFill="1" applyBorder="1" applyAlignment="1">
      <alignment vertical="top" textRotation="180"/>
    </xf>
    <xf numFmtId="0" fontId="20" fillId="6" borderId="69" xfId="0" applyFont="1" applyFill="1" applyBorder="1" applyAlignment="1">
      <alignment horizontal="center" vertical="center"/>
    </xf>
    <xf numFmtId="0" fontId="48" fillId="0" borderId="0" xfId="3" applyFont="1" applyAlignment="1">
      <alignment wrapText="1"/>
    </xf>
    <xf numFmtId="0" fontId="5" fillId="8" borderId="7" xfId="0" applyFont="1" applyFill="1" applyBorder="1" applyAlignment="1" applyProtection="1">
      <alignment horizontal="left" vertical="top" wrapText="1"/>
    </xf>
    <xf numFmtId="178" fontId="4" fillId="8" borderId="16" xfId="0" applyNumberFormat="1" applyFont="1" applyFill="1" applyBorder="1" applyAlignment="1" applyProtection="1">
      <alignment horizontal="center" vertical="top" wrapText="1"/>
    </xf>
    <xf numFmtId="0" fontId="4" fillId="8" borderId="40" xfId="0" applyFont="1" applyFill="1" applyBorder="1" applyAlignment="1" applyProtection="1">
      <alignment vertical="top" wrapText="1"/>
    </xf>
    <xf numFmtId="0" fontId="4" fillId="8" borderId="3" xfId="0" applyFont="1" applyFill="1" applyBorder="1" applyAlignment="1" applyProtection="1">
      <alignment horizontal="center" vertical="center" wrapText="1"/>
    </xf>
    <xf numFmtId="0" fontId="4" fillId="8" borderId="21" xfId="0" applyFont="1" applyFill="1" applyBorder="1" applyAlignment="1" applyProtection="1">
      <alignment horizontal="center" vertical="center" wrapText="1"/>
    </xf>
    <xf numFmtId="0" fontId="4" fillId="8" borderId="1" xfId="0" applyFont="1" applyFill="1" applyBorder="1" applyAlignment="1" applyProtection="1">
      <alignment horizontal="left" vertical="top" wrapText="1"/>
    </xf>
    <xf numFmtId="0" fontId="4" fillId="8" borderId="3" xfId="0" applyFont="1" applyFill="1" applyBorder="1" applyAlignment="1" applyProtection="1">
      <alignment horizontal="left" vertical="top" wrapText="1"/>
    </xf>
    <xf numFmtId="178" fontId="4" fillId="8" borderId="16" xfId="0" applyNumberFormat="1" applyFont="1" applyFill="1" applyBorder="1" applyAlignment="1" applyProtection="1">
      <alignment horizontal="justify" vertical="top" wrapText="1"/>
    </xf>
    <xf numFmtId="0" fontId="4" fillId="8" borderId="7" xfId="0" applyFont="1" applyFill="1" applyBorder="1" applyAlignment="1" applyProtection="1">
      <alignment horizontal="left" vertical="top" wrapText="1"/>
    </xf>
    <xf numFmtId="0" fontId="4" fillId="8" borderId="4" xfId="0" applyFont="1" applyFill="1" applyBorder="1" applyAlignment="1" applyProtection="1">
      <alignment horizontal="left" vertical="top" wrapText="1"/>
    </xf>
    <xf numFmtId="0" fontId="4" fillId="8" borderId="11" xfId="0" applyFont="1" applyFill="1" applyBorder="1" applyAlignment="1" applyProtection="1">
      <alignment vertical="top" wrapText="1"/>
    </xf>
    <xf numFmtId="0" fontId="5" fillId="8" borderId="7" xfId="0" applyFont="1" applyFill="1" applyBorder="1" applyAlignment="1" applyProtection="1">
      <alignment vertical="top" wrapText="1"/>
    </xf>
    <xf numFmtId="0" fontId="4" fillId="8" borderId="10" xfId="0" applyFont="1" applyFill="1" applyBorder="1" applyAlignment="1" applyProtection="1">
      <alignment vertical="top" wrapText="1"/>
    </xf>
    <xf numFmtId="0" fontId="4" fillId="8" borderId="6" xfId="0" applyFont="1" applyFill="1" applyBorder="1" applyAlignment="1" applyProtection="1">
      <alignment vertical="top" wrapText="1"/>
    </xf>
    <xf numFmtId="0" fontId="5" fillId="8" borderId="3" xfId="0" applyFont="1" applyFill="1" applyBorder="1" applyAlignment="1" applyProtection="1">
      <alignment vertical="top" wrapText="1"/>
    </xf>
    <xf numFmtId="0" fontId="41" fillId="8" borderId="7" xfId="0" applyFont="1" applyFill="1" applyBorder="1" applyAlignment="1">
      <alignment horizontal="center" vertical="top" wrapText="1"/>
    </xf>
    <xf numFmtId="0" fontId="41" fillId="8" borderId="26" xfId="0" applyFont="1" applyFill="1" applyBorder="1" applyAlignment="1">
      <alignment horizontal="center" vertical="top" wrapText="1"/>
    </xf>
    <xf numFmtId="0" fontId="41" fillId="8" borderId="31" xfId="0" applyFont="1" applyFill="1" applyBorder="1" applyAlignment="1">
      <alignment horizontal="center" vertical="top" wrapText="1"/>
    </xf>
    <xf numFmtId="178" fontId="43" fillId="8" borderId="16" xfId="0" applyNumberFormat="1" applyFont="1" applyFill="1" applyBorder="1" applyAlignment="1" applyProtection="1">
      <alignment horizontal="left" vertical="top" wrapText="1"/>
    </xf>
    <xf numFmtId="178" fontId="43" fillId="8" borderId="41" xfId="0" applyNumberFormat="1" applyFont="1" applyFill="1" applyBorder="1" applyAlignment="1" applyProtection="1">
      <alignment horizontal="left" vertical="top" wrapText="1"/>
    </xf>
    <xf numFmtId="0" fontId="4" fillId="8" borderId="76" xfId="0" applyFont="1" applyFill="1" applyBorder="1" applyAlignment="1" applyProtection="1">
      <alignment vertical="top" wrapText="1"/>
    </xf>
    <xf numFmtId="0" fontId="5" fillId="8" borderId="54" xfId="0" applyFont="1" applyFill="1" applyBorder="1" applyAlignment="1">
      <alignment vertical="top" wrapText="1"/>
    </xf>
    <xf numFmtId="0" fontId="4" fillId="8" borderId="5" xfId="0" applyFont="1" applyFill="1" applyBorder="1" applyAlignment="1">
      <alignment horizontal="center" vertical="center" wrapText="1"/>
    </xf>
    <xf numFmtId="0" fontId="4" fillId="8" borderId="6" xfId="0" applyFont="1" applyFill="1" applyBorder="1" applyAlignment="1">
      <alignment horizontal="center" vertical="center" wrapText="1"/>
    </xf>
    <xf numFmtId="0" fontId="4" fillId="8" borderId="1" xfId="0" applyFont="1" applyFill="1" applyBorder="1" applyAlignment="1">
      <alignment horizontal="center" vertical="center" wrapText="1"/>
    </xf>
    <xf numFmtId="0" fontId="4" fillId="8" borderId="54" xfId="0" applyFont="1" applyFill="1" applyBorder="1" applyAlignment="1">
      <alignment vertical="top" wrapText="1"/>
    </xf>
    <xf numFmtId="0" fontId="38" fillId="0" borderId="0" xfId="3" applyFont="1" applyAlignment="1">
      <alignment horizontal="right" wrapText="1"/>
    </xf>
    <xf numFmtId="0" fontId="4" fillId="8" borderId="16" xfId="0" applyFont="1" applyFill="1" applyBorder="1" applyAlignment="1" applyProtection="1">
      <alignment horizontal="center" vertical="center" wrapText="1"/>
    </xf>
    <xf numFmtId="0" fontId="4" fillId="8" borderId="70" xfId="0" applyFont="1" applyFill="1" applyBorder="1" applyAlignment="1" applyProtection="1">
      <alignment horizontal="center" vertical="center" wrapText="1"/>
    </xf>
    <xf numFmtId="0" fontId="4" fillId="4" borderId="45" xfId="0" applyFont="1" applyFill="1" applyBorder="1" applyAlignment="1" applyProtection="1">
      <alignment vertical="top" wrapText="1"/>
    </xf>
    <xf numFmtId="178" fontId="29" fillId="6" borderId="17" xfId="0" applyNumberFormat="1" applyFont="1" applyFill="1" applyBorder="1" applyAlignment="1">
      <alignment horizontal="center" vertical="top" wrapText="1"/>
    </xf>
    <xf numFmtId="0" fontId="4" fillId="8" borderId="6" xfId="0" applyFont="1" applyFill="1" applyBorder="1" applyAlignment="1">
      <alignment horizontal="center" vertical="center"/>
    </xf>
    <xf numFmtId="0" fontId="4" fillId="8" borderId="5" xfId="0" applyFont="1" applyFill="1" applyBorder="1" applyAlignment="1" applyProtection="1">
      <alignment horizontal="center" vertical="center" wrapText="1"/>
    </xf>
    <xf numFmtId="0" fontId="4" fillId="5" borderId="86" xfId="0" applyFont="1" applyFill="1" applyBorder="1" applyAlignment="1" applyProtection="1">
      <alignment horizontal="center" vertical="center" wrapText="1"/>
    </xf>
    <xf numFmtId="0" fontId="41" fillId="8" borderId="136" xfId="0" applyFont="1" applyFill="1" applyBorder="1" applyAlignment="1">
      <alignment horizontal="center" vertical="top" wrapText="1"/>
    </xf>
    <xf numFmtId="0" fontId="41" fillId="8" borderId="137" xfId="0" applyFont="1" applyFill="1" applyBorder="1" applyAlignment="1">
      <alignment horizontal="center" vertical="top" wrapText="1"/>
    </xf>
    <xf numFmtId="178" fontId="43" fillId="8" borderId="138" xfId="0" applyNumberFormat="1" applyFont="1" applyFill="1" applyBorder="1" applyAlignment="1" applyProtection="1">
      <alignment horizontal="left" vertical="top" wrapText="1"/>
    </xf>
    <xf numFmtId="0" fontId="4" fillId="8" borderId="139" xfId="0" applyFont="1" applyFill="1" applyBorder="1" applyAlignment="1" applyProtection="1">
      <alignment horizontal="center" vertical="center" wrapText="1"/>
    </xf>
    <xf numFmtId="0" fontId="4" fillId="8" borderId="25" xfId="0" applyFont="1" applyFill="1" applyBorder="1" applyAlignment="1" applyProtection="1">
      <alignment horizontal="center" vertical="center" wrapText="1"/>
    </xf>
    <xf numFmtId="0" fontId="4" fillId="8" borderId="136" xfId="0" applyFont="1" applyFill="1" applyBorder="1" applyAlignment="1" applyProtection="1">
      <alignment horizontal="center" vertical="center" wrapText="1"/>
    </xf>
    <xf numFmtId="0" fontId="4" fillId="8" borderId="26" xfId="0" applyFont="1" applyFill="1" applyBorder="1" applyAlignment="1" applyProtection="1">
      <alignment horizontal="center" vertical="center" wrapText="1"/>
    </xf>
    <xf numFmtId="0" fontId="4" fillId="8" borderId="137" xfId="0" applyFont="1" applyFill="1" applyBorder="1" applyAlignment="1" applyProtection="1">
      <alignment horizontal="center" vertical="center" wrapText="1"/>
    </xf>
    <xf numFmtId="0" fontId="4" fillId="8" borderId="31" xfId="0" applyFont="1" applyFill="1" applyBorder="1" applyAlignment="1" applyProtection="1">
      <alignment horizontal="center" vertical="center" wrapText="1"/>
    </xf>
    <xf numFmtId="0" fontId="4" fillId="8" borderId="135" xfId="0" applyFont="1" applyFill="1" applyBorder="1" applyAlignment="1" applyProtection="1">
      <alignment horizontal="center" vertical="center" wrapText="1"/>
    </xf>
    <xf numFmtId="0" fontId="4" fillId="8" borderId="75" xfId="0" applyFont="1" applyFill="1" applyBorder="1" applyAlignment="1" applyProtection="1">
      <alignment horizontal="center" vertical="center" wrapText="1"/>
    </xf>
    <xf numFmtId="0" fontId="4" fillId="8" borderId="140" xfId="0" applyFont="1" applyFill="1" applyBorder="1" applyAlignment="1" applyProtection="1">
      <alignment horizontal="center" vertical="center" wrapText="1"/>
    </xf>
    <xf numFmtId="0" fontId="4" fillId="8" borderId="34" xfId="0" applyFont="1" applyFill="1" applyBorder="1" applyAlignment="1" applyProtection="1">
      <alignment horizontal="center" vertical="center" wrapText="1"/>
    </xf>
    <xf numFmtId="0" fontId="4" fillId="8" borderId="141" xfId="0" applyFont="1" applyFill="1" applyBorder="1" applyAlignment="1" applyProtection="1">
      <alignment vertical="top" wrapText="1"/>
    </xf>
    <xf numFmtId="0" fontId="4" fillId="8" borderId="79" xfId="0" applyFont="1" applyFill="1" applyBorder="1" applyAlignment="1" applyProtection="1">
      <alignment vertical="top" wrapText="1"/>
    </xf>
    <xf numFmtId="0" fontId="5" fillId="4" borderId="10" xfId="0" applyFont="1" applyFill="1" applyBorder="1" applyAlignment="1" applyProtection="1">
      <alignment vertical="top" wrapText="1"/>
    </xf>
    <xf numFmtId="0" fontId="0" fillId="7" borderId="1" xfId="0" applyFill="1" applyBorder="1" applyAlignment="1">
      <alignment vertical="top"/>
    </xf>
    <xf numFmtId="0" fontId="0" fillId="7" borderId="1" xfId="0" applyFill="1" applyBorder="1" applyAlignment="1">
      <alignment horizontal="left" vertical="top" wrapText="1"/>
    </xf>
    <xf numFmtId="0" fontId="4" fillId="8" borderId="11" xfId="0" applyFont="1" applyFill="1" applyBorder="1" applyAlignment="1" applyProtection="1">
      <alignment horizontal="left" vertical="top" wrapText="1"/>
    </xf>
    <xf numFmtId="0" fontId="0" fillId="8" borderId="1" xfId="0" applyFont="1" applyFill="1" applyBorder="1" applyAlignment="1" applyProtection="1">
      <alignment horizontal="left" vertical="top" wrapText="1"/>
    </xf>
    <xf numFmtId="0" fontId="4" fillId="8" borderId="0" xfId="0" applyFont="1" applyFill="1" applyBorder="1" applyAlignment="1" applyProtection="1">
      <alignment wrapText="1"/>
    </xf>
    <xf numFmtId="178" fontId="32" fillId="8" borderId="16" xfId="0" applyNumberFormat="1" applyFont="1" applyFill="1" applyBorder="1" applyAlignment="1" applyProtection="1">
      <alignment horizontal="left" vertical="top" wrapText="1"/>
    </xf>
    <xf numFmtId="178" fontId="14" fillId="8" borderId="16" xfId="0" applyNumberFormat="1" applyFont="1" applyFill="1" applyBorder="1" applyAlignment="1" applyProtection="1">
      <alignment horizontal="left" vertical="top" wrapText="1"/>
    </xf>
    <xf numFmtId="0" fontId="32" fillId="8" borderId="3" xfId="0" applyFont="1" applyFill="1" applyBorder="1" applyAlignment="1" applyProtection="1">
      <alignment horizontal="center" vertical="center" wrapText="1"/>
    </xf>
    <xf numFmtId="0" fontId="32" fillId="8" borderId="13" xfId="0" applyFont="1" applyFill="1" applyBorder="1" applyAlignment="1" applyProtection="1">
      <alignment horizontal="center" vertical="center" wrapText="1"/>
    </xf>
    <xf numFmtId="0" fontId="32" fillId="8" borderId="16" xfId="0" applyFont="1" applyFill="1" applyBorder="1" applyAlignment="1" applyProtection="1">
      <alignment horizontal="center" vertical="center" wrapText="1"/>
    </xf>
    <xf numFmtId="0" fontId="32" fillId="8" borderId="21" xfId="0" applyFont="1" applyFill="1" applyBorder="1" applyAlignment="1" applyProtection="1">
      <alignment horizontal="center" vertical="center" wrapText="1"/>
    </xf>
    <xf numFmtId="0" fontId="14" fillId="8" borderId="0" xfId="0" applyFont="1" applyFill="1" applyBorder="1" applyAlignment="1" applyProtection="1">
      <alignment wrapText="1"/>
    </xf>
    <xf numFmtId="178" fontId="14" fillId="8" borderId="23" xfId="0" applyNumberFormat="1" applyFont="1" applyFill="1" applyBorder="1" applyAlignment="1" applyProtection="1">
      <alignment horizontal="left" vertical="top" wrapText="1"/>
    </xf>
    <xf numFmtId="0" fontId="14" fillId="8" borderId="18" xfId="0" applyFont="1" applyFill="1" applyBorder="1" applyAlignment="1" applyProtection="1">
      <alignment horizontal="center" vertical="center" wrapText="1"/>
    </xf>
    <xf numFmtId="0" fontId="14" fillId="8" borderId="2" xfId="0" applyFont="1" applyFill="1" applyBorder="1" applyAlignment="1" applyProtection="1">
      <alignment horizontal="center" vertical="center" wrapText="1"/>
    </xf>
    <xf numFmtId="0" fontId="14" fillId="8" borderId="3" xfId="0" applyFont="1" applyFill="1" applyBorder="1" applyAlignment="1" applyProtection="1">
      <alignment horizontal="center" vertical="center" wrapText="1"/>
    </xf>
    <xf numFmtId="0" fontId="14" fillId="8" borderId="13"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179" fontId="4" fillId="8" borderId="13" xfId="0" applyNumberFormat="1" applyFont="1" applyFill="1" applyBorder="1" applyAlignment="1" applyProtection="1">
      <alignment horizontal="center" vertical="center" wrapText="1"/>
    </xf>
    <xf numFmtId="179" fontId="4" fillId="8" borderId="1" xfId="0" applyNumberFormat="1" applyFont="1" applyFill="1" applyBorder="1" applyAlignment="1" applyProtection="1">
      <alignment horizontal="center" vertical="center" wrapText="1"/>
    </xf>
    <xf numFmtId="179" fontId="4" fillId="8" borderId="70" xfId="0" applyNumberFormat="1" applyFont="1" applyFill="1" applyBorder="1" applyAlignment="1" applyProtection="1">
      <alignment horizontal="center" vertical="center" wrapText="1"/>
    </xf>
    <xf numFmtId="0" fontId="14" fillId="8" borderId="0" xfId="0" applyFont="1" applyFill="1" applyBorder="1" applyProtection="1"/>
    <xf numFmtId="177" fontId="4" fillId="8" borderId="0" xfId="0" applyNumberFormat="1" applyFont="1" applyFill="1" applyBorder="1" applyAlignment="1" applyProtection="1">
      <alignment horizontal="center" vertical="top" wrapText="1"/>
    </xf>
    <xf numFmtId="0" fontId="36" fillId="7" borderId="1" xfId="0" applyFont="1" applyFill="1" applyBorder="1" applyAlignment="1" applyProtection="1">
      <alignment horizontal="left" vertical="top" wrapText="1"/>
    </xf>
    <xf numFmtId="0" fontId="4" fillId="6" borderId="2" xfId="0" applyFont="1" applyFill="1" applyBorder="1" applyAlignment="1" applyProtection="1">
      <alignment horizontal="left" vertical="top" wrapText="1"/>
    </xf>
    <xf numFmtId="0" fontId="32" fillId="6" borderId="3" xfId="0" applyFont="1" applyFill="1" applyBorder="1" applyAlignment="1" applyProtection="1">
      <alignment horizontal="left" vertical="top" wrapText="1"/>
    </xf>
    <xf numFmtId="0" fontId="32" fillId="6" borderId="7" xfId="0" applyFont="1" applyFill="1" applyBorder="1" applyAlignment="1" applyProtection="1">
      <alignment horizontal="left" vertical="top" wrapText="1"/>
    </xf>
    <xf numFmtId="0" fontId="14" fillId="6" borderId="7" xfId="0" applyFont="1" applyFill="1" applyBorder="1" applyAlignment="1" applyProtection="1">
      <alignment horizontal="left" vertical="top" wrapText="1"/>
    </xf>
    <xf numFmtId="0" fontId="4" fillId="0" borderId="115" xfId="0" applyFont="1" applyFill="1" applyBorder="1" applyAlignment="1">
      <alignment vertical="top" wrapText="1"/>
    </xf>
    <xf numFmtId="179" fontId="4" fillId="0" borderId="65" xfId="0" applyNumberFormat="1" applyFont="1" applyFill="1" applyBorder="1" applyAlignment="1" applyProtection="1">
      <alignment horizontal="center" vertical="center" wrapText="1"/>
    </xf>
    <xf numFmtId="179" fontId="4" fillId="0" borderId="3" xfId="0" applyNumberFormat="1" applyFont="1" applyFill="1" applyBorder="1" applyAlignment="1" applyProtection="1">
      <alignment horizontal="center" vertical="center" wrapText="1"/>
    </xf>
    <xf numFmtId="179" fontId="4" fillId="0" borderId="69" xfId="0" applyNumberFormat="1" applyFont="1" applyFill="1" applyBorder="1" applyAlignment="1" applyProtection="1">
      <alignment horizontal="center" vertical="center" wrapText="1"/>
    </xf>
    <xf numFmtId="0" fontId="0" fillId="2" borderId="21" xfId="0" applyFont="1" applyFill="1" applyBorder="1" applyAlignment="1">
      <alignment horizontal="left" vertical="top" wrapText="1"/>
    </xf>
    <xf numFmtId="178" fontId="4" fillId="6" borderId="0" xfId="0" applyNumberFormat="1" applyFont="1" applyFill="1" applyBorder="1" applyAlignment="1" applyProtection="1">
      <alignment horizontal="center" vertical="top" wrapText="1"/>
    </xf>
    <xf numFmtId="178" fontId="43" fillId="6" borderId="16" xfId="0" applyNumberFormat="1" applyFont="1" applyFill="1" applyBorder="1" applyAlignment="1" applyProtection="1">
      <alignment horizontal="center" vertical="top" wrapText="1"/>
    </xf>
    <xf numFmtId="0" fontId="0" fillId="7" borderId="8" xfId="0" applyFont="1" applyFill="1" applyBorder="1" applyAlignment="1" applyProtection="1">
      <alignment vertical="top" wrapText="1"/>
    </xf>
    <xf numFmtId="178" fontId="4" fillId="7" borderId="16" xfId="0" applyNumberFormat="1" applyFont="1" applyFill="1" applyBorder="1" applyAlignment="1" applyProtection="1">
      <alignment horizontal="center" vertical="top" wrapText="1"/>
    </xf>
    <xf numFmtId="178" fontId="0" fillId="7" borderId="16" xfId="0" applyNumberFormat="1" applyFont="1" applyFill="1" applyBorder="1" applyAlignment="1">
      <alignment horizontal="center" vertical="top" wrapText="1"/>
    </xf>
    <xf numFmtId="178" fontId="4" fillId="7" borderId="83" xfId="0" applyNumberFormat="1" applyFont="1" applyFill="1" applyBorder="1" applyAlignment="1" applyProtection="1">
      <alignment horizontal="center" vertical="top" wrapText="1"/>
    </xf>
    <xf numFmtId="0" fontId="4" fillId="7" borderId="10" xfId="0" applyFont="1" applyFill="1" applyBorder="1" applyAlignment="1" applyProtection="1">
      <alignment vertical="top" wrapText="1"/>
    </xf>
    <xf numFmtId="0" fontId="17" fillId="7" borderId="10" xfId="0" applyFont="1" applyFill="1" applyBorder="1" applyAlignment="1" applyProtection="1">
      <alignment vertical="top" wrapText="1"/>
    </xf>
    <xf numFmtId="0" fontId="4" fillId="7" borderId="6" xfId="0" applyFont="1" applyFill="1" applyBorder="1" applyAlignment="1" applyProtection="1">
      <alignment vertical="top" wrapText="1"/>
    </xf>
    <xf numFmtId="178" fontId="4" fillId="7" borderId="54" xfId="0" applyNumberFormat="1" applyFont="1" applyFill="1" applyBorder="1" applyAlignment="1" applyProtection="1">
      <alignment horizontal="center" vertical="top" wrapText="1"/>
    </xf>
    <xf numFmtId="0" fontId="4" fillId="7" borderId="1" xfId="0" applyFont="1" applyFill="1" applyBorder="1" applyAlignment="1" applyProtection="1">
      <alignment vertical="top" wrapText="1"/>
    </xf>
    <xf numFmtId="0" fontId="4" fillId="7" borderId="11" xfId="0" applyFont="1" applyFill="1" applyBorder="1" applyAlignment="1" applyProtection="1">
      <alignment vertical="top" wrapText="1"/>
    </xf>
    <xf numFmtId="178" fontId="29" fillId="7" borderId="16" xfId="0" applyNumberFormat="1" applyFont="1" applyFill="1" applyBorder="1" applyAlignment="1">
      <alignment horizontal="center" vertical="top" wrapText="1"/>
    </xf>
    <xf numFmtId="0" fontId="0" fillId="7" borderId="59" xfId="0" applyFont="1" applyFill="1" applyBorder="1" applyAlignment="1" applyProtection="1">
      <alignment horizontal="left" vertical="top" wrapText="1"/>
    </xf>
    <xf numFmtId="0" fontId="4" fillId="7" borderId="8" xfId="0" applyFont="1" applyFill="1" applyBorder="1" applyAlignment="1" applyProtection="1">
      <alignment horizontal="center" vertical="center" wrapText="1"/>
    </xf>
    <xf numFmtId="0" fontId="4" fillId="7" borderId="7" xfId="0" applyFont="1" applyFill="1" applyBorder="1" applyAlignment="1" applyProtection="1">
      <alignment horizontal="center" vertical="center" wrapText="1"/>
    </xf>
    <xf numFmtId="0" fontId="4" fillId="7" borderId="1" xfId="0" applyFont="1" applyFill="1" applyBorder="1" applyAlignment="1">
      <alignment horizontal="center" vertical="center" wrapText="1"/>
    </xf>
    <xf numFmtId="0" fontId="4" fillId="7" borderId="9" xfId="0" applyFont="1" applyFill="1" applyBorder="1" applyAlignment="1">
      <alignment horizontal="center" vertical="center" wrapText="1"/>
    </xf>
    <xf numFmtId="0" fontId="4" fillId="7" borderId="74" xfId="0" applyFont="1" applyFill="1" applyBorder="1" applyAlignment="1">
      <alignment horizontal="center" vertical="center" wrapText="1"/>
    </xf>
    <xf numFmtId="0" fontId="5" fillId="7" borderId="50" xfId="0" applyFont="1" applyFill="1" applyBorder="1" applyAlignment="1" applyProtection="1">
      <alignment wrapText="1"/>
    </xf>
    <xf numFmtId="0" fontId="4" fillId="7" borderId="1" xfId="0" applyFont="1" applyFill="1" applyBorder="1" applyAlignment="1" applyProtection="1">
      <alignment horizontal="left" vertical="top" wrapText="1"/>
    </xf>
    <xf numFmtId="178" fontId="4" fillId="7" borderId="16" xfId="0" applyNumberFormat="1" applyFont="1" applyFill="1" applyBorder="1" applyAlignment="1" applyProtection="1">
      <alignment horizontal="justify" vertical="top" wrapText="1"/>
    </xf>
    <xf numFmtId="178" fontId="28" fillId="7" borderId="16" xfId="0" applyNumberFormat="1" applyFont="1" applyFill="1" applyBorder="1" applyAlignment="1">
      <alignment horizontal="left" vertical="top"/>
    </xf>
    <xf numFmtId="0" fontId="4" fillId="7" borderId="1" xfId="0" applyFont="1" applyFill="1" applyBorder="1" applyAlignment="1">
      <alignment vertical="top" wrapText="1"/>
    </xf>
    <xf numFmtId="0" fontId="4" fillId="7" borderId="6" xfId="0" applyFont="1" applyFill="1" applyBorder="1" applyAlignment="1">
      <alignment vertical="top" wrapText="1"/>
    </xf>
    <xf numFmtId="0" fontId="4" fillId="7" borderId="1" xfId="0" applyFont="1" applyFill="1" applyBorder="1" applyAlignment="1" applyProtection="1">
      <alignment horizontal="center" vertical="center" wrapText="1"/>
    </xf>
    <xf numFmtId="0" fontId="4" fillId="7" borderId="2" xfId="0" applyFont="1" applyFill="1" applyBorder="1" applyAlignment="1" applyProtection="1">
      <alignment horizontal="left" vertical="top" wrapText="1"/>
    </xf>
    <xf numFmtId="178" fontId="4" fillId="7" borderId="23" xfId="0" applyNumberFormat="1" applyFont="1" applyFill="1" applyBorder="1" applyAlignment="1" applyProtection="1">
      <alignment horizontal="left" vertical="top" wrapText="1"/>
    </xf>
    <xf numFmtId="178" fontId="4" fillId="7" borderId="16" xfId="0" applyNumberFormat="1" applyFont="1" applyFill="1" applyBorder="1" applyAlignment="1" applyProtection="1">
      <alignment horizontal="left" vertical="top" wrapText="1"/>
    </xf>
    <xf numFmtId="0" fontId="4" fillId="7" borderId="18" xfId="0" applyFont="1" applyFill="1" applyBorder="1" applyAlignment="1" applyProtection="1">
      <alignment horizontal="center" vertical="center" wrapText="1"/>
    </xf>
    <xf numFmtId="0" fontId="4" fillId="7" borderId="4" xfId="0" applyFont="1" applyFill="1" applyBorder="1" applyAlignment="1" applyProtection="1">
      <alignment horizontal="center" vertical="center" wrapText="1"/>
    </xf>
    <xf numFmtId="0" fontId="4" fillId="7" borderId="9" xfId="0" applyFont="1" applyFill="1" applyBorder="1" applyAlignment="1" applyProtection="1">
      <alignment horizontal="center" vertical="center" wrapText="1"/>
    </xf>
    <xf numFmtId="0" fontId="5" fillId="7" borderId="9" xfId="0" applyFont="1" applyFill="1" applyBorder="1" applyAlignment="1" applyProtection="1">
      <alignment horizontal="center" vertical="center" wrapText="1"/>
    </xf>
    <xf numFmtId="0" fontId="5" fillId="7" borderId="1" xfId="0" applyFont="1" applyFill="1" applyBorder="1" applyAlignment="1" applyProtection="1">
      <alignment horizontal="center" vertical="center" wrapText="1"/>
    </xf>
    <xf numFmtId="0" fontId="5" fillId="7" borderId="18" xfId="0" applyFont="1" applyFill="1" applyBorder="1" applyAlignment="1" applyProtection="1">
      <alignment horizontal="center" vertical="center" wrapText="1"/>
    </xf>
    <xf numFmtId="0" fontId="5" fillId="7" borderId="4" xfId="0" applyFont="1" applyFill="1" applyBorder="1" applyAlignment="1" applyProtection="1">
      <alignment horizontal="center" vertical="center" wrapText="1"/>
    </xf>
    <xf numFmtId="0" fontId="4" fillId="7" borderId="20" xfId="0" applyFont="1" applyFill="1" applyBorder="1" applyAlignment="1" applyProtection="1">
      <alignment horizontal="center" vertical="center" wrapText="1"/>
    </xf>
    <xf numFmtId="0" fontId="4" fillId="7" borderId="19" xfId="0" applyFont="1" applyFill="1" applyBorder="1" applyAlignment="1" applyProtection="1">
      <alignment horizontal="center" vertical="center" wrapText="1"/>
    </xf>
    <xf numFmtId="0" fontId="0" fillId="7" borderId="18" xfId="0" applyFont="1" applyFill="1" applyBorder="1" applyAlignment="1" applyProtection="1">
      <alignment horizontal="center" vertical="center" wrapText="1"/>
    </xf>
    <xf numFmtId="0" fontId="4" fillId="7" borderId="43" xfId="0" applyFont="1" applyFill="1" applyBorder="1" applyAlignment="1" applyProtection="1">
      <alignment horizontal="center" vertical="center" wrapText="1"/>
    </xf>
    <xf numFmtId="0" fontId="4" fillId="7" borderId="13" xfId="0" applyFont="1" applyFill="1" applyBorder="1" applyAlignment="1" applyProtection="1">
      <alignment horizontal="center" vertical="center" wrapText="1"/>
    </xf>
    <xf numFmtId="0" fontId="4" fillId="7" borderId="24" xfId="0" applyFont="1" applyFill="1" applyBorder="1" applyAlignment="1" applyProtection="1">
      <alignment horizontal="center" vertical="center" wrapText="1"/>
    </xf>
    <xf numFmtId="0" fontId="4" fillId="7" borderId="21" xfId="0" applyFont="1" applyFill="1" applyBorder="1" applyAlignment="1" applyProtection="1">
      <alignment horizontal="center" vertical="center" wrapText="1"/>
    </xf>
    <xf numFmtId="179" fontId="4" fillId="7" borderId="13" xfId="0" applyNumberFormat="1" applyFont="1" applyFill="1" applyBorder="1" applyAlignment="1" applyProtection="1">
      <alignment horizontal="center" vertical="center" wrapText="1"/>
    </xf>
    <xf numFmtId="179" fontId="4" fillId="7" borderId="11" xfId="0" applyNumberFormat="1" applyFont="1" applyFill="1" applyBorder="1" applyAlignment="1" applyProtection="1">
      <alignment horizontal="center" vertical="center" wrapText="1"/>
    </xf>
    <xf numFmtId="179" fontId="4" fillId="7" borderId="6" xfId="0" applyNumberFormat="1" applyFont="1" applyFill="1" applyBorder="1" applyAlignment="1" applyProtection="1">
      <alignment horizontal="center" vertical="center" wrapText="1"/>
    </xf>
    <xf numFmtId="179" fontId="4" fillId="7" borderId="1" xfId="0" applyNumberFormat="1" applyFont="1" applyFill="1" applyBorder="1" applyAlignment="1" applyProtection="1">
      <alignment horizontal="center" vertical="center" wrapText="1"/>
    </xf>
    <xf numFmtId="179" fontId="4" fillId="7" borderId="29" xfId="0" applyNumberFormat="1" applyFont="1" applyFill="1" applyBorder="1" applyAlignment="1" applyProtection="1">
      <alignment horizontal="center" vertical="center" wrapText="1"/>
    </xf>
    <xf numFmtId="179" fontId="4" fillId="7" borderId="77" xfId="0" applyNumberFormat="1" applyFont="1" applyFill="1" applyBorder="1" applyAlignment="1" applyProtection="1">
      <alignment horizontal="center" vertical="center" wrapText="1"/>
    </xf>
    <xf numFmtId="179" fontId="4" fillId="7" borderId="70" xfId="0" applyNumberFormat="1" applyFont="1" applyFill="1" applyBorder="1" applyAlignment="1" applyProtection="1">
      <alignment horizontal="center" vertical="center" wrapText="1"/>
    </xf>
    <xf numFmtId="0" fontId="4" fillId="8" borderId="20" xfId="0" applyFont="1" applyFill="1" applyBorder="1" applyAlignment="1" applyProtection="1">
      <alignment horizontal="center" vertical="center" wrapText="1"/>
    </xf>
    <xf numFmtId="0" fontId="4" fillId="8" borderId="18" xfId="0" applyFont="1" applyFill="1" applyBorder="1" applyAlignment="1" applyProtection="1">
      <alignment horizontal="center" vertical="center" wrapText="1"/>
    </xf>
    <xf numFmtId="0" fontId="0" fillId="0" borderId="98" xfId="0" applyFont="1" applyFill="1" applyBorder="1" applyAlignment="1" applyProtection="1">
      <alignment vertical="top" wrapText="1"/>
    </xf>
    <xf numFmtId="0" fontId="4" fillId="5" borderId="65" xfId="0" applyNumberFormat="1" applyFont="1" applyFill="1" applyBorder="1" applyAlignment="1" applyProtection="1">
      <alignment horizontal="center" vertical="center" wrapText="1"/>
    </xf>
    <xf numFmtId="0" fontId="4" fillId="5" borderId="3" xfId="0" applyNumberFormat="1" applyFont="1" applyFill="1" applyBorder="1" applyAlignment="1" applyProtection="1">
      <alignment horizontal="center" vertical="center" wrapText="1"/>
    </xf>
    <xf numFmtId="0" fontId="4" fillId="5" borderId="69" xfId="0" applyNumberFormat="1" applyFont="1" applyFill="1" applyBorder="1" applyAlignment="1" applyProtection="1">
      <alignment horizontal="center" vertical="center" wrapText="1"/>
    </xf>
    <xf numFmtId="179" fontId="4" fillId="5" borderId="118" xfId="0" applyNumberFormat="1" applyFont="1" applyFill="1" applyBorder="1" applyAlignment="1" applyProtection="1">
      <alignment horizontal="center" vertical="center" wrapText="1"/>
    </xf>
    <xf numFmtId="0" fontId="4" fillId="5" borderId="96" xfId="0" applyFont="1" applyFill="1" applyBorder="1" applyAlignment="1">
      <alignment horizontal="center" vertical="center" wrapText="1"/>
    </xf>
    <xf numFmtId="0" fontId="4" fillId="5" borderId="108" xfId="0" applyFont="1" applyFill="1" applyBorder="1" applyAlignment="1">
      <alignment horizontal="center" vertical="center" wrapText="1"/>
    </xf>
    <xf numFmtId="0" fontId="5" fillId="0" borderId="111" xfId="0" applyFont="1" applyFill="1" applyBorder="1" applyAlignment="1">
      <alignment horizontal="center"/>
    </xf>
    <xf numFmtId="0" fontId="5" fillId="0" borderId="104" xfId="0" applyFont="1" applyFill="1" applyBorder="1" applyAlignment="1">
      <alignment horizontal="center"/>
    </xf>
    <xf numFmtId="0" fontId="5" fillId="0" borderId="35" xfId="0" applyFont="1" applyFill="1" applyBorder="1" applyAlignment="1" applyProtection="1">
      <alignment horizontal="left" vertical="top" wrapText="1"/>
    </xf>
    <xf numFmtId="0" fontId="5" fillId="0" borderId="56" xfId="0" applyFont="1" applyFill="1" applyBorder="1" applyAlignment="1" applyProtection="1">
      <alignment horizontal="left" vertical="top" wrapText="1"/>
    </xf>
    <xf numFmtId="0" fontId="5" fillId="0" borderId="46" xfId="0" applyFont="1" applyFill="1" applyBorder="1" applyAlignment="1" applyProtection="1">
      <alignment horizontal="left" vertical="top" wrapText="1"/>
    </xf>
    <xf numFmtId="0" fontId="5" fillId="6" borderId="35" xfId="0" applyFont="1" applyFill="1" applyBorder="1" applyAlignment="1" applyProtection="1">
      <alignment vertical="top" wrapText="1"/>
    </xf>
    <xf numFmtId="0" fontId="5" fillId="6" borderId="56" xfId="0" applyFont="1" applyFill="1" applyBorder="1" applyAlignment="1" applyProtection="1">
      <alignment vertical="top" wrapText="1"/>
    </xf>
    <xf numFmtId="0" fontId="5" fillId="6" borderId="46" xfId="0" applyFont="1" applyFill="1" applyBorder="1" applyAlignment="1" applyProtection="1">
      <alignment vertical="top" wrapText="1"/>
    </xf>
    <xf numFmtId="0" fontId="4" fillId="0" borderId="35" xfId="0" applyFont="1" applyBorder="1" applyAlignment="1" applyProtection="1">
      <alignment wrapText="1"/>
    </xf>
    <xf numFmtId="0" fontId="4" fillId="0" borderId="56" xfId="0" applyFont="1" applyBorder="1" applyAlignment="1" applyProtection="1">
      <alignment wrapText="1"/>
    </xf>
    <xf numFmtId="0" fontId="4" fillId="0" borderId="127" xfId="0" applyFont="1" applyBorder="1" applyAlignment="1" applyProtection="1">
      <alignment wrapText="1"/>
    </xf>
    <xf numFmtId="0" fontId="5" fillId="0" borderId="35" xfId="0" applyFont="1" applyFill="1" applyBorder="1" applyAlignment="1" applyProtection="1">
      <alignment vertical="top" wrapText="1"/>
    </xf>
    <xf numFmtId="0" fontId="4" fillId="0" borderId="56" xfId="0" applyFont="1" applyFill="1" applyBorder="1" applyAlignment="1" applyProtection="1">
      <alignment vertical="top" wrapText="1"/>
    </xf>
    <xf numFmtId="0" fontId="4" fillId="0" borderId="46" xfId="0" applyFont="1" applyFill="1" applyBorder="1" applyAlignment="1" applyProtection="1">
      <alignment vertical="top" wrapText="1"/>
    </xf>
    <xf numFmtId="0" fontId="4" fillId="7" borderId="6" xfId="0" applyFont="1" applyFill="1" applyBorder="1" applyAlignment="1" applyProtection="1">
      <alignment horizontal="left" vertical="top" wrapText="1"/>
    </xf>
    <xf numFmtId="0" fontId="4" fillId="7" borderId="11" xfId="0" applyFont="1" applyFill="1" applyBorder="1" applyAlignment="1" applyProtection="1">
      <alignment horizontal="left" vertical="top" wrapText="1"/>
    </xf>
    <xf numFmtId="0" fontId="4" fillId="7" borderId="9" xfId="0" applyFont="1" applyFill="1" applyBorder="1" applyAlignment="1" applyProtection="1">
      <alignment horizontal="left" vertical="top" wrapText="1"/>
    </xf>
    <xf numFmtId="0" fontId="4" fillId="3" borderId="111" xfId="0" applyFont="1" applyFill="1" applyBorder="1" applyAlignment="1">
      <alignment horizontal="center"/>
    </xf>
    <xf numFmtId="0" fontId="0" fillId="0" borderId="104" xfId="0" applyBorder="1" applyAlignment="1">
      <alignment horizontal="center"/>
    </xf>
    <xf numFmtId="0" fontId="5" fillId="0" borderId="55" xfId="0" applyFont="1" applyFill="1" applyBorder="1" applyAlignment="1">
      <alignment vertical="top" wrapText="1"/>
    </xf>
    <xf numFmtId="0" fontId="5" fillId="0" borderId="122" xfId="0" applyFont="1" applyFill="1" applyBorder="1" applyAlignment="1">
      <alignment vertical="top" wrapText="1"/>
    </xf>
    <xf numFmtId="0" fontId="5" fillId="0" borderId="52" xfId="0" applyFont="1" applyFill="1" applyBorder="1" applyAlignment="1">
      <alignment vertical="top" wrapText="1"/>
    </xf>
    <xf numFmtId="0" fontId="5" fillId="0" borderId="123" xfId="0" applyFont="1" applyFill="1" applyBorder="1" applyAlignment="1">
      <alignment vertical="top" wrapText="1"/>
    </xf>
    <xf numFmtId="179" fontId="4" fillId="2" borderId="7" xfId="0" applyNumberFormat="1" applyFont="1" applyFill="1" applyBorder="1" applyAlignment="1" applyProtection="1">
      <alignment horizontal="center" vertical="top" wrapText="1"/>
    </xf>
    <xf numFmtId="179" fontId="4" fillId="2" borderId="4" xfId="0" applyNumberFormat="1" applyFont="1" applyFill="1" applyBorder="1" applyAlignment="1" applyProtection="1">
      <alignment horizontal="center" vertical="top" wrapText="1"/>
    </xf>
    <xf numFmtId="179" fontId="4" fillId="4" borderId="7" xfId="0" applyNumberFormat="1" applyFont="1" applyFill="1" applyBorder="1" applyAlignment="1" applyProtection="1">
      <alignment horizontal="center" vertical="top" wrapText="1"/>
    </xf>
    <xf numFmtId="179" fontId="4" fillId="4" borderId="4" xfId="0" applyNumberFormat="1" applyFont="1" applyFill="1" applyBorder="1" applyAlignment="1" applyProtection="1">
      <alignment horizontal="center" vertical="top" wrapText="1"/>
    </xf>
    <xf numFmtId="179" fontId="4" fillId="6" borderId="7" xfId="0" applyNumberFormat="1" applyFont="1" applyFill="1" applyBorder="1" applyAlignment="1" applyProtection="1">
      <alignment horizontal="center" vertical="top" wrapText="1"/>
    </xf>
    <xf numFmtId="179" fontId="4" fillId="6" borderId="4" xfId="0" applyNumberFormat="1" applyFont="1" applyFill="1" applyBorder="1" applyAlignment="1" applyProtection="1">
      <alignment horizontal="center" vertical="top" wrapText="1"/>
    </xf>
    <xf numFmtId="0" fontId="5" fillId="6" borderId="14" xfId="0" applyFont="1" applyFill="1" applyBorder="1" applyAlignment="1" applyProtection="1">
      <alignment horizontal="center" vertical="top" wrapText="1"/>
    </xf>
    <xf numFmtId="0" fontId="5" fillId="6" borderId="76" xfId="0" applyFont="1" applyFill="1" applyBorder="1" applyAlignment="1" applyProtection="1">
      <alignment horizontal="center" vertical="top" wrapText="1"/>
    </xf>
    <xf numFmtId="0" fontId="5" fillId="6" borderId="43" xfId="0" applyFont="1" applyFill="1" applyBorder="1" applyAlignment="1" applyProtection="1">
      <alignment horizontal="center" vertical="top" wrapText="1"/>
    </xf>
    <xf numFmtId="0" fontId="5" fillId="6" borderId="121" xfId="0" applyFont="1" applyFill="1" applyBorder="1" applyAlignment="1" applyProtection="1">
      <alignment horizontal="center" vertical="top" wrapText="1"/>
    </xf>
    <xf numFmtId="0" fontId="4" fillId="8" borderId="6" xfId="0" applyFont="1" applyFill="1" applyBorder="1" applyAlignment="1" applyProtection="1">
      <alignment horizontal="left" vertical="top" wrapText="1"/>
    </xf>
    <xf numFmtId="0" fontId="4" fillId="8" borderId="11" xfId="0" applyFont="1" applyFill="1" applyBorder="1" applyAlignment="1" applyProtection="1">
      <alignment horizontal="left" vertical="top" wrapText="1"/>
    </xf>
    <xf numFmtId="0" fontId="4" fillId="8" borderId="9" xfId="0" applyFont="1" applyFill="1" applyBorder="1" applyAlignment="1" applyProtection="1">
      <alignment horizontal="left" vertical="top" wrapText="1"/>
    </xf>
    <xf numFmtId="0" fontId="4" fillId="6" borderId="6" xfId="0" applyFont="1" applyFill="1" applyBorder="1" applyAlignment="1" applyProtection="1">
      <alignment horizontal="left" vertical="top" wrapText="1"/>
    </xf>
    <xf numFmtId="0" fontId="4" fillId="6" borderId="11" xfId="0" applyFont="1" applyFill="1" applyBorder="1" applyAlignment="1" applyProtection="1">
      <alignment horizontal="left" vertical="top" wrapText="1"/>
    </xf>
    <xf numFmtId="0" fontId="4" fillId="6" borderId="9" xfId="0" applyFont="1" applyFill="1" applyBorder="1" applyAlignment="1" applyProtection="1">
      <alignment horizontal="left" vertical="top" wrapText="1"/>
    </xf>
    <xf numFmtId="179" fontId="4" fillId="2" borderId="65" xfId="0" applyNumberFormat="1" applyFont="1" applyFill="1" applyBorder="1" applyAlignment="1">
      <alignment horizontal="center" vertical="top" wrapText="1"/>
    </xf>
    <xf numFmtId="179" fontId="4" fillId="3" borderId="16" xfId="0" applyNumberFormat="1" applyFont="1" applyFill="1" applyBorder="1" applyAlignment="1" applyProtection="1">
      <alignment horizontal="center" vertical="top" wrapText="1"/>
    </xf>
    <xf numFmtId="0" fontId="0" fillId="7" borderId="6" xfId="0" applyFont="1" applyFill="1" applyBorder="1" applyAlignment="1" applyProtection="1">
      <alignment horizontal="left" vertical="top" wrapText="1"/>
    </xf>
    <xf numFmtId="0" fontId="0" fillId="7" borderId="11" xfId="0" applyFont="1" applyFill="1" applyBorder="1" applyAlignment="1" applyProtection="1">
      <alignment horizontal="left" vertical="top" wrapText="1"/>
    </xf>
    <xf numFmtId="0" fontId="0" fillId="7" borderId="9" xfId="0" applyFont="1" applyFill="1" applyBorder="1" applyAlignment="1" applyProtection="1">
      <alignment horizontal="left" vertical="top" wrapText="1"/>
    </xf>
    <xf numFmtId="0" fontId="4" fillId="2" borderId="47" xfId="0" applyFont="1" applyFill="1" applyBorder="1" applyAlignment="1">
      <alignment vertical="top" textRotation="180"/>
    </xf>
    <xf numFmtId="0" fontId="4" fillId="2" borderId="49" xfId="0" applyFont="1" applyFill="1" applyBorder="1" applyAlignment="1">
      <alignment vertical="top" textRotation="180"/>
    </xf>
    <xf numFmtId="0" fontId="4" fillId="2" borderId="53" xfId="0" applyFont="1" applyFill="1" applyBorder="1" applyAlignment="1">
      <alignment vertical="top" textRotation="180"/>
    </xf>
    <xf numFmtId="0" fontId="4" fillId="2" borderId="82" xfId="0" applyNumberFormat="1" applyFont="1" applyFill="1" applyBorder="1" applyAlignment="1" applyProtection="1">
      <alignment vertical="top" wrapText="1"/>
    </xf>
    <xf numFmtId="0" fontId="4" fillId="2" borderId="30" xfId="0" applyNumberFormat="1" applyFont="1" applyFill="1" applyBorder="1" applyAlignment="1" applyProtection="1">
      <alignment vertical="top" wrapText="1"/>
    </xf>
    <xf numFmtId="0" fontId="0" fillId="6" borderId="6" xfId="0" applyFont="1" applyFill="1" applyBorder="1" applyAlignment="1" applyProtection="1">
      <alignment horizontal="left" vertical="top" wrapText="1"/>
    </xf>
    <xf numFmtId="0" fontId="0" fillId="6" borderId="11" xfId="0" applyFont="1" applyFill="1" applyBorder="1" applyAlignment="1" applyProtection="1">
      <alignment horizontal="left" vertical="top" wrapText="1"/>
    </xf>
    <xf numFmtId="0" fontId="0" fillId="6" borderId="9" xfId="0" applyFont="1" applyFill="1" applyBorder="1" applyAlignment="1" applyProtection="1">
      <alignment horizontal="left" vertical="top" wrapText="1"/>
    </xf>
    <xf numFmtId="0" fontId="0" fillId="8" borderId="6" xfId="0" applyFont="1" applyFill="1" applyBorder="1" applyAlignment="1" applyProtection="1">
      <alignment horizontal="left" vertical="top" wrapText="1"/>
    </xf>
    <xf numFmtId="0" fontId="0" fillId="8" borderId="11" xfId="0" applyFont="1" applyFill="1" applyBorder="1" applyAlignment="1" applyProtection="1">
      <alignment horizontal="left" vertical="top" wrapText="1"/>
    </xf>
    <xf numFmtId="0" fontId="0" fillId="8" borderId="9" xfId="0" applyFont="1" applyFill="1" applyBorder="1" applyAlignment="1" applyProtection="1">
      <alignment horizontal="left" vertical="top" wrapText="1"/>
    </xf>
    <xf numFmtId="0" fontId="4" fillId="2" borderId="58" xfId="0" applyFont="1" applyFill="1" applyBorder="1" applyAlignment="1">
      <alignment vertical="top" textRotation="180"/>
    </xf>
    <xf numFmtId="0" fontId="4" fillId="2" borderId="89" xfId="0" applyFont="1" applyFill="1" applyBorder="1" applyAlignment="1">
      <alignment vertical="top" textRotation="180"/>
    </xf>
    <xf numFmtId="0" fontId="4" fillId="2" borderId="67" xfId="0" applyFont="1" applyFill="1" applyBorder="1" applyAlignment="1">
      <alignment vertical="top" textRotation="180"/>
    </xf>
    <xf numFmtId="0" fontId="4" fillId="4" borderId="82" xfId="0" applyNumberFormat="1" applyFont="1" applyFill="1" applyBorder="1" applyAlignment="1" applyProtection="1">
      <alignment vertical="top" wrapText="1"/>
    </xf>
    <xf numFmtId="0" fontId="4" fillId="3" borderId="81" xfId="0" applyNumberFormat="1" applyFont="1" applyFill="1" applyBorder="1" applyAlignment="1" applyProtection="1">
      <alignment vertical="top" wrapText="1"/>
    </xf>
    <xf numFmtId="0" fontId="4" fillId="2" borderId="47" xfId="0" applyFont="1" applyFill="1" applyBorder="1" applyAlignment="1">
      <alignment horizontal="center" vertical="top" textRotation="180"/>
    </xf>
    <xf numFmtId="0" fontId="4" fillId="2" borderId="49" xfId="0" applyFont="1" applyFill="1" applyBorder="1" applyAlignment="1">
      <alignment horizontal="center" vertical="top" textRotation="180"/>
    </xf>
    <xf numFmtId="0" fontId="4" fillId="2" borderId="53" xfId="0" applyFont="1" applyFill="1" applyBorder="1" applyAlignment="1">
      <alignment horizontal="center" vertical="top" textRotation="180"/>
    </xf>
    <xf numFmtId="0" fontId="4" fillId="2" borderId="80" xfId="0" applyFont="1" applyFill="1" applyBorder="1" applyAlignment="1" applyProtection="1">
      <alignment vertical="top" wrapText="1"/>
    </xf>
    <xf numFmtId="0" fontId="4" fillId="2" borderId="124" xfId="0" applyFont="1" applyFill="1" applyBorder="1" applyAlignment="1" applyProtection="1">
      <alignment vertical="top" wrapText="1"/>
    </xf>
    <xf numFmtId="179" fontId="0" fillId="2" borderId="83" xfId="0" applyNumberFormat="1" applyFont="1" applyFill="1" applyBorder="1" applyAlignment="1" applyProtection="1">
      <alignment horizontal="center" vertical="center" wrapText="1"/>
    </xf>
    <xf numFmtId="179" fontId="4" fillId="2" borderId="2" xfId="0" applyNumberFormat="1" applyFont="1" applyFill="1" applyBorder="1" applyAlignment="1" applyProtection="1">
      <alignment horizontal="center" vertical="center" wrapText="1"/>
    </xf>
    <xf numFmtId="179" fontId="4" fillId="2" borderId="5" xfId="0" applyNumberFormat="1" applyFont="1" applyFill="1" applyBorder="1" applyAlignment="1" applyProtection="1">
      <alignment horizontal="center" vertical="center" wrapText="1"/>
    </xf>
    <xf numFmtId="179" fontId="4" fillId="2" borderId="18" xfId="0" applyNumberFormat="1" applyFont="1" applyFill="1" applyBorder="1" applyAlignment="1" applyProtection="1">
      <alignment horizontal="center" vertical="center" wrapText="1"/>
    </xf>
    <xf numFmtId="0" fontId="4" fillId="4" borderId="30" xfId="0" applyNumberFormat="1" applyFont="1" applyFill="1" applyBorder="1" applyAlignment="1" applyProtection="1">
      <alignment vertical="top" wrapText="1"/>
    </xf>
    <xf numFmtId="0" fontId="5" fillId="6" borderId="14" xfId="0" applyFont="1" applyFill="1" applyBorder="1" applyAlignment="1" applyProtection="1">
      <alignment horizontal="center" vertical="top"/>
    </xf>
    <xf numFmtId="0" fontId="5" fillId="6" borderId="76" xfId="0" applyFont="1" applyFill="1" applyBorder="1" applyAlignment="1" applyProtection="1">
      <alignment horizontal="center" vertical="top"/>
    </xf>
    <xf numFmtId="0" fontId="5" fillId="6" borderId="43" xfId="0" applyFont="1" applyFill="1" applyBorder="1" applyAlignment="1" applyProtection="1">
      <alignment horizontal="center" vertical="top"/>
    </xf>
    <xf numFmtId="0" fontId="5" fillId="6" borderId="113" xfId="0" applyFont="1" applyFill="1" applyBorder="1" applyAlignment="1" applyProtection="1">
      <alignment horizontal="center"/>
    </xf>
    <xf numFmtId="0" fontId="5" fillId="6" borderId="76" xfId="0" applyFont="1" applyFill="1" applyBorder="1" applyAlignment="1" applyProtection="1">
      <alignment horizontal="center"/>
    </xf>
    <xf numFmtId="0" fontId="5" fillId="6" borderId="43" xfId="0" applyFont="1" applyFill="1" applyBorder="1" applyAlignment="1" applyProtection="1">
      <alignment horizontal="center"/>
    </xf>
    <xf numFmtId="0" fontId="4" fillId="4" borderId="6" xfId="0" applyFont="1" applyFill="1" applyBorder="1" applyAlignment="1" applyProtection="1">
      <alignment horizontal="left" vertical="top" wrapText="1"/>
    </xf>
    <xf numFmtId="0" fontId="4" fillId="4" borderId="9" xfId="0" applyFont="1" applyFill="1" applyBorder="1" applyAlignment="1" applyProtection="1">
      <alignment horizontal="left" vertical="top" wrapText="1"/>
    </xf>
    <xf numFmtId="0" fontId="5" fillId="6" borderId="14" xfId="0" applyFont="1" applyFill="1" applyBorder="1" applyAlignment="1" applyProtection="1">
      <alignment horizontal="center"/>
    </xf>
    <xf numFmtId="179" fontId="4" fillId="0" borderId="65" xfId="0" applyNumberFormat="1" applyFont="1" applyFill="1" applyBorder="1" applyAlignment="1" applyProtection="1">
      <alignment horizontal="center" vertical="center" wrapText="1"/>
    </xf>
    <xf numFmtId="179" fontId="4" fillId="0" borderId="3" xfId="0" applyNumberFormat="1" applyFont="1" applyFill="1" applyBorder="1" applyAlignment="1" applyProtection="1">
      <alignment horizontal="center" vertical="center" wrapText="1"/>
    </xf>
    <xf numFmtId="179" fontId="4" fillId="0" borderId="69" xfId="0" applyNumberFormat="1" applyFont="1" applyFill="1" applyBorder="1" applyAlignment="1" applyProtection="1">
      <alignment horizontal="center" vertical="center" wrapText="1"/>
    </xf>
    <xf numFmtId="0" fontId="4" fillId="8" borderId="3" xfId="0" applyFont="1" applyFill="1" applyBorder="1" applyAlignment="1" applyProtection="1">
      <alignment horizontal="center" vertical="center" wrapText="1"/>
    </xf>
    <xf numFmtId="0" fontId="4" fillId="8" borderId="69" xfId="0" applyFont="1" applyFill="1" applyBorder="1" applyAlignment="1" applyProtection="1">
      <alignment horizontal="center" vertical="center" wrapText="1"/>
    </xf>
    <xf numFmtId="0" fontId="0" fillId="7" borderId="111" xfId="0" applyFont="1" applyFill="1" applyBorder="1" applyAlignment="1" applyProtection="1">
      <alignment horizontal="left" vertical="top" wrapText="1"/>
    </xf>
    <xf numFmtId="0" fontId="4" fillId="0" borderId="3" xfId="0" applyFont="1" applyFill="1" applyBorder="1" applyAlignment="1" applyProtection="1">
      <alignment horizontal="center" vertical="center" wrapText="1"/>
    </xf>
    <xf numFmtId="0" fontId="4" fillId="0" borderId="69" xfId="0" applyFont="1" applyFill="1" applyBorder="1" applyAlignment="1" applyProtection="1">
      <alignment horizontal="center" vertical="center" wrapText="1"/>
    </xf>
    <xf numFmtId="179" fontId="0" fillId="2" borderId="10" xfId="0" applyNumberFormat="1" applyFont="1" applyFill="1" applyBorder="1" applyAlignment="1" applyProtection="1">
      <alignment horizontal="center" vertical="center" wrapText="1"/>
    </xf>
    <xf numFmtId="179" fontId="4" fillId="2" borderId="8" xfId="0" applyNumberFormat="1" applyFont="1" applyFill="1" applyBorder="1" applyAlignment="1" applyProtection="1">
      <alignment horizontal="center" vertical="center" wrapText="1"/>
    </xf>
    <xf numFmtId="179" fontId="4" fillId="2" borderId="125" xfId="0" applyNumberFormat="1" applyFont="1" applyFill="1" applyBorder="1" applyAlignment="1" applyProtection="1">
      <alignment horizontal="center" vertical="center" wrapText="1"/>
    </xf>
    <xf numFmtId="179" fontId="4" fillId="2" borderId="68" xfId="0" applyNumberFormat="1" applyFont="1" applyFill="1" applyBorder="1" applyAlignment="1" applyProtection="1">
      <alignment horizontal="center" vertical="center" wrapText="1"/>
    </xf>
    <xf numFmtId="0" fontId="5" fillId="0" borderId="128" xfId="0" applyFont="1" applyFill="1" applyBorder="1" applyAlignment="1">
      <alignment vertical="top" wrapText="1"/>
    </xf>
    <xf numFmtId="0" fontId="5" fillId="0" borderId="47" xfId="0" applyFont="1" applyFill="1" applyBorder="1" applyAlignment="1">
      <alignment vertical="top" wrapText="1"/>
    </xf>
    <xf numFmtId="0" fontId="5" fillId="0" borderId="129" xfId="0" applyFont="1" applyFill="1" applyBorder="1" applyAlignment="1">
      <alignment vertical="top" wrapText="1"/>
    </xf>
    <xf numFmtId="0" fontId="5" fillId="0" borderId="49" xfId="0" applyFont="1" applyFill="1" applyBorder="1" applyAlignment="1">
      <alignment vertical="top" wrapText="1"/>
    </xf>
    <xf numFmtId="0" fontId="5" fillId="0" borderId="130" xfId="0" applyFont="1" applyFill="1" applyBorder="1" applyAlignment="1">
      <alignment vertical="top" wrapText="1"/>
    </xf>
    <xf numFmtId="0" fontId="5" fillId="0" borderId="53" xfId="0" applyFont="1" applyFill="1" applyBorder="1" applyAlignment="1">
      <alignment vertical="top" wrapText="1"/>
    </xf>
    <xf numFmtId="0" fontId="5" fillId="0" borderId="64" xfId="0" applyFont="1" applyFill="1" applyBorder="1" applyAlignment="1">
      <alignment horizontal="center" vertical="top"/>
    </xf>
    <xf numFmtId="0" fontId="4" fillId="0" borderId="2" xfId="0" applyFont="1" applyFill="1" applyBorder="1" applyAlignment="1">
      <alignment horizontal="center" vertical="top"/>
    </xf>
    <xf numFmtId="0" fontId="4" fillId="0" borderId="18" xfId="0" applyFont="1" applyFill="1" applyBorder="1" applyAlignment="1">
      <alignment horizontal="center" vertical="top"/>
    </xf>
    <xf numFmtId="0" fontId="5" fillId="0" borderId="131" xfId="0" applyFont="1" applyFill="1" applyBorder="1" applyAlignment="1">
      <alignment horizontal="center" vertical="top"/>
    </xf>
    <xf numFmtId="0" fontId="4" fillId="0" borderId="33" xfId="0" applyFont="1" applyFill="1" applyBorder="1" applyAlignment="1">
      <alignment horizontal="center" vertical="top"/>
    </xf>
    <xf numFmtId="0" fontId="4" fillId="0" borderId="88" xfId="0" applyFont="1" applyFill="1" applyBorder="1" applyAlignment="1">
      <alignment horizontal="center" vertical="top" wrapText="1"/>
    </xf>
    <xf numFmtId="0" fontId="4" fillId="0" borderId="132" xfId="0" applyFont="1" applyFill="1" applyBorder="1" applyAlignment="1">
      <alignment horizontal="center" vertical="top" wrapText="1"/>
    </xf>
    <xf numFmtId="0" fontId="5" fillId="0" borderId="113" xfId="0" applyFont="1" applyFill="1" applyBorder="1" applyAlignment="1">
      <alignment horizontal="center"/>
    </xf>
    <xf numFmtId="0" fontId="0" fillId="0" borderId="121" xfId="0" applyFill="1" applyBorder="1" applyAlignment="1">
      <alignment horizontal="center"/>
    </xf>
    <xf numFmtId="0" fontId="0" fillId="0" borderId="35" xfId="0" applyFont="1" applyFill="1" applyBorder="1" applyAlignment="1" applyProtection="1">
      <alignment horizontal="left" vertical="top" wrapText="1"/>
    </xf>
    <xf numFmtId="0" fontId="0" fillId="0" borderId="56" xfId="0" applyFont="1" applyFill="1" applyBorder="1" applyAlignment="1" applyProtection="1">
      <alignment horizontal="left" vertical="top" wrapText="1"/>
    </xf>
    <xf numFmtId="0" fontId="4" fillId="4" borderId="65" xfId="0" applyNumberFormat="1" applyFont="1" applyFill="1" applyBorder="1" applyAlignment="1" applyProtection="1">
      <alignment horizontal="center" vertical="center" wrapText="1"/>
    </xf>
    <xf numFmtId="0" fontId="4" fillId="4" borderId="3" xfId="0" applyNumberFormat="1" applyFont="1" applyFill="1" applyBorder="1" applyAlignment="1" applyProtection="1">
      <alignment horizontal="center" vertical="center" wrapText="1"/>
    </xf>
    <xf numFmtId="0" fontId="4" fillId="4" borderId="69" xfId="0" applyNumberFormat="1" applyFont="1" applyFill="1" applyBorder="1" applyAlignment="1" applyProtection="1">
      <alignment horizontal="center" vertical="center" wrapText="1"/>
    </xf>
    <xf numFmtId="0" fontId="0" fillId="0" borderId="45" xfId="0" applyFill="1" applyBorder="1" applyAlignment="1" applyProtection="1">
      <alignment vertical="top" wrapText="1"/>
    </xf>
    <xf numFmtId="0" fontId="4" fillId="0" borderId="102" xfId="0" applyFont="1" applyFill="1" applyBorder="1" applyAlignment="1" applyProtection="1">
      <alignment vertical="top" wrapText="1"/>
    </xf>
    <xf numFmtId="0" fontId="4" fillId="0" borderId="42" xfId="0" applyFont="1" applyFill="1" applyBorder="1" applyAlignment="1" applyProtection="1">
      <alignment vertical="top" wrapText="1"/>
    </xf>
    <xf numFmtId="0" fontId="0" fillId="0" borderId="126" xfId="0" applyFill="1" applyBorder="1" applyAlignment="1" applyProtection="1">
      <alignment horizontal="left" vertical="top" wrapText="1"/>
    </xf>
    <xf numFmtId="0" fontId="5" fillId="0" borderId="102" xfId="0" applyFont="1" applyFill="1" applyBorder="1" applyAlignment="1" applyProtection="1">
      <alignment horizontal="left" vertical="top" wrapText="1"/>
    </xf>
    <xf numFmtId="0" fontId="5" fillId="0" borderId="42" xfId="0" applyFont="1" applyFill="1" applyBorder="1" applyAlignment="1" applyProtection="1">
      <alignment horizontal="left" vertical="top" wrapText="1"/>
    </xf>
    <xf numFmtId="0" fontId="0" fillId="0" borderId="111" xfId="0" applyFill="1" applyBorder="1" applyAlignment="1">
      <alignment horizontal="center"/>
    </xf>
    <xf numFmtId="0" fontId="0" fillId="0" borderId="104" xfId="0" applyFill="1" applyBorder="1" applyAlignment="1">
      <alignment horizontal="center"/>
    </xf>
    <xf numFmtId="0" fontId="5" fillId="0" borderId="112" xfId="0" applyFont="1" applyFill="1" applyBorder="1" applyAlignment="1">
      <alignment horizontal="center"/>
    </xf>
    <xf numFmtId="0" fontId="4" fillId="0" borderId="105" xfId="0" applyFont="1" applyFill="1" applyBorder="1" applyAlignment="1">
      <alignment horizontal="center"/>
    </xf>
    <xf numFmtId="0" fontId="4" fillId="3" borderId="104" xfId="0" applyFont="1" applyFill="1" applyBorder="1" applyAlignment="1">
      <alignment horizontal="center"/>
    </xf>
    <xf numFmtId="179" fontId="14" fillId="8" borderId="65" xfId="0" applyNumberFormat="1" applyFont="1" applyFill="1" applyBorder="1" applyAlignment="1" applyProtection="1">
      <alignment horizontal="center" vertical="center" wrapText="1"/>
    </xf>
    <xf numFmtId="179" fontId="14" fillId="8" borderId="3" xfId="0" applyNumberFormat="1" applyFont="1" applyFill="1" applyBorder="1" applyAlignment="1" applyProtection="1">
      <alignment horizontal="center" vertical="center" wrapText="1"/>
    </xf>
    <xf numFmtId="179" fontId="14" fillId="8" borderId="69" xfId="0" applyNumberFormat="1" applyFont="1" applyFill="1" applyBorder="1" applyAlignment="1" applyProtection="1">
      <alignment horizontal="center" vertical="center" wrapText="1"/>
    </xf>
    <xf numFmtId="0" fontId="41" fillId="7" borderId="55" xfId="0" applyFont="1" applyFill="1" applyBorder="1" applyAlignment="1" applyProtection="1">
      <alignment horizontal="center" vertical="top"/>
    </xf>
    <xf numFmtId="0" fontId="42" fillId="7" borderId="15" xfId="0" applyFont="1" applyFill="1" applyBorder="1" applyAlignment="1">
      <alignment horizontal="center" vertical="top"/>
    </xf>
    <xf numFmtId="0" fontId="42" fillId="7" borderId="47" xfId="0" applyFont="1" applyFill="1" applyBorder="1" applyAlignment="1">
      <alignment horizontal="center" vertical="top"/>
    </xf>
    <xf numFmtId="0" fontId="41" fillId="2" borderId="116" xfId="0" applyFont="1" applyFill="1" applyBorder="1" applyAlignment="1" applyProtection="1">
      <alignment horizontal="center" vertical="top"/>
    </xf>
    <xf numFmtId="0" fontId="41" fillId="2" borderId="91" xfId="0" applyFont="1" applyFill="1" applyBorder="1" applyAlignment="1" applyProtection="1">
      <alignment horizontal="center" vertical="top"/>
    </xf>
    <xf numFmtId="0" fontId="41" fillId="2" borderId="134" xfId="0" applyFont="1" applyFill="1" applyBorder="1" applyAlignment="1" applyProtection="1">
      <alignment horizontal="center" vertical="top"/>
    </xf>
    <xf numFmtId="0" fontId="41" fillId="6" borderId="87" xfId="0" applyFont="1" applyFill="1" applyBorder="1" applyAlignment="1" applyProtection="1">
      <alignment horizontal="center" vertical="top"/>
    </xf>
    <xf numFmtId="0" fontId="42" fillId="6" borderId="13" xfId="0" applyFont="1" applyFill="1" applyBorder="1" applyAlignment="1">
      <alignment horizontal="center" vertical="top"/>
    </xf>
    <xf numFmtId="0" fontId="42" fillId="6" borderId="75" xfId="0" applyFont="1" applyFill="1" applyBorder="1" applyAlignment="1">
      <alignment horizontal="center" vertical="top"/>
    </xf>
    <xf numFmtId="0" fontId="24" fillId="8" borderId="0" xfId="0" applyFont="1" applyFill="1" applyBorder="1" applyAlignment="1">
      <alignment vertical="top" wrapText="1"/>
    </xf>
    <xf numFmtId="0" fontId="4" fillId="8" borderId="0" xfId="0" applyFont="1" applyFill="1" applyBorder="1" applyAlignment="1">
      <alignment vertical="top" wrapText="1"/>
    </xf>
    <xf numFmtId="0" fontId="4" fillId="6" borderId="49" xfId="0" applyFont="1" applyFill="1" applyBorder="1" applyAlignment="1">
      <alignment vertical="top" textRotation="180"/>
    </xf>
    <xf numFmtId="0" fontId="4" fillId="6" borderId="133" xfId="0" applyFont="1" applyFill="1" applyBorder="1" applyAlignment="1">
      <alignment vertical="top" textRotation="180"/>
    </xf>
    <xf numFmtId="0" fontId="4" fillId="7" borderId="6" xfId="0" applyFont="1" applyFill="1" applyBorder="1" applyAlignment="1" applyProtection="1">
      <alignment vertical="top" wrapText="1"/>
    </xf>
    <xf numFmtId="0" fontId="4" fillId="7" borderId="11" xfId="0" applyFont="1" applyFill="1" applyBorder="1" applyAlignment="1" applyProtection="1">
      <alignment vertical="top" wrapText="1"/>
    </xf>
    <xf numFmtId="0" fontId="0" fillId="7" borderId="9" xfId="0" applyFont="1" applyFill="1" applyBorder="1" applyAlignment="1">
      <alignment vertical="top" wrapText="1"/>
    </xf>
    <xf numFmtId="0" fontId="4" fillId="6" borderId="43" xfId="0" applyFont="1" applyFill="1" applyBorder="1" applyAlignment="1" applyProtection="1">
      <alignment horizontal="center" vertical="top" wrapText="1"/>
    </xf>
    <xf numFmtId="0" fontId="5" fillId="0" borderId="51" xfId="0" applyFont="1" applyFill="1" applyBorder="1" applyAlignment="1" applyProtection="1">
      <alignment vertical="top" wrapText="1"/>
    </xf>
    <xf numFmtId="0" fontId="4" fillId="0" borderId="49" xfId="0" applyFont="1" applyFill="1" applyBorder="1" applyAlignment="1" applyProtection="1">
      <alignment vertical="top" wrapText="1"/>
    </xf>
    <xf numFmtId="0" fontId="4" fillId="0" borderId="98" xfId="0" applyFont="1" applyFill="1" applyBorder="1" applyAlignment="1" applyProtection="1">
      <alignment vertical="top" wrapText="1"/>
    </xf>
    <xf numFmtId="0" fontId="5" fillId="6" borderId="117" xfId="0" applyFont="1" applyFill="1" applyBorder="1" applyAlignment="1" applyProtection="1">
      <alignment horizontal="center" vertical="top" wrapText="1"/>
    </xf>
    <xf numFmtId="0" fontId="5" fillId="6" borderId="15" xfId="0" applyFont="1" applyFill="1" applyBorder="1" applyAlignment="1" applyProtection="1">
      <alignment horizontal="center" vertical="top" wrapText="1"/>
    </xf>
    <xf numFmtId="0" fontId="4" fillId="6" borderId="15" xfId="0" applyFont="1" applyFill="1" applyBorder="1" applyAlignment="1" applyProtection="1">
      <alignment horizontal="center" vertical="top" wrapText="1"/>
    </xf>
    <xf numFmtId="0" fontId="0" fillId="6" borderId="15" xfId="0" applyFill="1" applyBorder="1" applyAlignment="1">
      <alignment horizontal="center" vertical="top" wrapText="1"/>
    </xf>
    <xf numFmtId="0" fontId="0" fillId="0" borderId="35" xfId="0" applyFont="1" applyFill="1" applyBorder="1" applyAlignment="1">
      <alignment vertical="top" wrapText="1"/>
    </xf>
    <xf numFmtId="0" fontId="4" fillId="0" borderId="49" xfId="0" applyFont="1" applyFill="1" applyBorder="1" applyAlignment="1">
      <alignment vertical="top" wrapText="1"/>
    </xf>
    <xf numFmtId="0" fontId="4" fillId="0" borderId="98" xfId="0" applyFont="1" applyFill="1" applyBorder="1" applyAlignment="1">
      <alignment vertical="top" wrapText="1"/>
    </xf>
    <xf numFmtId="0" fontId="5" fillId="6" borderId="113" xfId="0" applyFont="1" applyFill="1" applyBorder="1" applyAlignment="1" applyProtection="1">
      <alignment horizontal="center" vertical="top" wrapText="1"/>
    </xf>
    <xf numFmtId="0" fontId="4" fillId="6" borderId="76" xfId="0" applyFont="1" applyFill="1" applyBorder="1" applyAlignment="1" applyProtection="1">
      <alignment horizontal="center" vertical="top" wrapText="1"/>
    </xf>
    <xf numFmtId="0" fontId="4" fillId="4" borderId="6" xfId="0" applyFont="1" applyFill="1" applyBorder="1" applyAlignment="1" applyProtection="1">
      <alignment vertical="top" wrapText="1"/>
    </xf>
    <xf numFmtId="0" fontId="4" fillId="4" borderId="9" xfId="0" applyFont="1" applyFill="1" applyBorder="1" applyAlignment="1" applyProtection="1">
      <alignment vertical="top" wrapText="1"/>
    </xf>
    <xf numFmtId="0" fontId="0" fillId="6" borderId="43" xfId="0" applyFill="1" applyBorder="1" applyAlignment="1">
      <alignment horizontal="center" vertical="top" wrapText="1"/>
    </xf>
    <xf numFmtId="0" fontId="4" fillId="0" borderId="51" xfId="0" applyFont="1" applyFill="1" applyBorder="1" applyAlignment="1" applyProtection="1">
      <alignment horizontal="left" vertical="top" wrapText="1"/>
    </xf>
    <xf numFmtId="0" fontId="4" fillId="0" borderId="49" xfId="0" applyFont="1" applyFill="1" applyBorder="1" applyAlignment="1" applyProtection="1">
      <alignment horizontal="left" vertical="top" wrapText="1"/>
    </xf>
    <xf numFmtId="0" fontId="4" fillId="0" borderId="98" xfId="0" applyFont="1" applyFill="1" applyBorder="1" applyAlignment="1" applyProtection="1">
      <alignment horizontal="left" vertical="top" wrapText="1"/>
    </xf>
    <xf numFmtId="9" fontId="5" fillId="8" borderId="51" xfId="1" applyFont="1" applyFill="1" applyBorder="1" applyAlignment="1" applyProtection="1">
      <alignment horizontal="left" vertical="top" wrapText="1"/>
    </xf>
    <xf numFmtId="9" fontId="5" fillId="8" borderId="49" xfId="1" applyFont="1" applyFill="1" applyBorder="1" applyAlignment="1" applyProtection="1">
      <alignment horizontal="left" vertical="top" wrapText="1"/>
    </xf>
    <xf numFmtId="9" fontId="5" fillId="8" borderId="98" xfId="1" applyFont="1" applyFill="1" applyBorder="1" applyAlignment="1" applyProtection="1">
      <alignment horizontal="left" vertical="top" wrapText="1"/>
    </xf>
    <xf numFmtId="0" fontId="4" fillId="8" borderId="47" xfId="0" applyFont="1" applyFill="1" applyBorder="1" applyAlignment="1">
      <alignment vertical="top" textRotation="180"/>
    </xf>
    <xf numFmtId="0" fontId="4" fillId="8" borderId="49" xfId="0" applyFont="1" applyFill="1" applyBorder="1" applyAlignment="1">
      <alignment vertical="top" textRotation="180"/>
    </xf>
    <xf numFmtId="0" fontId="4" fillId="2" borderId="63" xfId="0" applyFont="1" applyFill="1" applyBorder="1" applyAlignment="1">
      <alignment vertical="top" textRotation="180"/>
    </xf>
    <xf numFmtId="9" fontId="0" fillId="0" borderId="44" xfId="1" applyFont="1" applyFill="1" applyBorder="1" applyAlignment="1" applyProtection="1">
      <alignment vertical="top" wrapText="1"/>
    </xf>
    <xf numFmtId="9" fontId="0" fillId="0" borderId="56" xfId="1" applyFont="1" applyFill="1" applyBorder="1" applyAlignment="1" applyProtection="1">
      <alignment vertical="top" wrapText="1"/>
    </xf>
    <xf numFmtId="9" fontId="0" fillId="0" borderId="127" xfId="1" applyFont="1" applyFill="1" applyBorder="1" applyAlignment="1" applyProtection="1">
      <alignment vertical="top" wrapText="1"/>
    </xf>
    <xf numFmtId="0" fontId="4" fillId="0" borderId="51" xfId="0" applyFont="1" applyFill="1" applyBorder="1" applyAlignment="1" applyProtection="1">
      <alignment vertical="top" wrapText="1"/>
    </xf>
    <xf numFmtId="0" fontId="30" fillId="6" borderId="6" xfId="0" applyFont="1" applyFill="1" applyBorder="1" applyAlignment="1" applyProtection="1">
      <alignment horizontal="center" vertical="top" wrapText="1"/>
    </xf>
    <xf numFmtId="0" fontId="30" fillId="6" borderId="11" xfId="0" applyFont="1" applyFill="1" applyBorder="1" applyAlignment="1">
      <alignment horizontal="center" vertical="top" wrapText="1"/>
    </xf>
    <xf numFmtId="0" fontId="30" fillId="6" borderId="9" xfId="0" applyFont="1" applyFill="1" applyBorder="1" applyAlignment="1">
      <alignment horizontal="center" vertical="top" wrapText="1"/>
    </xf>
    <xf numFmtId="0" fontId="4" fillId="6" borderId="6" xfId="0" applyFont="1" applyFill="1" applyBorder="1" applyAlignment="1" applyProtection="1">
      <alignment vertical="top" wrapText="1"/>
    </xf>
    <xf numFmtId="0" fontId="4" fillId="6" borderId="11" xfId="0" applyFont="1" applyFill="1" applyBorder="1" applyAlignment="1" applyProtection="1">
      <alignment vertical="top" wrapText="1"/>
    </xf>
    <xf numFmtId="0" fontId="4" fillId="6" borderId="9" xfId="0" applyFont="1" applyFill="1" applyBorder="1" applyAlignment="1" applyProtection="1">
      <alignment vertical="top" wrapText="1"/>
    </xf>
    <xf numFmtId="0" fontId="41" fillId="8" borderId="135" xfId="0" applyFont="1" applyFill="1" applyBorder="1" applyAlignment="1" applyProtection="1">
      <alignment horizontal="center" vertical="top"/>
    </xf>
    <xf numFmtId="0" fontId="42" fillId="8" borderId="13" xfId="0" applyFont="1" applyFill="1" applyBorder="1" applyAlignment="1">
      <alignment horizontal="center" vertical="top"/>
    </xf>
    <xf numFmtId="0" fontId="42" fillId="8" borderId="75" xfId="0" applyFont="1" applyFill="1" applyBorder="1" applyAlignment="1">
      <alignment horizontal="center" vertical="top"/>
    </xf>
    <xf numFmtId="0" fontId="0" fillId="0" borderId="102" xfId="0" applyFont="1" applyFill="1" applyBorder="1" applyAlignment="1" applyProtection="1">
      <alignment vertical="top" wrapText="1"/>
    </xf>
    <xf numFmtId="0" fontId="4" fillId="6" borderId="47" xfId="0" applyFont="1" applyFill="1" applyBorder="1" applyAlignment="1">
      <alignment vertical="top" textRotation="180"/>
    </xf>
    <xf numFmtId="0" fontId="4" fillId="6" borderId="53" xfId="0" applyFont="1" applyFill="1" applyBorder="1" applyAlignment="1">
      <alignment vertical="top" textRotation="180"/>
    </xf>
    <xf numFmtId="0" fontId="0" fillId="0" borderId="126" xfId="0" applyFont="1" applyFill="1" applyBorder="1" applyAlignment="1" applyProtection="1">
      <alignment vertical="top" wrapText="1"/>
    </xf>
    <xf numFmtId="0" fontId="4" fillId="0" borderId="73" xfId="0" applyFont="1" applyFill="1" applyBorder="1" applyAlignment="1" applyProtection="1">
      <alignment vertical="top" wrapText="1"/>
    </xf>
    <xf numFmtId="0" fontId="5" fillId="0" borderId="102" xfId="0" applyFont="1" applyFill="1" applyBorder="1" applyAlignment="1" applyProtection="1">
      <alignment vertical="top" wrapText="1"/>
    </xf>
    <xf numFmtId="0" fontId="4" fillId="7" borderId="6" xfId="0" applyFont="1" applyFill="1" applyBorder="1" applyAlignment="1" applyProtection="1">
      <alignment horizontal="center" vertical="top" wrapText="1"/>
    </xf>
    <xf numFmtId="0" fontId="4" fillId="7" borderId="9" xfId="0" applyFont="1" applyFill="1" applyBorder="1" applyAlignment="1" applyProtection="1">
      <alignment horizontal="center" vertical="top" wrapText="1"/>
    </xf>
    <xf numFmtId="0" fontId="4" fillId="0" borderId="44" xfId="0" applyFont="1" applyFill="1" applyBorder="1" applyAlignment="1" applyProtection="1">
      <alignment vertical="top" wrapText="1"/>
    </xf>
    <xf numFmtId="0" fontId="4" fillId="0" borderId="127" xfId="0" applyFont="1" applyFill="1" applyBorder="1" applyAlignment="1" applyProtection="1">
      <alignment vertical="top" wrapText="1"/>
    </xf>
    <xf numFmtId="0" fontId="51" fillId="0" borderId="56" xfId="0" applyFont="1" applyFill="1" applyBorder="1" applyAlignment="1" applyProtection="1">
      <alignment vertical="top" wrapText="1"/>
    </xf>
    <xf numFmtId="0" fontId="37" fillId="0" borderId="56" xfId="0" applyFont="1" applyFill="1" applyBorder="1" applyAlignment="1">
      <alignment vertical="top" wrapText="1"/>
    </xf>
    <xf numFmtId="0" fontId="37" fillId="0" borderId="38" xfId="0" applyFont="1" applyFill="1" applyBorder="1" applyAlignment="1">
      <alignment vertical="top" wrapText="1"/>
    </xf>
    <xf numFmtId="0" fontId="4" fillId="6" borderId="14" xfId="0" applyFont="1" applyFill="1" applyBorder="1" applyAlignment="1" applyProtection="1">
      <alignment horizontal="center" vertical="top" wrapText="1"/>
    </xf>
    <xf numFmtId="0" fontId="0" fillId="6" borderId="13" xfId="0" applyFont="1" applyFill="1" applyBorder="1" applyAlignment="1" applyProtection="1">
      <alignment horizontal="center" vertical="top" wrapText="1"/>
    </xf>
    <xf numFmtId="0" fontId="4" fillId="6" borderId="13" xfId="0" applyFont="1" applyFill="1" applyBorder="1" applyAlignment="1" applyProtection="1">
      <alignment horizontal="center" vertical="top" wrapText="1"/>
    </xf>
    <xf numFmtId="0" fontId="31" fillId="0" borderId="44" xfId="0" applyFont="1" applyFill="1" applyBorder="1" applyAlignment="1" applyProtection="1">
      <alignment vertical="top" wrapText="1"/>
    </xf>
    <xf numFmtId="0" fontId="31" fillId="0" borderId="56" xfId="0" applyFont="1" applyFill="1" applyBorder="1" applyAlignment="1" applyProtection="1">
      <alignment vertical="top" wrapText="1"/>
    </xf>
    <xf numFmtId="0" fontId="31" fillId="0" borderId="38" xfId="0" applyFont="1" applyFill="1" applyBorder="1" applyAlignment="1" applyProtection="1">
      <alignment vertical="top" wrapText="1"/>
    </xf>
    <xf numFmtId="0" fontId="0" fillId="6" borderId="14" xfId="0" applyFill="1" applyBorder="1" applyAlignment="1">
      <alignment horizontal="center" vertical="top" wrapText="1"/>
    </xf>
    <xf numFmtId="0" fontId="0" fillId="6" borderId="76" xfId="0" applyFill="1" applyBorder="1" applyAlignment="1">
      <alignment horizontal="center" vertical="top" wrapText="1"/>
    </xf>
    <xf numFmtId="0" fontId="0" fillId="6" borderId="14" xfId="0" applyFont="1" applyFill="1" applyBorder="1" applyAlignment="1" applyProtection="1">
      <alignment horizontal="center" vertical="top" wrapText="1"/>
    </xf>
    <xf numFmtId="0" fontId="0" fillId="6" borderId="1" xfId="0" applyFont="1" applyFill="1" applyBorder="1" applyAlignment="1" applyProtection="1">
      <alignment horizontal="center" vertical="top" wrapText="1"/>
    </xf>
    <xf numFmtId="0" fontId="0" fillId="6" borderId="1" xfId="0" applyFill="1" applyBorder="1" applyAlignment="1">
      <alignment horizontal="center" vertical="top" wrapText="1"/>
    </xf>
    <xf numFmtId="0" fontId="19" fillId="0" borderId="126" xfId="0" applyFont="1" applyFill="1" applyBorder="1" applyAlignment="1" applyProtection="1">
      <alignment vertical="top" wrapText="1"/>
    </xf>
    <xf numFmtId="0" fontId="19" fillId="0" borderId="73" xfId="0" applyFont="1" applyFill="1" applyBorder="1" applyAlignment="1" applyProtection="1">
      <alignment vertical="top" wrapText="1"/>
    </xf>
    <xf numFmtId="0" fontId="0" fillId="2" borderId="113" xfId="0" applyFont="1" applyFill="1" applyBorder="1" applyAlignment="1" applyProtection="1">
      <alignment horizontal="center" vertical="top" wrapText="1"/>
    </xf>
    <xf numFmtId="0" fontId="0" fillId="0" borderId="44" xfId="0" applyFont="1" applyFill="1" applyBorder="1" applyAlignment="1" applyProtection="1">
      <alignment vertical="top" wrapText="1"/>
    </xf>
    <xf numFmtId="0" fontId="0" fillId="0" borderId="56" xfId="0" applyFont="1" applyFill="1" applyBorder="1" applyAlignment="1" applyProtection="1">
      <alignment vertical="top" wrapText="1"/>
    </xf>
    <xf numFmtId="0" fontId="0" fillId="0" borderId="127" xfId="0" applyFont="1" applyFill="1" applyBorder="1" applyAlignment="1" applyProtection="1">
      <alignment vertical="top" wrapText="1"/>
    </xf>
    <xf numFmtId="0" fontId="5" fillId="0" borderId="56" xfId="0" applyFont="1" applyFill="1" applyBorder="1" applyAlignment="1" applyProtection="1">
      <alignment vertical="top" wrapText="1"/>
    </xf>
    <xf numFmtId="0" fontId="5" fillId="0" borderId="38" xfId="0" applyFont="1" applyFill="1" applyBorder="1" applyAlignment="1" applyProtection="1">
      <alignment vertical="top" wrapText="1"/>
    </xf>
    <xf numFmtId="0" fontId="4" fillId="7" borderId="117" xfId="0" applyFont="1" applyFill="1" applyBorder="1" applyAlignment="1">
      <alignment vertical="top" wrapText="1"/>
    </xf>
    <xf numFmtId="0" fontId="4" fillId="7" borderId="15" xfId="0" applyFont="1" applyFill="1" applyBorder="1" applyAlignment="1">
      <alignment vertical="top" wrapText="1"/>
    </xf>
    <xf numFmtId="0" fontId="0" fillId="7" borderId="122" xfId="0" applyFill="1" applyBorder="1" applyAlignment="1">
      <alignment vertical="top" wrapText="1"/>
    </xf>
    <xf numFmtId="0" fontId="20" fillId="6" borderId="58" xfId="0" applyFont="1" applyFill="1" applyBorder="1" applyAlignment="1">
      <alignment horizontal="center" vertical="center" wrapText="1"/>
    </xf>
    <xf numFmtId="0" fontId="20" fillId="6" borderId="60" xfId="0" applyFont="1" applyFill="1" applyBorder="1" applyAlignment="1">
      <alignment horizontal="center" vertical="center"/>
    </xf>
    <xf numFmtId="0" fontId="20" fillId="6" borderId="110" xfId="0" applyFont="1" applyFill="1" applyBorder="1" applyAlignment="1">
      <alignment horizontal="center" vertical="center" wrapText="1"/>
    </xf>
    <xf numFmtId="0" fontId="20" fillId="6" borderId="81" xfId="0" applyFont="1" applyFill="1" applyBorder="1" applyAlignment="1">
      <alignment horizontal="center" vertical="center" wrapText="1"/>
    </xf>
    <xf numFmtId="0" fontId="20" fillId="6" borderId="1" xfId="0" applyFont="1" applyFill="1" applyBorder="1" applyAlignment="1">
      <alignment horizontal="center" vertical="center"/>
    </xf>
    <xf numFmtId="0" fontId="20" fillId="6" borderId="6" xfId="0" applyFont="1" applyFill="1" applyBorder="1" applyAlignment="1">
      <alignment horizontal="center" vertical="center"/>
    </xf>
    <xf numFmtId="0" fontId="20" fillId="6" borderId="11" xfId="0" applyFont="1" applyFill="1" applyBorder="1" applyAlignment="1">
      <alignment horizontal="center" vertical="center"/>
    </xf>
    <xf numFmtId="0" fontId="20" fillId="6" borderId="9" xfId="0" applyFont="1" applyFill="1" applyBorder="1" applyAlignment="1">
      <alignment horizontal="center" vertical="center"/>
    </xf>
    <xf numFmtId="0" fontId="20" fillId="6" borderId="7" xfId="0" applyFont="1" applyFill="1" applyBorder="1" applyAlignment="1">
      <alignment horizontal="center" vertical="center"/>
    </xf>
    <xf numFmtId="0" fontId="20" fillId="6" borderId="69" xfId="0" applyFont="1" applyFill="1" applyBorder="1" applyAlignment="1">
      <alignment horizontal="center" vertical="center"/>
    </xf>
    <xf numFmtId="0" fontId="20" fillId="6" borderId="70" xfId="0" applyFont="1" applyFill="1" applyBorder="1" applyAlignment="1">
      <alignment horizontal="center" vertical="center"/>
    </xf>
    <xf numFmtId="0" fontId="20" fillId="6" borderId="14" xfId="0" applyFont="1" applyFill="1" applyBorder="1" applyAlignment="1">
      <alignment horizontal="center" vertical="top"/>
    </xf>
    <xf numFmtId="0" fontId="20" fillId="6" borderId="76" xfId="0" applyFont="1" applyFill="1" applyBorder="1" applyAlignment="1">
      <alignment horizontal="center" vertical="top"/>
    </xf>
    <xf numFmtId="0" fontId="20" fillId="6" borderId="121" xfId="0" applyFont="1" applyFill="1" applyBorder="1" applyAlignment="1">
      <alignment horizontal="center" vertical="top"/>
    </xf>
  </cellXfs>
  <cellStyles count="4">
    <cellStyle name="パーセント" xfId="1" builtinId="5"/>
    <cellStyle name="ハイパーリンク" xfId="2" builtinId="8"/>
    <cellStyle name="標準" xfId="0" builtinId="0"/>
    <cellStyle name="標準_DDF-IOT-Varenne-Apx-サンプル" xfId="3" xr:uid="{00000000-0005-0000-0000-000003000000}"/>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
      <tableStyleElement type="headerRow" dxfId="0"/>
    </tableStyle>
  </tableStyles>
  <colors>
    <mruColors>
      <color rgb="FFBFBFBF"/>
      <color rgb="FF99CC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16</xdr:col>
      <xdr:colOff>0</xdr:colOff>
      <xdr:row>16</xdr:row>
      <xdr:rowOff>0</xdr:rowOff>
    </xdr:from>
    <xdr:ext cx="71238" cy="294953"/>
    <xdr:sp macro="" textlink="">
      <xdr:nvSpPr>
        <xdr:cNvPr id="1037" name="Rectangle 13">
          <a:extLst>
            <a:ext uri="{FF2B5EF4-FFF2-40B4-BE49-F238E27FC236}">
              <a16:creationId xmlns:a16="http://schemas.microsoft.com/office/drawing/2014/main" id="{00000000-0008-0000-0000-00000D040000}"/>
            </a:ext>
          </a:extLst>
        </xdr:cNvPr>
        <xdr:cNvSpPr>
          <a:spLocks noChangeArrowheads="1"/>
        </xdr:cNvSpPr>
      </xdr:nvSpPr>
      <xdr:spPr bwMode="auto">
        <a:xfrm>
          <a:off x="14561344" y="2928938"/>
          <a:ext cx="71238" cy="294953"/>
        </a:xfrm>
        <a:prstGeom prst="rect">
          <a:avLst/>
        </a:prstGeom>
        <a:noFill/>
        <a:ln w="9525">
          <a:noFill/>
          <a:miter lim="800000"/>
          <a:headEnd/>
          <a:tailEnd/>
        </a:ln>
      </xdr:spPr>
      <xdr:txBody>
        <a:bodyPr wrap="none" lIns="0" tIns="0" rIns="0" bIns="0" anchor="t" upright="1">
          <a:spAutoFit/>
        </a:bodyPr>
        <a:lstStyle/>
        <a:p>
          <a:pPr algn="l" rtl="0">
            <a:defRPr sz="1000"/>
          </a:pPr>
          <a:r>
            <a:rPr lang="ja-JP" altLang="en-US" sz="2000" b="0" i="1" u="none" strike="noStrike" baseline="0">
              <a:solidFill>
                <a:srgbClr val="000000"/>
              </a:solidFill>
              <a:latin typeface="Arial"/>
              <a:cs typeface="Arial"/>
            </a:rPr>
            <a:t> </a:t>
          </a:r>
        </a:p>
      </xdr:txBody>
    </xdr:sp>
    <xdr:clientData/>
  </xdr:oneCellAnchor>
  <xdr:twoCellAnchor>
    <xdr:from>
      <xdr:col>0</xdr:col>
      <xdr:colOff>76200</xdr:colOff>
      <xdr:row>7</xdr:row>
      <xdr:rowOff>123825</xdr:rowOff>
    </xdr:from>
    <xdr:to>
      <xdr:col>2</xdr:col>
      <xdr:colOff>323850</xdr:colOff>
      <xdr:row>16</xdr:row>
      <xdr:rowOff>104775</xdr:rowOff>
    </xdr:to>
    <xdr:sp macro="" textlink="">
      <xdr:nvSpPr>
        <xdr:cNvPr id="1049" name="Rectangle 25">
          <a:extLst>
            <a:ext uri="{FF2B5EF4-FFF2-40B4-BE49-F238E27FC236}">
              <a16:creationId xmlns:a16="http://schemas.microsoft.com/office/drawing/2014/main" id="{00000000-0008-0000-0000-000019040000}"/>
            </a:ext>
          </a:extLst>
        </xdr:cNvPr>
        <xdr:cNvSpPr>
          <a:spLocks noChangeArrowheads="1"/>
        </xdr:cNvSpPr>
      </xdr:nvSpPr>
      <xdr:spPr bwMode="auto">
        <a:xfrm>
          <a:off x="76200" y="1571625"/>
          <a:ext cx="6477000" cy="1524000"/>
        </a:xfrm>
        <a:prstGeom prst="rect">
          <a:avLst/>
        </a:prstGeom>
        <a:solidFill>
          <a:srgbClr val="00FFFF"/>
        </a:solidFill>
        <a:ln w="25400">
          <a:solidFill>
            <a:srgbClr val="000000"/>
          </a:solidFill>
          <a:miter lim="800000"/>
          <a:headEnd/>
          <a:tailEnd/>
        </a:ln>
        <a:effectLst>
          <a:outerShdw dist="53882" dir="2700000" algn="ctr" rotWithShape="0">
            <a:srgbClr val="808080"/>
          </a:outerShdw>
        </a:effectLst>
      </xdr:spPr>
      <xdr:txBody>
        <a:bodyPr vertOverflow="clip" wrap="square" lIns="360000" tIns="46800" rIns="360000" bIns="46800" anchor="ctr" upright="1"/>
        <a:lstStyle/>
        <a:p>
          <a:pPr algn="ctr" rtl="0">
            <a:defRPr sz="1000"/>
          </a:pPr>
          <a:r>
            <a:rPr lang="en-US" altLang="ja-JP" sz="2800" b="1" i="1" u="none" strike="noStrike" baseline="0">
              <a:solidFill>
                <a:srgbClr val="000000"/>
              </a:solidFill>
              <a:latin typeface="Arial"/>
              <a:cs typeface="Arial"/>
            </a:rPr>
            <a:t>I.I : IOT Device Functions</a:t>
          </a:r>
          <a:r>
            <a:rPr lang="ja-JP" altLang="en-US" sz="2800" b="1" i="1" u="none" strike="noStrike" baseline="0">
              <a:solidFill>
                <a:srgbClr val="000000"/>
              </a:solidFill>
              <a:latin typeface="ＭＳ Ｐゴシック"/>
              <a:ea typeface="ＭＳ Ｐゴシック"/>
            </a:rPr>
            <a:t>付録</a:t>
          </a:r>
        </a:p>
      </xdr:txBody>
    </xdr:sp>
    <xdr:clientData/>
  </xdr:twoCellAnchor>
  <xdr:oneCellAnchor>
    <xdr:from>
      <xdr:col>16</xdr:col>
      <xdr:colOff>0</xdr:colOff>
      <xdr:row>16</xdr:row>
      <xdr:rowOff>0</xdr:rowOff>
    </xdr:from>
    <xdr:ext cx="71238" cy="294953"/>
    <xdr:sp macro="" textlink="">
      <xdr:nvSpPr>
        <xdr:cNvPr id="1050" name="Rectangle 26">
          <a:extLst>
            <a:ext uri="{FF2B5EF4-FFF2-40B4-BE49-F238E27FC236}">
              <a16:creationId xmlns:a16="http://schemas.microsoft.com/office/drawing/2014/main" id="{00000000-0008-0000-0000-00001A040000}"/>
            </a:ext>
          </a:extLst>
        </xdr:cNvPr>
        <xdr:cNvSpPr>
          <a:spLocks noChangeArrowheads="1"/>
        </xdr:cNvSpPr>
      </xdr:nvSpPr>
      <xdr:spPr bwMode="auto">
        <a:xfrm>
          <a:off x="14561344" y="2928938"/>
          <a:ext cx="71238" cy="294953"/>
        </a:xfrm>
        <a:prstGeom prst="rect">
          <a:avLst/>
        </a:prstGeom>
        <a:noFill/>
        <a:ln w="9525">
          <a:noFill/>
          <a:miter lim="800000"/>
          <a:headEnd/>
          <a:tailEnd/>
        </a:ln>
      </xdr:spPr>
      <xdr:txBody>
        <a:bodyPr wrap="none" lIns="0" tIns="0" rIns="0" bIns="0" anchor="t" upright="1">
          <a:spAutoFit/>
        </a:bodyPr>
        <a:lstStyle/>
        <a:p>
          <a:pPr algn="l" rtl="0">
            <a:defRPr sz="1000"/>
          </a:pPr>
          <a:r>
            <a:rPr lang="ja-JP" altLang="en-US" sz="2000" b="0" i="1" u="none" strike="noStrike" baseline="0">
              <a:solidFill>
                <a:srgbClr val="000000"/>
              </a:solidFill>
              <a:latin typeface="Arial"/>
              <a:cs typeface="Arial"/>
            </a:rPr>
            <a:t> </a:t>
          </a:r>
        </a:p>
      </xdr:txBody>
    </xdr:sp>
    <xdr:clientData/>
  </xdr:oneCellAnchor>
  <xdr:twoCellAnchor editAs="oneCell">
    <xdr:from>
      <xdr:col>0</xdr:col>
      <xdr:colOff>342900</xdr:colOff>
      <xdr:row>65</xdr:row>
      <xdr:rowOff>95250</xdr:rowOff>
    </xdr:from>
    <xdr:to>
      <xdr:col>2</xdr:col>
      <xdr:colOff>295275</xdr:colOff>
      <xdr:row>77</xdr:row>
      <xdr:rowOff>47625</xdr:rowOff>
    </xdr:to>
    <xdr:sp macro="" textlink="">
      <xdr:nvSpPr>
        <xdr:cNvPr id="1051" name="Text Box 27">
          <a:extLst>
            <a:ext uri="{FF2B5EF4-FFF2-40B4-BE49-F238E27FC236}">
              <a16:creationId xmlns:a16="http://schemas.microsoft.com/office/drawing/2014/main" id="{00000000-0008-0000-0000-00001B040000}"/>
            </a:ext>
          </a:extLst>
        </xdr:cNvPr>
        <xdr:cNvSpPr txBox="1">
          <a:spLocks noChangeArrowheads="1"/>
        </xdr:cNvSpPr>
      </xdr:nvSpPr>
      <xdr:spPr bwMode="auto">
        <a:xfrm>
          <a:off x="342900" y="11296650"/>
          <a:ext cx="6181725" cy="2009775"/>
        </a:xfrm>
        <a:prstGeom prst="rect">
          <a:avLst/>
        </a:prstGeom>
        <a:noFill/>
        <a:ln w="9525">
          <a:no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マクロに関する注意</a:t>
          </a: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ja-JP" altLang="en-US" sz="1000" b="0" i="0" u="none" strike="noStrike" baseline="0">
              <a:solidFill>
                <a:srgbClr val="000000"/>
              </a:solidFill>
              <a:latin typeface="ＭＳ Ｐゴシック"/>
              <a:ea typeface="ＭＳ Ｐゴシック"/>
            </a:rPr>
            <a:t>・各シートにはマクロが動作するときに必要な「名前」が定義してある．名前が定義されたセルを削除、コピーなどする際は注意が必要。</a:t>
          </a:r>
        </a:p>
        <a:p>
          <a:pPr algn="l" rtl="0">
            <a:lnSpc>
              <a:spcPts val="1200"/>
            </a:lnSpc>
            <a:defRPr sz="1000"/>
          </a:pPr>
          <a:r>
            <a:rPr lang="ja-JP" altLang="en-US" sz="1000" b="0" i="0" u="none" strike="noStrike" baseline="0">
              <a:solidFill>
                <a:srgbClr val="000000"/>
              </a:solidFill>
              <a:latin typeface="ＭＳ Ｐゴシック"/>
              <a:ea typeface="ＭＳ Ｐゴシック"/>
            </a:rPr>
            <a:t>・マクロを実行するために下記ボタンが用意されているが、持っている機能は下記のとおり。</a:t>
          </a:r>
        </a:p>
        <a:p>
          <a:pPr algn="l" rtl="0">
            <a:lnSpc>
              <a:spcPts val="1200"/>
            </a:lnSpc>
            <a:defRPr sz="1000"/>
          </a:pPr>
          <a:r>
            <a:rPr lang="en-US" altLang="ja-JP"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ＭＳ Ｐゴシック"/>
              <a:ea typeface="ＭＳ Ｐゴシック"/>
            </a:rPr>
            <a:t>コード生成</a:t>
          </a:r>
          <a:r>
            <a:rPr lang="en-US" altLang="ja-JP" sz="1000" b="0" i="0" u="none" strike="noStrike" baseline="0">
              <a:solidFill>
                <a:srgbClr val="000000"/>
              </a:solidFill>
              <a:latin typeface="ＭＳ Ｐゴシック"/>
              <a:ea typeface="ＭＳ Ｐゴシック"/>
            </a:rPr>
            <a:t>]</a:t>
          </a:r>
        </a:p>
        <a:p>
          <a:pPr algn="l" rtl="0">
            <a:lnSpc>
              <a:spcPts val="1200"/>
            </a:lnSpc>
            <a:defRPr sz="1000"/>
          </a:pPr>
          <a:r>
            <a:rPr lang="ja-JP" altLang="en-US" sz="1000" b="0" i="0" u="none" strike="noStrike" baseline="0">
              <a:solidFill>
                <a:srgbClr val="000000"/>
              </a:solidFill>
              <a:latin typeface="ＭＳ Ｐゴシック"/>
              <a:ea typeface="ＭＳ Ｐゴシック"/>
            </a:rPr>
            <a:t>各表から</a:t>
          </a:r>
          <a:r>
            <a:rPr lang="en-US" altLang="ja-JP" sz="1000" b="0" i="0" u="none" strike="noStrike" baseline="0">
              <a:solidFill>
                <a:srgbClr val="000000"/>
              </a:solidFill>
              <a:latin typeface="ＭＳ Ｐゴシック"/>
              <a:ea typeface="ＭＳ Ｐゴシック"/>
            </a:rPr>
            <a:t>SpecLib</a:t>
          </a:r>
          <a:r>
            <a:rPr lang="ja-JP" altLang="en-US" sz="1000" b="0" i="0" u="none" strike="noStrike" baseline="0">
              <a:solidFill>
                <a:srgbClr val="000000"/>
              </a:solidFill>
              <a:latin typeface="ＭＳ Ｐゴシック"/>
              <a:ea typeface="ＭＳ Ｐゴシック"/>
            </a:rPr>
            <a:t>実装に必要なテーブルを抽出、ファイルへ書き出す。ファイル名は任意のものが指定できる。</a:t>
          </a:r>
        </a:p>
        <a:p>
          <a:pPr algn="l" rtl="0">
            <a:lnSpc>
              <a:spcPts val="1200"/>
            </a:lnSpc>
            <a:defRPr sz="1000"/>
          </a:pPr>
          <a:r>
            <a:rPr lang="ja-JP" altLang="en-US" sz="1000" b="0" i="0" u="none" strike="noStrike" baseline="0">
              <a:solidFill>
                <a:srgbClr val="000000"/>
              </a:solidFill>
              <a:latin typeface="ＭＳ Ｐゴシック"/>
              <a:ea typeface="ＭＳ Ｐゴシック"/>
            </a:rPr>
            <a:t>各表に隣接するセル範囲に値が入力されていると本マクロは動作しない。念のため、該当するセルには保護をかけているが保護を解除してセルに入力した場合、動作は保証されない。</a:t>
          </a:r>
        </a:p>
        <a:p>
          <a:pPr algn="l" rtl="0">
            <a:lnSpc>
              <a:spcPts val="1200"/>
            </a:lnSpc>
            <a:defRPr sz="1000"/>
          </a:pPr>
          <a:r>
            <a:rPr lang="en-US" altLang="ja-JP"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ＭＳ Ｐゴシック"/>
              <a:ea typeface="ＭＳ Ｐゴシック"/>
            </a:rPr>
            <a:t>辺長チェック</a:t>
          </a:r>
          <a:r>
            <a:rPr lang="en-US" altLang="ja-JP" sz="1000" b="0" i="0" u="none" strike="noStrike" baseline="0">
              <a:solidFill>
                <a:srgbClr val="000000"/>
              </a:solidFill>
              <a:latin typeface="ＭＳ Ｐゴシック"/>
              <a:ea typeface="ＭＳ Ｐゴシック"/>
            </a:rPr>
            <a:t>]</a:t>
          </a:r>
        </a:p>
        <a:p>
          <a:pPr algn="l" rtl="0">
            <a:lnSpc>
              <a:spcPts val="1200"/>
            </a:lnSpc>
            <a:defRPr sz="1000"/>
          </a:pPr>
          <a:r>
            <a:rPr lang="ja-JP" altLang="en-US" sz="1000" b="0" i="0" u="none" strike="noStrike" baseline="0">
              <a:solidFill>
                <a:srgbClr val="000000"/>
              </a:solidFill>
              <a:latin typeface="ＭＳ Ｐゴシック"/>
              <a:ea typeface="ＭＳ Ｐゴシック"/>
            </a:rPr>
            <a:t>使用可能な定型サイズの辺長が非定形サイズ範囲に収まっているかどうかをチェックする。</a:t>
          </a:r>
        </a:p>
        <a:p>
          <a:pPr algn="l" rtl="0">
            <a:lnSpc>
              <a:spcPts val="1200"/>
            </a:lnSpc>
            <a:defRPr sz="1000"/>
          </a:pPr>
          <a:r>
            <a:rPr lang="en-US" altLang="ja-JP"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ＭＳ Ｐゴシック"/>
              <a:ea typeface="ＭＳ Ｐゴシック"/>
            </a:rPr>
            <a:t>仕様書印刷</a:t>
          </a:r>
          <a:r>
            <a:rPr lang="en-US" altLang="ja-JP" sz="1000" b="0" i="0" u="none" strike="noStrike" baseline="0">
              <a:solidFill>
                <a:srgbClr val="000000"/>
              </a:solidFill>
              <a:latin typeface="ＭＳ Ｐゴシック"/>
              <a:ea typeface="ＭＳ Ｐゴシック"/>
            </a:rPr>
            <a:t>]</a:t>
          </a:r>
        </a:p>
        <a:p>
          <a:pPr algn="l" rtl="0">
            <a:lnSpc>
              <a:spcPts val="1100"/>
            </a:lnSpc>
            <a:defRPr sz="1000"/>
          </a:pPr>
          <a:r>
            <a:rPr lang="ja-JP" altLang="en-US" sz="1000" b="0" i="0" u="none" strike="noStrike" baseline="0">
              <a:solidFill>
                <a:srgbClr val="000000"/>
              </a:solidFill>
              <a:latin typeface="ＭＳ Ｐゴシック"/>
              <a:ea typeface="ＭＳ Ｐゴシック"/>
            </a:rPr>
            <a:t>仕様書として配布するのに必要なシートを選択し、印刷ダイアログを呼び出す。</a:t>
          </a:r>
        </a:p>
      </xdr:txBody>
    </xdr:sp>
    <xdr:clientData fPrintsWithSheet="0"/>
  </xdr:twoCellAnchor>
  <mc:AlternateContent xmlns:mc="http://schemas.openxmlformats.org/markup-compatibility/2006">
    <mc:Choice xmlns:a14="http://schemas.microsoft.com/office/drawing/2010/main" Requires="a14">
      <xdr:twoCellAnchor editAs="oneCell">
        <xdr:from>
          <xdr:col>83</xdr:col>
          <xdr:colOff>180975</xdr:colOff>
          <xdr:row>78</xdr:row>
          <xdr:rowOff>85725</xdr:rowOff>
        </xdr:from>
        <xdr:to>
          <xdr:col>85</xdr:col>
          <xdr:colOff>352425</xdr:colOff>
          <xdr:row>79</xdr:row>
          <xdr:rowOff>161925</xdr:rowOff>
        </xdr:to>
        <xdr:sp macro="" textlink="">
          <xdr:nvSpPr>
            <xdr:cNvPr id="1025" name="生成"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89</xdr:col>
      <xdr:colOff>285750</xdr:colOff>
      <xdr:row>74</xdr:row>
      <xdr:rowOff>38100</xdr:rowOff>
    </xdr:from>
    <xdr:to>
      <xdr:col>89</xdr:col>
      <xdr:colOff>981075</xdr:colOff>
      <xdr:row>77</xdr:row>
      <xdr:rowOff>57150</xdr:rowOff>
    </xdr:to>
    <xdr:sp macro="" textlink="">
      <xdr:nvSpPr>
        <xdr:cNvPr id="36475" name="Rectangle 211">
          <a:extLst>
            <a:ext uri="{FF2B5EF4-FFF2-40B4-BE49-F238E27FC236}">
              <a16:creationId xmlns:a16="http://schemas.microsoft.com/office/drawing/2014/main" id="{00000000-0008-0000-0100-00007B8E0000}"/>
            </a:ext>
          </a:extLst>
        </xdr:cNvPr>
        <xdr:cNvSpPr>
          <a:spLocks noChangeArrowheads="1"/>
        </xdr:cNvSpPr>
      </xdr:nvSpPr>
      <xdr:spPr bwMode="auto">
        <a:xfrm rot="5400000">
          <a:off x="42190988" y="13844587"/>
          <a:ext cx="533400" cy="695325"/>
        </a:xfrm>
        <a:prstGeom prst="rect">
          <a:avLst/>
        </a:prstGeom>
        <a:solidFill>
          <a:srgbClr val="FFFFCC"/>
        </a:solidFill>
        <a:ln w="9525">
          <a:solidFill>
            <a:srgbClr val="000000"/>
          </a:solidFill>
          <a:miter lim="800000"/>
          <a:headEnd/>
          <a:tailEnd/>
        </a:ln>
      </xdr:spPr>
    </xdr:sp>
    <xdr:clientData/>
  </xdr:twoCellAnchor>
  <xdr:twoCellAnchor>
    <xdr:from>
      <xdr:col>89</xdr:col>
      <xdr:colOff>161925</xdr:colOff>
      <xdr:row>74</xdr:row>
      <xdr:rowOff>38100</xdr:rowOff>
    </xdr:from>
    <xdr:to>
      <xdr:col>89</xdr:col>
      <xdr:colOff>285750</xdr:colOff>
      <xdr:row>77</xdr:row>
      <xdr:rowOff>57150</xdr:rowOff>
    </xdr:to>
    <xdr:sp macro="" textlink="">
      <xdr:nvSpPr>
        <xdr:cNvPr id="36476" name="Freeform 212">
          <a:extLst>
            <a:ext uri="{FF2B5EF4-FFF2-40B4-BE49-F238E27FC236}">
              <a16:creationId xmlns:a16="http://schemas.microsoft.com/office/drawing/2014/main" id="{00000000-0008-0000-0100-00007C8E0000}"/>
            </a:ext>
          </a:extLst>
        </xdr:cNvPr>
        <xdr:cNvSpPr>
          <a:spLocks/>
        </xdr:cNvSpPr>
      </xdr:nvSpPr>
      <xdr:spPr bwMode="auto">
        <a:xfrm rot="-5400000">
          <a:off x="41781413" y="14130337"/>
          <a:ext cx="533400" cy="123825"/>
        </a:xfrm>
        <a:custGeom>
          <a:avLst/>
          <a:gdLst>
            <a:gd name="T0" fmla="*/ 0 w 56"/>
            <a:gd name="T1" fmla="*/ 2147483646 h 13"/>
            <a:gd name="T2" fmla="*/ 2147483646 w 56"/>
            <a:gd name="T3" fmla="*/ 0 h 13"/>
            <a:gd name="T4" fmla="*/ 2147483646 w 56"/>
            <a:gd name="T5" fmla="*/ 0 h 13"/>
            <a:gd name="T6" fmla="*/ 2147483646 w 56"/>
            <a:gd name="T7" fmla="*/ 2147483646 h 13"/>
            <a:gd name="T8" fmla="*/ 0 60000 65536"/>
            <a:gd name="T9" fmla="*/ 0 60000 65536"/>
            <a:gd name="T10" fmla="*/ 0 60000 65536"/>
            <a:gd name="T11" fmla="*/ 0 60000 65536"/>
            <a:gd name="T12" fmla="*/ 0 w 56"/>
            <a:gd name="T13" fmla="*/ 0 h 13"/>
            <a:gd name="T14" fmla="*/ 56 w 56"/>
            <a:gd name="T15" fmla="*/ 13 h 13"/>
          </a:gdLst>
          <a:ahLst/>
          <a:cxnLst>
            <a:cxn ang="T8">
              <a:pos x="T0" y="T1"/>
            </a:cxn>
            <a:cxn ang="T9">
              <a:pos x="T2" y="T3"/>
            </a:cxn>
            <a:cxn ang="T10">
              <a:pos x="T4" y="T5"/>
            </a:cxn>
            <a:cxn ang="T11">
              <a:pos x="T6" y="T7"/>
            </a:cxn>
          </a:cxnLst>
          <a:rect l="T12" t="T13" r="T14" b="T15"/>
          <a:pathLst>
            <a:path w="56" h="13">
              <a:moveTo>
                <a:pt x="0" y="13"/>
              </a:moveTo>
              <a:lnTo>
                <a:pt x="8" y="0"/>
              </a:lnTo>
              <a:lnTo>
                <a:pt x="49" y="0"/>
              </a:lnTo>
              <a:lnTo>
                <a:pt x="56" y="12"/>
              </a:lnTo>
            </a:path>
          </a:pathLst>
        </a:custGeom>
        <a:solidFill>
          <a:srgbClr val="FFFFCC"/>
        </a:solidFill>
        <a:ln w="9525">
          <a:solidFill>
            <a:srgbClr val="000000"/>
          </a:solidFill>
          <a:round/>
          <a:headEnd/>
          <a:tailEnd/>
        </a:ln>
      </xdr:spPr>
    </xdr:sp>
    <xdr:clientData/>
  </xdr:twoCellAnchor>
  <xdr:twoCellAnchor>
    <xdr:from>
      <xdr:col>89</xdr:col>
      <xdr:colOff>1085850</xdr:colOff>
      <xdr:row>74</xdr:row>
      <xdr:rowOff>0</xdr:rowOff>
    </xdr:from>
    <xdr:to>
      <xdr:col>89</xdr:col>
      <xdr:colOff>1085850</xdr:colOff>
      <xdr:row>77</xdr:row>
      <xdr:rowOff>133350</xdr:rowOff>
    </xdr:to>
    <xdr:sp macro="" textlink="">
      <xdr:nvSpPr>
        <xdr:cNvPr id="36477" name="Line 213">
          <a:extLst>
            <a:ext uri="{FF2B5EF4-FFF2-40B4-BE49-F238E27FC236}">
              <a16:creationId xmlns:a16="http://schemas.microsoft.com/office/drawing/2014/main" id="{00000000-0008-0000-0100-00007D8E0000}"/>
            </a:ext>
          </a:extLst>
        </xdr:cNvPr>
        <xdr:cNvSpPr>
          <a:spLocks noChangeShapeType="1"/>
        </xdr:cNvSpPr>
      </xdr:nvSpPr>
      <xdr:spPr bwMode="auto">
        <a:xfrm rot="5400000">
          <a:off x="42586275" y="14211300"/>
          <a:ext cx="647700" cy="0"/>
        </a:xfrm>
        <a:prstGeom prst="line">
          <a:avLst/>
        </a:prstGeom>
        <a:noFill/>
        <a:ln w="254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89</xdr:col>
      <xdr:colOff>276225</xdr:colOff>
      <xdr:row>68</xdr:row>
      <xdr:rowOff>0</xdr:rowOff>
    </xdr:from>
    <xdr:to>
      <xdr:col>89</xdr:col>
      <xdr:colOff>971550</xdr:colOff>
      <xdr:row>71</xdr:row>
      <xdr:rowOff>19050</xdr:rowOff>
    </xdr:to>
    <xdr:sp macro="" textlink="">
      <xdr:nvSpPr>
        <xdr:cNvPr id="36478" name="Rectangle 214">
          <a:extLst>
            <a:ext uri="{FF2B5EF4-FFF2-40B4-BE49-F238E27FC236}">
              <a16:creationId xmlns:a16="http://schemas.microsoft.com/office/drawing/2014/main" id="{00000000-0008-0000-0100-00007E8E0000}"/>
            </a:ext>
          </a:extLst>
        </xdr:cNvPr>
        <xdr:cNvSpPr>
          <a:spLocks noChangeArrowheads="1"/>
        </xdr:cNvSpPr>
      </xdr:nvSpPr>
      <xdr:spPr bwMode="auto">
        <a:xfrm rot="-5400000">
          <a:off x="42181463" y="12777787"/>
          <a:ext cx="533400" cy="695325"/>
        </a:xfrm>
        <a:prstGeom prst="rect">
          <a:avLst/>
        </a:prstGeom>
        <a:solidFill>
          <a:srgbClr val="FFFFCC"/>
        </a:solidFill>
        <a:ln w="9525">
          <a:solidFill>
            <a:srgbClr val="000000"/>
          </a:solidFill>
          <a:miter lim="800000"/>
          <a:headEnd/>
          <a:tailEnd/>
        </a:ln>
      </xdr:spPr>
    </xdr:sp>
    <xdr:clientData/>
  </xdr:twoCellAnchor>
  <xdr:twoCellAnchor>
    <xdr:from>
      <xdr:col>89</xdr:col>
      <xdr:colOff>1076325</xdr:colOff>
      <xdr:row>67</xdr:row>
      <xdr:rowOff>76200</xdr:rowOff>
    </xdr:from>
    <xdr:to>
      <xdr:col>89</xdr:col>
      <xdr:colOff>1076325</xdr:colOff>
      <xdr:row>71</xdr:row>
      <xdr:rowOff>95250</xdr:rowOff>
    </xdr:to>
    <xdr:sp macro="" textlink="">
      <xdr:nvSpPr>
        <xdr:cNvPr id="36479" name="Line 215">
          <a:extLst>
            <a:ext uri="{FF2B5EF4-FFF2-40B4-BE49-F238E27FC236}">
              <a16:creationId xmlns:a16="http://schemas.microsoft.com/office/drawing/2014/main" id="{00000000-0008-0000-0100-00007F8E0000}"/>
            </a:ext>
          </a:extLst>
        </xdr:cNvPr>
        <xdr:cNvSpPr>
          <a:spLocks noChangeShapeType="1"/>
        </xdr:cNvSpPr>
      </xdr:nvSpPr>
      <xdr:spPr bwMode="auto">
        <a:xfrm rot="5400000">
          <a:off x="42548175" y="13115925"/>
          <a:ext cx="704850" cy="0"/>
        </a:xfrm>
        <a:prstGeom prst="line">
          <a:avLst/>
        </a:prstGeom>
        <a:noFill/>
        <a:ln w="254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90</xdr:col>
      <xdr:colOff>257175</xdr:colOff>
      <xdr:row>74</xdr:row>
      <xdr:rowOff>19050</xdr:rowOff>
    </xdr:from>
    <xdr:to>
      <xdr:col>90</xdr:col>
      <xdr:colOff>952500</xdr:colOff>
      <xdr:row>77</xdr:row>
      <xdr:rowOff>38100</xdr:rowOff>
    </xdr:to>
    <xdr:sp macro="" textlink="">
      <xdr:nvSpPr>
        <xdr:cNvPr id="36480" name="Rectangle 216">
          <a:extLst>
            <a:ext uri="{FF2B5EF4-FFF2-40B4-BE49-F238E27FC236}">
              <a16:creationId xmlns:a16="http://schemas.microsoft.com/office/drawing/2014/main" id="{00000000-0008-0000-0100-0000808E0000}"/>
            </a:ext>
          </a:extLst>
        </xdr:cNvPr>
        <xdr:cNvSpPr>
          <a:spLocks noChangeArrowheads="1"/>
        </xdr:cNvSpPr>
      </xdr:nvSpPr>
      <xdr:spPr bwMode="auto">
        <a:xfrm rot="-5400000">
          <a:off x="43391138" y="13825537"/>
          <a:ext cx="533400" cy="695325"/>
        </a:xfrm>
        <a:prstGeom prst="rect">
          <a:avLst/>
        </a:prstGeom>
        <a:solidFill>
          <a:srgbClr val="C0C0C0"/>
        </a:solidFill>
        <a:ln w="9525">
          <a:solidFill>
            <a:srgbClr val="000000"/>
          </a:solidFill>
          <a:miter lim="800000"/>
          <a:headEnd/>
          <a:tailEnd/>
        </a:ln>
      </xdr:spPr>
    </xdr:sp>
    <xdr:clientData/>
  </xdr:twoCellAnchor>
  <xdr:twoCellAnchor>
    <xdr:from>
      <xdr:col>90</xdr:col>
      <xdr:colOff>266700</xdr:colOff>
      <xdr:row>74</xdr:row>
      <xdr:rowOff>28575</xdr:rowOff>
    </xdr:from>
    <xdr:to>
      <xdr:col>90</xdr:col>
      <xdr:colOff>952500</xdr:colOff>
      <xdr:row>74</xdr:row>
      <xdr:rowOff>152400</xdr:rowOff>
    </xdr:to>
    <xdr:sp macro="" textlink="">
      <xdr:nvSpPr>
        <xdr:cNvPr id="36481" name="Freeform 217">
          <a:extLst>
            <a:ext uri="{FF2B5EF4-FFF2-40B4-BE49-F238E27FC236}">
              <a16:creationId xmlns:a16="http://schemas.microsoft.com/office/drawing/2014/main" id="{00000000-0008-0000-0100-0000818E0000}"/>
            </a:ext>
          </a:extLst>
        </xdr:cNvPr>
        <xdr:cNvSpPr>
          <a:spLocks/>
        </xdr:cNvSpPr>
      </xdr:nvSpPr>
      <xdr:spPr bwMode="auto">
        <a:xfrm rot="10800000">
          <a:off x="43319700" y="13916025"/>
          <a:ext cx="685800" cy="123825"/>
        </a:xfrm>
        <a:custGeom>
          <a:avLst/>
          <a:gdLst>
            <a:gd name="T0" fmla="*/ 0 w 56"/>
            <a:gd name="T1" fmla="*/ 2147483646 h 13"/>
            <a:gd name="T2" fmla="*/ 2147483646 w 56"/>
            <a:gd name="T3" fmla="*/ 0 h 13"/>
            <a:gd name="T4" fmla="*/ 2147483646 w 56"/>
            <a:gd name="T5" fmla="*/ 0 h 13"/>
            <a:gd name="T6" fmla="*/ 2147483646 w 56"/>
            <a:gd name="T7" fmla="*/ 2147483646 h 13"/>
            <a:gd name="T8" fmla="*/ 0 60000 65536"/>
            <a:gd name="T9" fmla="*/ 0 60000 65536"/>
            <a:gd name="T10" fmla="*/ 0 60000 65536"/>
            <a:gd name="T11" fmla="*/ 0 60000 65536"/>
            <a:gd name="T12" fmla="*/ 0 w 56"/>
            <a:gd name="T13" fmla="*/ 0 h 13"/>
            <a:gd name="T14" fmla="*/ 56 w 56"/>
            <a:gd name="T15" fmla="*/ 13 h 13"/>
          </a:gdLst>
          <a:ahLst/>
          <a:cxnLst>
            <a:cxn ang="T8">
              <a:pos x="T0" y="T1"/>
            </a:cxn>
            <a:cxn ang="T9">
              <a:pos x="T2" y="T3"/>
            </a:cxn>
            <a:cxn ang="T10">
              <a:pos x="T4" y="T5"/>
            </a:cxn>
            <a:cxn ang="T11">
              <a:pos x="T6" y="T7"/>
            </a:cxn>
          </a:cxnLst>
          <a:rect l="T12" t="T13" r="T14" b="T15"/>
          <a:pathLst>
            <a:path w="56" h="13">
              <a:moveTo>
                <a:pt x="0" y="13"/>
              </a:moveTo>
              <a:lnTo>
                <a:pt x="8" y="0"/>
              </a:lnTo>
              <a:lnTo>
                <a:pt x="49" y="0"/>
              </a:lnTo>
              <a:lnTo>
                <a:pt x="56" y="12"/>
              </a:lnTo>
            </a:path>
          </a:pathLst>
        </a:custGeom>
        <a:solidFill>
          <a:srgbClr val="C0C0C0"/>
        </a:solidFill>
        <a:ln w="9525">
          <a:solidFill>
            <a:srgbClr val="000000"/>
          </a:solidFill>
          <a:round/>
          <a:headEnd/>
          <a:tailEnd/>
        </a:ln>
      </xdr:spPr>
    </xdr:sp>
    <xdr:clientData/>
  </xdr:twoCellAnchor>
  <xdr:twoCellAnchor>
    <xdr:from>
      <xdr:col>90</xdr:col>
      <xdr:colOff>1057275</xdr:colOff>
      <xdr:row>74</xdr:row>
      <xdr:rowOff>0</xdr:rowOff>
    </xdr:from>
    <xdr:to>
      <xdr:col>90</xdr:col>
      <xdr:colOff>1057275</xdr:colOff>
      <xdr:row>77</xdr:row>
      <xdr:rowOff>114300</xdr:rowOff>
    </xdr:to>
    <xdr:sp macro="" textlink="">
      <xdr:nvSpPr>
        <xdr:cNvPr id="36482" name="Line 218">
          <a:extLst>
            <a:ext uri="{FF2B5EF4-FFF2-40B4-BE49-F238E27FC236}">
              <a16:creationId xmlns:a16="http://schemas.microsoft.com/office/drawing/2014/main" id="{00000000-0008-0000-0100-0000828E0000}"/>
            </a:ext>
          </a:extLst>
        </xdr:cNvPr>
        <xdr:cNvSpPr>
          <a:spLocks noChangeShapeType="1"/>
        </xdr:cNvSpPr>
      </xdr:nvSpPr>
      <xdr:spPr bwMode="auto">
        <a:xfrm rot="5400000">
          <a:off x="43795950" y="14201775"/>
          <a:ext cx="628650" cy="0"/>
        </a:xfrm>
        <a:prstGeom prst="line">
          <a:avLst/>
        </a:prstGeom>
        <a:noFill/>
        <a:ln w="254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90</xdr:col>
      <xdr:colOff>247650</xdr:colOff>
      <xdr:row>68</xdr:row>
      <xdr:rowOff>0</xdr:rowOff>
    </xdr:from>
    <xdr:to>
      <xdr:col>90</xdr:col>
      <xdr:colOff>942975</xdr:colOff>
      <xdr:row>71</xdr:row>
      <xdr:rowOff>19050</xdr:rowOff>
    </xdr:to>
    <xdr:sp macro="" textlink="">
      <xdr:nvSpPr>
        <xdr:cNvPr id="36483" name="Rectangle 219">
          <a:extLst>
            <a:ext uri="{FF2B5EF4-FFF2-40B4-BE49-F238E27FC236}">
              <a16:creationId xmlns:a16="http://schemas.microsoft.com/office/drawing/2014/main" id="{00000000-0008-0000-0100-0000838E0000}"/>
            </a:ext>
          </a:extLst>
        </xdr:cNvPr>
        <xdr:cNvSpPr>
          <a:spLocks noChangeArrowheads="1"/>
        </xdr:cNvSpPr>
      </xdr:nvSpPr>
      <xdr:spPr bwMode="auto">
        <a:xfrm rot="-5400000">
          <a:off x="43381613" y="12777787"/>
          <a:ext cx="533400" cy="695325"/>
        </a:xfrm>
        <a:prstGeom prst="rect">
          <a:avLst/>
        </a:prstGeom>
        <a:solidFill>
          <a:srgbClr val="FFFFCC"/>
        </a:solidFill>
        <a:ln w="9525">
          <a:solidFill>
            <a:srgbClr val="000000"/>
          </a:solidFill>
          <a:miter lim="800000"/>
          <a:headEnd/>
          <a:tailEnd/>
        </a:ln>
      </xdr:spPr>
    </xdr:sp>
    <xdr:clientData/>
  </xdr:twoCellAnchor>
  <xdr:twoCellAnchor>
    <xdr:from>
      <xdr:col>90</xdr:col>
      <xdr:colOff>1047750</xdr:colOff>
      <xdr:row>67</xdr:row>
      <xdr:rowOff>76200</xdr:rowOff>
    </xdr:from>
    <xdr:to>
      <xdr:col>90</xdr:col>
      <xdr:colOff>1047750</xdr:colOff>
      <xdr:row>71</xdr:row>
      <xdr:rowOff>95250</xdr:rowOff>
    </xdr:to>
    <xdr:sp macro="" textlink="">
      <xdr:nvSpPr>
        <xdr:cNvPr id="36484" name="Line 220">
          <a:extLst>
            <a:ext uri="{FF2B5EF4-FFF2-40B4-BE49-F238E27FC236}">
              <a16:creationId xmlns:a16="http://schemas.microsoft.com/office/drawing/2014/main" id="{00000000-0008-0000-0100-0000848E0000}"/>
            </a:ext>
          </a:extLst>
        </xdr:cNvPr>
        <xdr:cNvSpPr>
          <a:spLocks noChangeShapeType="1"/>
        </xdr:cNvSpPr>
      </xdr:nvSpPr>
      <xdr:spPr bwMode="auto">
        <a:xfrm rot="5400000">
          <a:off x="43748325" y="13115925"/>
          <a:ext cx="704850" cy="0"/>
        </a:xfrm>
        <a:prstGeom prst="line">
          <a:avLst/>
        </a:prstGeom>
        <a:noFill/>
        <a:ln w="254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90</xdr:col>
      <xdr:colOff>257175</xdr:colOff>
      <xdr:row>70</xdr:row>
      <xdr:rowOff>66675</xdr:rowOff>
    </xdr:from>
    <xdr:to>
      <xdr:col>90</xdr:col>
      <xdr:colOff>942975</xdr:colOff>
      <xdr:row>71</xdr:row>
      <xdr:rowOff>19050</xdr:rowOff>
    </xdr:to>
    <xdr:sp macro="" textlink="">
      <xdr:nvSpPr>
        <xdr:cNvPr id="36485" name="Freeform 221">
          <a:extLst>
            <a:ext uri="{FF2B5EF4-FFF2-40B4-BE49-F238E27FC236}">
              <a16:creationId xmlns:a16="http://schemas.microsoft.com/office/drawing/2014/main" id="{00000000-0008-0000-0100-0000858E0000}"/>
            </a:ext>
          </a:extLst>
        </xdr:cNvPr>
        <xdr:cNvSpPr>
          <a:spLocks/>
        </xdr:cNvSpPr>
      </xdr:nvSpPr>
      <xdr:spPr bwMode="auto">
        <a:xfrm>
          <a:off x="43310175" y="13268325"/>
          <a:ext cx="685800" cy="123825"/>
        </a:xfrm>
        <a:custGeom>
          <a:avLst/>
          <a:gdLst>
            <a:gd name="T0" fmla="*/ 0 w 56"/>
            <a:gd name="T1" fmla="*/ 2147483646 h 13"/>
            <a:gd name="T2" fmla="*/ 2147483646 w 56"/>
            <a:gd name="T3" fmla="*/ 0 h 13"/>
            <a:gd name="T4" fmla="*/ 2147483646 w 56"/>
            <a:gd name="T5" fmla="*/ 0 h 13"/>
            <a:gd name="T6" fmla="*/ 2147483646 w 56"/>
            <a:gd name="T7" fmla="*/ 2147483646 h 13"/>
            <a:gd name="T8" fmla="*/ 0 60000 65536"/>
            <a:gd name="T9" fmla="*/ 0 60000 65536"/>
            <a:gd name="T10" fmla="*/ 0 60000 65536"/>
            <a:gd name="T11" fmla="*/ 0 60000 65536"/>
            <a:gd name="T12" fmla="*/ 0 w 56"/>
            <a:gd name="T13" fmla="*/ 0 h 13"/>
            <a:gd name="T14" fmla="*/ 56 w 56"/>
            <a:gd name="T15" fmla="*/ 13 h 13"/>
          </a:gdLst>
          <a:ahLst/>
          <a:cxnLst>
            <a:cxn ang="T8">
              <a:pos x="T0" y="T1"/>
            </a:cxn>
            <a:cxn ang="T9">
              <a:pos x="T2" y="T3"/>
            </a:cxn>
            <a:cxn ang="T10">
              <a:pos x="T4" y="T5"/>
            </a:cxn>
            <a:cxn ang="T11">
              <a:pos x="T6" y="T7"/>
            </a:cxn>
          </a:cxnLst>
          <a:rect l="T12" t="T13" r="T14" b="T15"/>
          <a:pathLst>
            <a:path w="56" h="13">
              <a:moveTo>
                <a:pt x="0" y="13"/>
              </a:moveTo>
              <a:lnTo>
                <a:pt x="8" y="0"/>
              </a:lnTo>
              <a:lnTo>
                <a:pt x="49" y="0"/>
              </a:lnTo>
              <a:lnTo>
                <a:pt x="56" y="12"/>
              </a:lnTo>
            </a:path>
          </a:pathLst>
        </a:custGeom>
        <a:solidFill>
          <a:srgbClr val="FFFFCC"/>
        </a:solidFill>
        <a:ln w="9525">
          <a:solidFill>
            <a:srgbClr val="000000"/>
          </a:solidFill>
          <a:round/>
          <a:headEnd/>
          <a:tailEnd/>
        </a:ln>
      </xdr:spPr>
    </xdr:sp>
    <xdr:clientData/>
  </xdr:twoCellAnchor>
  <xdr:twoCellAnchor>
    <xdr:from>
      <xdr:col>89</xdr:col>
      <xdr:colOff>1028700</xdr:colOff>
      <xdr:row>68</xdr:row>
      <xdr:rowOff>133350</xdr:rowOff>
    </xdr:from>
    <xdr:to>
      <xdr:col>89</xdr:col>
      <xdr:colOff>1257300</xdr:colOff>
      <xdr:row>70</xdr:row>
      <xdr:rowOff>76200</xdr:rowOff>
    </xdr:to>
    <xdr:sp macro="" textlink="">
      <xdr:nvSpPr>
        <xdr:cNvPr id="36486" name="AutoShape 222">
          <a:extLst>
            <a:ext uri="{FF2B5EF4-FFF2-40B4-BE49-F238E27FC236}">
              <a16:creationId xmlns:a16="http://schemas.microsoft.com/office/drawing/2014/main" id="{00000000-0008-0000-0100-0000868E0000}"/>
            </a:ext>
          </a:extLst>
        </xdr:cNvPr>
        <xdr:cNvSpPr>
          <a:spLocks noChangeArrowheads="1"/>
        </xdr:cNvSpPr>
      </xdr:nvSpPr>
      <xdr:spPr bwMode="auto">
        <a:xfrm>
          <a:off x="42852975" y="12992100"/>
          <a:ext cx="200025" cy="285750"/>
        </a:xfrm>
        <a:prstGeom prst="rightArrow">
          <a:avLst>
            <a:gd name="adj1" fmla="val 50000"/>
            <a:gd name="adj2" fmla="val 25000"/>
          </a:avLst>
        </a:prstGeom>
        <a:solidFill>
          <a:srgbClr val="FFFFFF">
            <a:alpha val="50195"/>
          </a:srgbClr>
        </a:solidFill>
        <a:ln w="9525">
          <a:solidFill>
            <a:srgbClr val="000000"/>
          </a:solidFill>
          <a:miter lim="800000"/>
          <a:headEnd/>
          <a:tailEnd/>
        </a:ln>
      </xdr:spPr>
    </xdr:sp>
    <xdr:clientData/>
  </xdr:twoCellAnchor>
  <xdr:twoCellAnchor>
    <xdr:from>
      <xdr:col>90</xdr:col>
      <xdr:colOff>990600</xdr:colOff>
      <xdr:row>68</xdr:row>
      <xdr:rowOff>133350</xdr:rowOff>
    </xdr:from>
    <xdr:to>
      <xdr:col>90</xdr:col>
      <xdr:colOff>1219200</xdr:colOff>
      <xdr:row>70</xdr:row>
      <xdr:rowOff>76200</xdr:rowOff>
    </xdr:to>
    <xdr:sp macro="" textlink="">
      <xdr:nvSpPr>
        <xdr:cNvPr id="36487" name="AutoShape 223">
          <a:extLst>
            <a:ext uri="{FF2B5EF4-FFF2-40B4-BE49-F238E27FC236}">
              <a16:creationId xmlns:a16="http://schemas.microsoft.com/office/drawing/2014/main" id="{00000000-0008-0000-0100-0000878E0000}"/>
            </a:ext>
          </a:extLst>
        </xdr:cNvPr>
        <xdr:cNvSpPr>
          <a:spLocks noChangeArrowheads="1"/>
        </xdr:cNvSpPr>
      </xdr:nvSpPr>
      <xdr:spPr bwMode="auto">
        <a:xfrm>
          <a:off x="44043600" y="12992100"/>
          <a:ext cx="228600" cy="285750"/>
        </a:xfrm>
        <a:prstGeom prst="rightArrow">
          <a:avLst>
            <a:gd name="adj1" fmla="val 50000"/>
            <a:gd name="adj2" fmla="val 25000"/>
          </a:avLst>
        </a:prstGeom>
        <a:solidFill>
          <a:srgbClr val="FFFFFF">
            <a:alpha val="50195"/>
          </a:srgbClr>
        </a:solidFill>
        <a:ln w="9525">
          <a:solidFill>
            <a:srgbClr val="000000"/>
          </a:solidFill>
          <a:miter lim="800000"/>
          <a:headEnd/>
          <a:tailEnd/>
        </a:ln>
      </xdr:spPr>
    </xdr:sp>
    <xdr:clientData/>
  </xdr:twoCellAnchor>
  <xdr:twoCellAnchor>
    <xdr:from>
      <xdr:col>90</xdr:col>
      <xdr:colOff>990600</xdr:colOff>
      <xdr:row>74</xdr:row>
      <xdr:rowOff>152400</xdr:rowOff>
    </xdr:from>
    <xdr:to>
      <xdr:col>90</xdr:col>
      <xdr:colOff>1219200</xdr:colOff>
      <xdr:row>76</xdr:row>
      <xdr:rowOff>95250</xdr:rowOff>
    </xdr:to>
    <xdr:sp macro="" textlink="">
      <xdr:nvSpPr>
        <xdr:cNvPr id="36488" name="AutoShape 224">
          <a:extLst>
            <a:ext uri="{FF2B5EF4-FFF2-40B4-BE49-F238E27FC236}">
              <a16:creationId xmlns:a16="http://schemas.microsoft.com/office/drawing/2014/main" id="{00000000-0008-0000-0100-0000888E0000}"/>
            </a:ext>
          </a:extLst>
        </xdr:cNvPr>
        <xdr:cNvSpPr>
          <a:spLocks noChangeArrowheads="1"/>
        </xdr:cNvSpPr>
      </xdr:nvSpPr>
      <xdr:spPr bwMode="auto">
        <a:xfrm>
          <a:off x="44043600" y="14039850"/>
          <a:ext cx="228600" cy="285750"/>
        </a:xfrm>
        <a:prstGeom prst="rightArrow">
          <a:avLst>
            <a:gd name="adj1" fmla="val 50000"/>
            <a:gd name="adj2" fmla="val 25000"/>
          </a:avLst>
        </a:prstGeom>
        <a:solidFill>
          <a:srgbClr val="FFFFFF">
            <a:alpha val="50195"/>
          </a:srgbClr>
        </a:solidFill>
        <a:ln w="9525">
          <a:solidFill>
            <a:srgbClr val="000000"/>
          </a:solidFill>
          <a:miter lim="800000"/>
          <a:headEnd/>
          <a:tailEnd/>
        </a:ln>
      </xdr:spPr>
    </xdr:sp>
    <xdr:clientData/>
  </xdr:twoCellAnchor>
  <xdr:twoCellAnchor>
    <xdr:from>
      <xdr:col>89</xdr:col>
      <xdr:colOff>1028700</xdr:colOff>
      <xdr:row>74</xdr:row>
      <xdr:rowOff>152400</xdr:rowOff>
    </xdr:from>
    <xdr:to>
      <xdr:col>89</xdr:col>
      <xdr:colOff>1257300</xdr:colOff>
      <xdr:row>76</xdr:row>
      <xdr:rowOff>95250</xdr:rowOff>
    </xdr:to>
    <xdr:sp macro="" textlink="">
      <xdr:nvSpPr>
        <xdr:cNvPr id="36489" name="AutoShape 225">
          <a:extLst>
            <a:ext uri="{FF2B5EF4-FFF2-40B4-BE49-F238E27FC236}">
              <a16:creationId xmlns:a16="http://schemas.microsoft.com/office/drawing/2014/main" id="{00000000-0008-0000-0100-0000898E0000}"/>
            </a:ext>
          </a:extLst>
        </xdr:cNvPr>
        <xdr:cNvSpPr>
          <a:spLocks noChangeArrowheads="1"/>
        </xdr:cNvSpPr>
      </xdr:nvSpPr>
      <xdr:spPr bwMode="auto">
        <a:xfrm>
          <a:off x="42852975" y="14039850"/>
          <a:ext cx="200025" cy="285750"/>
        </a:xfrm>
        <a:prstGeom prst="rightArrow">
          <a:avLst>
            <a:gd name="adj1" fmla="val 50000"/>
            <a:gd name="adj2" fmla="val 25000"/>
          </a:avLst>
        </a:prstGeom>
        <a:solidFill>
          <a:srgbClr val="FFFFCC">
            <a:alpha val="50195"/>
          </a:srgbClr>
        </a:solidFill>
        <a:ln w="9525">
          <a:solidFill>
            <a:srgbClr val="000000"/>
          </a:solidFill>
          <a:miter lim="800000"/>
          <a:headEnd/>
          <a:tailEnd/>
        </a:ln>
      </xdr:spPr>
    </xdr:sp>
    <xdr:clientData/>
  </xdr:twoCellAnchor>
  <xdr:twoCellAnchor>
    <xdr:from>
      <xdr:col>89</xdr:col>
      <xdr:colOff>847725</xdr:colOff>
      <xdr:row>68</xdr:row>
      <xdr:rowOff>0</xdr:rowOff>
    </xdr:from>
    <xdr:to>
      <xdr:col>89</xdr:col>
      <xdr:colOff>971550</xdr:colOff>
      <xdr:row>71</xdr:row>
      <xdr:rowOff>19050</xdr:rowOff>
    </xdr:to>
    <xdr:sp macro="" textlink="">
      <xdr:nvSpPr>
        <xdr:cNvPr id="36490" name="Freeform 226">
          <a:extLst>
            <a:ext uri="{FF2B5EF4-FFF2-40B4-BE49-F238E27FC236}">
              <a16:creationId xmlns:a16="http://schemas.microsoft.com/office/drawing/2014/main" id="{00000000-0008-0000-0100-00008A8E0000}"/>
            </a:ext>
          </a:extLst>
        </xdr:cNvPr>
        <xdr:cNvSpPr>
          <a:spLocks/>
        </xdr:cNvSpPr>
      </xdr:nvSpPr>
      <xdr:spPr bwMode="auto">
        <a:xfrm rot="-5400000">
          <a:off x="42467213" y="13063537"/>
          <a:ext cx="533400" cy="123825"/>
        </a:xfrm>
        <a:custGeom>
          <a:avLst/>
          <a:gdLst>
            <a:gd name="T0" fmla="*/ 0 w 56"/>
            <a:gd name="T1" fmla="*/ 2147483646 h 13"/>
            <a:gd name="T2" fmla="*/ 2147483646 w 56"/>
            <a:gd name="T3" fmla="*/ 0 h 13"/>
            <a:gd name="T4" fmla="*/ 2147483646 w 56"/>
            <a:gd name="T5" fmla="*/ 0 h 13"/>
            <a:gd name="T6" fmla="*/ 2147483646 w 56"/>
            <a:gd name="T7" fmla="*/ 2147483646 h 13"/>
            <a:gd name="T8" fmla="*/ 0 60000 65536"/>
            <a:gd name="T9" fmla="*/ 0 60000 65536"/>
            <a:gd name="T10" fmla="*/ 0 60000 65536"/>
            <a:gd name="T11" fmla="*/ 0 60000 65536"/>
            <a:gd name="T12" fmla="*/ 0 w 56"/>
            <a:gd name="T13" fmla="*/ 0 h 13"/>
            <a:gd name="T14" fmla="*/ 56 w 56"/>
            <a:gd name="T15" fmla="*/ 13 h 13"/>
          </a:gdLst>
          <a:ahLst/>
          <a:cxnLst>
            <a:cxn ang="T8">
              <a:pos x="T0" y="T1"/>
            </a:cxn>
            <a:cxn ang="T9">
              <a:pos x="T2" y="T3"/>
            </a:cxn>
            <a:cxn ang="T10">
              <a:pos x="T4" y="T5"/>
            </a:cxn>
            <a:cxn ang="T11">
              <a:pos x="T6" y="T7"/>
            </a:cxn>
          </a:cxnLst>
          <a:rect l="T12" t="T13" r="T14" b="T15"/>
          <a:pathLst>
            <a:path w="56" h="13">
              <a:moveTo>
                <a:pt x="0" y="13"/>
              </a:moveTo>
              <a:lnTo>
                <a:pt x="8" y="0"/>
              </a:lnTo>
              <a:lnTo>
                <a:pt x="49" y="0"/>
              </a:lnTo>
              <a:lnTo>
                <a:pt x="56" y="12"/>
              </a:lnTo>
            </a:path>
          </a:pathLst>
        </a:custGeom>
        <a:solidFill>
          <a:srgbClr val="FFFFCC"/>
        </a:solidFill>
        <a:ln w="9525">
          <a:solidFill>
            <a:srgbClr val="000000"/>
          </a:solidFill>
          <a:round/>
          <a:headEnd/>
          <a:tailEnd/>
        </a:ln>
      </xdr:spPr>
    </xdr:sp>
    <xdr:clientData/>
  </xdr:twoCellAnchor>
  <xdr:twoCellAnchor>
    <xdr:from>
      <xdr:col>49</xdr:col>
      <xdr:colOff>1</xdr:colOff>
      <xdr:row>4</xdr:row>
      <xdr:rowOff>22412</xdr:rowOff>
    </xdr:from>
    <xdr:to>
      <xdr:col>53</xdr:col>
      <xdr:colOff>11207</xdr:colOff>
      <xdr:row>108</xdr:row>
      <xdr:rowOff>44822</xdr:rowOff>
    </xdr:to>
    <xdr:sp macro="" textlink="">
      <xdr:nvSpPr>
        <xdr:cNvPr id="18" name="テキスト ボックス 17">
          <a:extLst>
            <a:ext uri="{FF2B5EF4-FFF2-40B4-BE49-F238E27FC236}">
              <a16:creationId xmlns:a16="http://schemas.microsoft.com/office/drawing/2014/main" id="{00000000-0008-0000-0100-000012000000}"/>
            </a:ext>
          </a:extLst>
        </xdr:cNvPr>
        <xdr:cNvSpPr txBox="1"/>
      </xdr:nvSpPr>
      <xdr:spPr>
        <a:xfrm>
          <a:off x="23128942" y="1994647"/>
          <a:ext cx="2610971" cy="200473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a:p>
        <a:p>
          <a:r>
            <a:rPr kumimoji="1" lang="en-US" altLang="ja-JP" sz="1100"/>
            <a:t>TBD</a:t>
          </a:r>
        </a:p>
        <a:p>
          <a:endParaRPr kumimoji="1" lang="en-US" altLang="ja-JP" sz="1100"/>
        </a:p>
        <a:p>
          <a:r>
            <a:rPr kumimoji="1" lang="ja-JP" altLang="en-US" sz="1100"/>
            <a:t>性能仕様書確定待ち</a:t>
          </a:r>
          <a:endParaRPr kumimoji="1" lang="en-US" altLang="ja-JP" sz="1100"/>
        </a:p>
      </xdr:txBody>
    </xdr:sp>
    <xdr:clientData/>
  </xdr:twoCellAnchor>
  <xdr:twoCellAnchor>
    <xdr:from>
      <xdr:col>63</xdr:col>
      <xdr:colOff>638735</xdr:colOff>
      <xdr:row>4</xdr:row>
      <xdr:rowOff>11207</xdr:rowOff>
    </xdr:from>
    <xdr:to>
      <xdr:col>67</xdr:col>
      <xdr:colOff>627529</xdr:colOff>
      <xdr:row>108</xdr:row>
      <xdr:rowOff>33617</xdr:rowOff>
    </xdr:to>
    <xdr:sp macro="" textlink="">
      <xdr:nvSpPr>
        <xdr:cNvPr id="19" name="テキスト ボックス 18">
          <a:extLst>
            <a:ext uri="{FF2B5EF4-FFF2-40B4-BE49-F238E27FC236}">
              <a16:creationId xmlns:a16="http://schemas.microsoft.com/office/drawing/2014/main" id="{00000000-0008-0000-0100-000013000000}"/>
            </a:ext>
          </a:extLst>
        </xdr:cNvPr>
        <xdr:cNvSpPr txBox="1"/>
      </xdr:nvSpPr>
      <xdr:spPr>
        <a:xfrm>
          <a:off x="30917029" y="1983442"/>
          <a:ext cx="1938618" cy="200473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a:p>
        <a:p>
          <a:r>
            <a:rPr kumimoji="1" lang="en-US" altLang="ja-JP" sz="1100"/>
            <a:t>TBD</a:t>
          </a:r>
        </a:p>
        <a:p>
          <a:endParaRPr kumimoji="1" lang="en-US" altLang="ja-JP" sz="1100"/>
        </a:p>
        <a:p>
          <a:r>
            <a:rPr kumimoji="1" lang="ja-JP" altLang="en-US" sz="1100"/>
            <a:t>性能仕様書確定待ち</a:t>
          </a:r>
          <a:endParaRPr kumimoji="1" lang="en-US" altLang="ja-JP" sz="1100"/>
        </a:p>
      </xdr:txBody>
    </xdr:sp>
    <xdr:clientData/>
  </xdr:twoCellAnchor>
  <xdr:twoCellAnchor>
    <xdr:from>
      <xdr:col>57</xdr:col>
      <xdr:colOff>11207</xdr:colOff>
      <xdr:row>4</xdr:row>
      <xdr:rowOff>11206</xdr:rowOff>
    </xdr:from>
    <xdr:to>
      <xdr:col>58</xdr:col>
      <xdr:colOff>0</xdr:colOff>
      <xdr:row>108</xdr:row>
      <xdr:rowOff>33616</xdr:rowOff>
    </xdr:to>
    <xdr:sp macro="" textlink="">
      <xdr:nvSpPr>
        <xdr:cNvPr id="20" name="テキスト ボックス 19">
          <a:extLst>
            <a:ext uri="{FF2B5EF4-FFF2-40B4-BE49-F238E27FC236}">
              <a16:creationId xmlns:a16="http://schemas.microsoft.com/office/drawing/2014/main" id="{00000000-0008-0000-0100-000014000000}"/>
            </a:ext>
          </a:extLst>
        </xdr:cNvPr>
        <xdr:cNvSpPr txBox="1"/>
      </xdr:nvSpPr>
      <xdr:spPr>
        <a:xfrm>
          <a:off x="27689736" y="1983441"/>
          <a:ext cx="638735" cy="200473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a:p>
        <a:p>
          <a:r>
            <a:rPr kumimoji="1" lang="en-US" altLang="ja-JP" sz="1100"/>
            <a:t>TBD</a:t>
          </a:r>
        </a:p>
        <a:p>
          <a:endParaRPr kumimoji="1" lang="en-US" altLang="ja-JP" sz="1100"/>
        </a:p>
        <a:p>
          <a:r>
            <a:rPr kumimoji="1" lang="ja-JP" altLang="en-US" sz="1100"/>
            <a:t>性能仕様書確定待ち</a:t>
          </a:r>
          <a:endParaRPr kumimoji="1" lang="en-US" altLang="ja-JP" sz="1100"/>
        </a:p>
      </xdr:txBody>
    </xdr:sp>
    <xdr:clientData/>
  </xdr:twoCellAnchor>
  <xdr:twoCellAnchor>
    <xdr:from>
      <xdr:col>74</xdr:col>
      <xdr:colOff>638734</xdr:colOff>
      <xdr:row>4</xdr:row>
      <xdr:rowOff>11206</xdr:rowOff>
    </xdr:from>
    <xdr:to>
      <xdr:col>80</xdr:col>
      <xdr:colOff>11205</xdr:colOff>
      <xdr:row>108</xdr:row>
      <xdr:rowOff>33616</xdr:rowOff>
    </xdr:to>
    <xdr:sp macro="" textlink="">
      <xdr:nvSpPr>
        <xdr:cNvPr id="21" name="テキスト ボックス 20">
          <a:extLst>
            <a:ext uri="{FF2B5EF4-FFF2-40B4-BE49-F238E27FC236}">
              <a16:creationId xmlns:a16="http://schemas.microsoft.com/office/drawing/2014/main" id="{00000000-0008-0000-0100-000015000000}"/>
            </a:ext>
          </a:extLst>
        </xdr:cNvPr>
        <xdr:cNvSpPr txBox="1"/>
      </xdr:nvSpPr>
      <xdr:spPr>
        <a:xfrm>
          <a:off x="34816675" y="1983441"/>
          <a:ext cx="2622177" cy="200473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a:p>
        <a:p>
          <a:r>
            <a:rPr kumimoji="1" lang="en-US" altLang="ja-JP" sz="1100"/>
            <a:t>TBD</a:t>
          </a:r>
        </a:p>
        <a:p>
          <a:endParaRPr kumimoji="1" lang="en-US" altLang="ja-JP" sz="1100"/>
        </a:p>
        <a:p>
          <a:r>
            <a:rPr kumimoji="1" lang="ja-JP" altLang="en-US" sz="1100"/>
            <a:t>性能仕様書確定待ち</a:t>
          </a:r>
          <a:endParaRPr kumimoji="1" lang="en-US" altLang="ja-JP"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22</xdr:col>
      <xdr:colOff>649940</xdr:colOff>
      <xdr:row>4</xdr:row>
      <xdr:rowOff>1</xdr:rowOff>
    </xdr:from>
    <xdr:to>
      <xdr:col>27</xdr:col>
      <xdr:colOff>11206</xdr:colOff>
      <xdr:row>123</xdr:row>
      <xdr:rowOff>156882</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219764" y="2196354"/>
          <a:ext cx="2610971" cy="200473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a:p>
        <a:p>
          <a:r>
            <a:rPr kumimoji="1" lang="en-US" altLang="ja-JP" sz="1100"/>
            <a:t>TBD</a:t>
          </a:r>
        </a:p>
        <a:p>
          <a:endParaRPr kumimoji="1" lang="en-US" altLang="ja-JP" sz="1100"/>
        </a:p>
        <a:p>
          <a:r>
            <a:rPr kumimoji="1" lang="ja-JP" altLang="en-US" sz="1100"/>
            <a:t>性能仕様書確定待ち</a:t>
          </a:r>
          <a:endParaRPr kumimoji="1" lang="en-US" altLang="ja-JP" sz="1100"/>
        </a:p>
      </xdr:txBody>
    </xdr:sp>
    <xdr:clientData/>
  </xdr:twoCellAnchor>
  <xdr:twoCellAnchor>
    <xdr:from>
      <xdr:col>30</xdr:col>
      <xdr:colOff>638737</xdr:colOff>
      <xdr:row>4</xdr:row>
      <xdr:rowOff>22412</xdr:rowOff>
    </xdr:from>
    <xdr:to>
      <xdr:col>32</xdr:col>
      <xdr:colOff>22413</xdr:colOff>
      <xdr:row>124</xdr:row>
      <xdr:rowOff>11205</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14758149" y="2218765"/>
          <a:ext cx="683558" cy="200473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a:p>
        <a:p>
          <a:r>
            <a:rPr kumimoji="1" lang="en-US" altLang="ja-JP" sz="1100"/>
            <a:t>TBD</a:t>
          </a:r>
        </a:p>
        <a:p>
          <a:endParaRPr kumimoji="1" lang="en-US" altLang="ja-JP" sz="1100"/>
        </a:p>
        <a:p>
          <a:r>
            <a:rPr kumimoji="1" lang="ja-JP" altLang="en-US" sz="1100"/>
            <a:t>性能仕様書確定待ち</a:t>
          </a:r>
          <a:endParaRPr kumimoji="1" lang="en-US" altLang="ja-JP" sz="1100"/>
        </a:p>
      </xdr:txBody>
    </xdr:sp>
    <xdr:clientData/>
  </xdr:twoCellAnchor>
  <xdr:twoCellAnchor>
    <xdr:from>
      <xdr:col>37</xdr:col>
      <xdr:colOff>649940</xdr:colOff>
      <xdr:row>4</xdr:row>
      <xdr:rowOff>11206</xdr:rowOff>
    </xdr:from>
    <xdr:to>
      <xdr:col>40</xdr:col>
      <xdr:colOff>649940</xdr:colOff>
      <xdr:row>123</xdr:row>
      <xdr:rowOff>168087</xdr:rowOff>
    </xdr:to>
    <xdr:sp macro="" textlink="">
      <xdr:nvSpPr>
        <xdr:cNvPr id="4" name="テキスト ボックス 3">
          <a:extLst>
            <a:ext uri="{FF2B5EF4-FFF2-40B4-BE49-F238E27FC236}">
              <a16:creationId xmlns:a16="http://schemas.microsoft.com/office/drawing/2014/main" id="{00000000-0008-0000-0200-000004000000}"/>
            </a:ext>
          </a:extLst>
        </xdr:cNvPr>
        <xdr:cNvSpPr txBox="1"/>
      </xdr:nvSpPr>
      <xdr:spPr>
        <a:xfrm>
          <a:off x="18019058" y="2207559"/>
          <a:ext cx="1949823" cy="200473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a:p>
        <a:p>
          <a:r>
            <a:rPr kumimoji="1" lang="en-US" altLang="ja-JP" sz="1100"/>
            <a:t>TBD</a:t>
          </a:r>
        </a:p>
        <a:p>
          <a:endParaRPr kumimoji="1" lang="en-US" altLang="ja-JP" sz="1100"/>
        </a:p>
        <a:p>
          <a:r>
            <a:rPr kumimoji="1" lang="ja-JP" altLang="en-US" sz="1100"/>
            <a:t>性能仕様書確定待ち</a:t>
          </a:r>
          <a:endParaRPr kumimoji="1" lang="en-US" altLang="ja-JP" sz="1100"/>
        </a:p>
      </xdr:txBody>
    </xdr:sp>
    <xdr:clientData/>
  </xdr:twoCellAnchor>
  <xdr:twoCellAnchor>
    <xdr:from>
      <xdr:col>43</xdr:col>
      <xdr:colOff>11205</xdr:colOff>
      <xdr:row>4</xdr:row>
      <xdr:rowOff>11206</xdr:rowOff>
    </xdr:from>
    <xdr:to>
      <xdr:col>45</xdr:col>
      <xdr:colOff>44822</xdr:colOff>
      <xdr:row>123</xdr:row>
      <xdr:rowOff>168087</xdr:rowOff>
    </xdr:to>
    <xdr:sp macro="" textlink="">
      <xdr:nvSpPr>
        <xdr:cNvPr id="5" name="テキスト ボックス 4">
          <a:extLst>
            <a:ext uri="{FF2B5EF4-FFF2-40B4-BE49-F238E27FC236}">
              <a16:creationId xmlns:a16="http://schemas.microsoft.com/office/drawing/2014/main" id="{00000000-0008-0000-0200-000005000000}"/>
            </a:ext>
          </a:extLst>
        </xdr:cNvPr>
        <xdr:cNvSpPr txBox="1"/>
      </xdr:nvSpPr>
      <xdr:spPr>
        <a:xfrm>
          <a:off x="20630029" y="2207559"/>
          <a:ext cx="683558" cy="200473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a:p>
        <a:p>
          <a:r>
            <a:rPr kumimoji="1" lang="en-US" altLang="ja-JP" sz="1100"/>
            <a:t>TBD</a:t>
          </a:r>
        </a:p>
        <a:p>
          <a:endParaRPr kumimoji="1" lang="en-US" altLang="ja-JP" sz="1100"/>
        </a:p>
        <a:p>
          <a:r>
            <a:rPr kumimoji="1" lang="ja-JP" altLang="en-US" sz="1100"/>
            <a:t>性能仕様書確定待ち</a:t>
          </a:r>
          <a:endParaRPr kumimoji="1" lang="en-US" altLang="ja-JP" sz="1100"/>
        </a:p>
      </xdr:txBody>
    </xdr:sp>
    <xdr:clientData/>
  </xdr:twoCellAnchor>
  <xdr:twoCellAnchor>
    <xdr:from>
      <xdr:col>45</xdr:col>
      <xdr:colOff>638735</xdr:colOff>
      <xdr:row>3</xdr:row>
      <xdr:rowOff>179293</xdr:rowOff>
    </xdr:from>
    <xdr:to>
      <xdr:col>48</xdr:col>
      <xdr:colOff>627530</xdr:colOff>
      <xdr:row>123</xdr:row>
      <xdr:rowOff>156880</xdr:rowOff>
    </xdr:to>
    <xdr:sp macro="" textlink="">
      <xdr:nvSpPr>
        <xdr:cNvPr id="6" name="テキスト ボックス 5">
          <a:extLst>
            <a:ext uri="{FF2B5EF4-FFF2-40B4-BE49-F238E27FC236}">
              <a16:creationId xmlns:a16="http://schemas.microsoft.com/office/drawing/2014/main" id="{00000000-0008-0000-0200-000006000000}"/>
            </a:ext>
          </a:extLst>
        </xdr:cNvPr>
        <xdr:cNvSpPr txBox="1"/>
      </xdr:nvSpPr>
      <xdr:spPr>
        <a:xfrm>
          <a:off x="21907500" y="2196352"/>
          <a:ext cx="1938618" cy="200473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a:p>
        <a:p>
          <a:r>
            <a:rPr kumimoji="1" lang="en-US" altLang="ja-JP" sz="1100"/>
            <a:t>TBD</a:t>
          </a:r>
        </a:p>
        <a:p>
          <a:endParaRPr kumimoji="1" lang="en-US" altLang="ja-JP" sz="1100"/>
        </a:p>
        <a:p>
          <a:r>
            <a:rPr kumimoji="1" lang="ja-JP" altLang="en-US" sz="1100"/>
            <a:t>性能仕様書確定待ち</a:t>
          </a:r>
          <a:endParaRPr kumimoji="1" lang="en-US" altLang="ja-JP" sz="1100"/>
        </a:p>
      </xdr:txBody>
    </xdr:sp>
    <xdr:clientData/>
  </xdr:twoCellAnchor>
  <xdr:twoCellAnchor>
    <xdr:from>
      <xdr:col>54</xdr:col>
      <xdr:colOff>705970</xdr:colOff>
      <xdr:row>4</xdr:row>
      <xdr:rowOff>11206</xdr:rowOff>
    </xdr:from>
    <xdr:to>
      <xdr:col>57</xdr:col>
      <xdr:colOff>694764</xdr:colOff>
      <xdr:row>123</xdr:row>
      <xdr:rowOff>168087</xdr:rowOff>
    </xdr:to>
    <xdr:sp macro="" textlink="">
      <xdr:nvSpPr>
        <xdr:cNvPr id="7" name="テキスト ボックス 6">
          <a:extLst>
            <a:ext uri="{FF2B5EF4-FFF2-40B4-BE49-F238E27FC236}">
              <a16:creationId xmlns:a16="http://schemas.microsoft.com/office/drawing/2014/main" id="{00000000-0008-0000-0200-000007000000}"/>
            </a:ext>
          </a:extLst>
        </xdr:cNvPr>
        <xdr:cNvSpPr txBox="1"/>
      </xdr:nvSpPr>
      <xdr:spPr>
        <a:xfrm>
          <a:off x="26008852" y="2207559"/>
          <a:ext cx="2140324" cy="200473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a:p>
        <a:p>
          <a:r>
            <a:rPr kumimoji="1" lang="en-US" altLang="ja-JP" sz="1100"/>
            <a:t>TBD</a:t>
          </a:r>
        </a:p>
        <a:p>
          <a:endParaRPr kumimoji="1" lang="en-US" altLang="ja-JP" sz="1100"/>
        </a:p>
        <a:p>
          <a:r>
            <a:rPr kumimoji="1" lang="ja-JP" altLang="en-US" sz="1100"/>
            <a:t>性能仕様書確定待ち</a:t>
          </a:r>
          <a:endParaRPr kumimoji="1" lang="en-US" altLang="ja-JP"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3:B60"/>
  <sheetViews>
    <sheetView showGridLines="0" showRowColHeaders="0" zoomScale="85" zoomScaleNormal="85" workbookViewId="0">
      <selection activeCell="B50" sqref="B50"/>
    </sheetView>
  </sheetViews>
  <sheetFormatPr defaultColWidth="9.140625" defaultRowHeight="13.5"/>
  <cols>
    <col min="1" max="1" width="5.85546875" style="143" customWidth="1"/>
    <col min="2" max="2" width="87.5703125" style="143" customWidth="1"/>
    <col min="3" max="3" width="5.85546875" style="143" customWidth="1"/>
    <col min="4" max="9" width="9.140625" style="143"/>
    <col min="10" max="10" width="9.85546875" style="143" customWidth="1"/>
    <col min="11" max="16384" width="9.140625" style="143"/>
  </cols>
  <sheetData>
    <row r="3" spans="1:2" ht="25.5">
      <c r="A3" s="142"/>
      <c r="B3" s="887" t="s">
        <v>1068</v>
      </c>
    </row>
    <row r="4" spans="1:2" ht="23.25">
      <c r="A4" s="144"/>
      <c r="B4" s="145" t="s">
        <v>62</v>
      </c>
    </row>
    <row r="19" spans="1:2">
      <c r="B19" s="345"/>
    </row>
    <row r="20" spans="1:2">
      <c r="B20" s="345"/>
    </row>
    <row r="21" spans="1:2">
      <c r="B21" s="358"/>
    </row>
    <row r="22" spans="1:2">
      <c r="B22" s="358"/>
    </row>
    <row r="23" spans="1:2">
      <c r="B23" s="457"/>
    </row>
    <row r="24" spans="1:2">
      <c r="B24" s="914" t="s">
        <v>1047</v>
      </c>
    </row>
    <row r="25" spans="1:2" s="146" customFormat="1">
      <c r="A25" s="143"/>
      <c r="B25" s="143"/>
    </row>
    <row r="26" spans="1:2" s="146" customFormat="1">
      <c r="A26" s="143"/>
      <c r="B26" s="147" t="s">
        <v>191</v>
      </c>
    </row>
    <row r="27" spans="1:2" s="146" customFormat="1">
      <c r="B27" s="148" t="s">
        <v>192</v>
      </c>
    </row>
    <row r="28" spans="1:2" s="146" customFormat="1"/>
    <row r="29" spans="1:2" s="146" customFormat="1">
      <c r="B29" s="147" t="s">
        <v>193</v>
      </c>
    </row>
    <row r="30" spans="1:2" s="146" customFormat="1">
      <c r="B30" s="148" t="s">
        <v>194</v>
      </c>
    </row>
    <row r="31" spans="1:2" s="146" customFormat="1">
      <c r="B31" s="148" t="s">
        <v>195</v>
      </c>
    </row>
    <row r="32" spans="1:2" s="146" customFormat="1">
      <c r="B32" s="148" t="s">
        <v>196</v>
      </c>
    </row>
    <row r="33" spans="2:2" s="146" customFormat="1" ht="25.5">
      <c r="B33" s="148" t="s">
        <v>197</v>
      </c>
    </row>
    <row r="34" spans="2:2" s="146" customFormat="1"/>
    <row r="35" spans="2:2" s="146" customFormat="1">
      <c r="B35" s="147" t="s">
        <v>198</v>
      </c>
    </row>
    <row r="36" spans="2:2" s="146" customFormat="1">
      <c r="B36" s="149" t="s">
        <v>23</v>
      </c>
    </row>
    <row r="37" spans="2:2" s="146" customFormat="1">
      <c r="B37" s="148" t="s">
        <v>199</v>
      </c>
    </row>
    <row r="38" spans="2:2" s="146" customFormat="1">
      <c r="B38" s="149" t="s">
        <v>20</v>
      </c>
    </row>
    <row r="39" spans="2:2" s="146" customFormat="1">
      <c r="B39" s="148" t="s">
        <v>200</v>
      </c>
    </row>
    <row r="40" spans="2:2" s="146" customFormat="1">
      <c r="B40" s="149" t="s">
        <v>201</v>
      </c>
    </row>
    <row r="41" spans="2:2" s="146" customFormat="1">
      <c r="B41" s="148" t="s">
        <v>202</v>
      </c>
    </row>
    <row r="42" spans="2:2" s="146" customFormat="1">
      <c r="B42" s="149" t="s">
        <v>203</v>
      </c>
    </row>
    <row r="43" spans="2:2" s="146" customFormat="1">
      <c r="B43" s="148" t="s">
        <v>204</v>
      </c>
    </row>
    <row r="44" spans="2:2" s="146" customFormat="1">
      <c r="B44" s="149" t="s">
        <v>205</v>
      </c>
    </row>
    <row r="45" spans="2:2" s="146" customFormat="1">
      <c r="B45" s="148" t="s">
        <v>206</v>
      </c>
    </row>
    <row r="46" spans="2:2" s="146" customFormat="1">
      <c r="B46"/>
    </row>
    <row r="47" spans="2:2" s="146" customFormat="1"/>
    <row r="48" spans="2:2" s="146" customFormat="1"/>
    <row r="49" spans="1:2" s="146" customFormat="1"/>
    <row r="50" spans="1:2" s="146" customFormat="1"/>
    <row r="51" spans="1:2" s="146" customFormat="1"/>
    <row r="52" spans="1:2" s="146" customFormat="1"/>
    <row r="53" spans="1:2" s="146" customFormat="1"/>
    <row r="54" spans="1:2" s="146" customFormat="1"/>
    <row r="55" spans="1:2" s="146" customFormat="1"/>
    <row r="56" spans="1:2" s="146" customFormat="1"/>
    <row r="57" spans="1:2" s="146" customFormat="1"/>
    <row r="58" spans="1:2" s="146" customFormat="1"/>
    <row r="59" spans="1:2">
      <c r="A59" s="146"/>
      <c r="B59" s="146"/>
    </row>
    <row r="60" spans="1:2">
      <c r="A60" s="146"/>
    </row>
  </sheetData>
  <phoneticPr fontId="2"/>
  <hyperlinks>
    <hyperlink ref="B36" location="用紙サイズ!R1C1" display="用紙サイズ" xr:uid="{00000000-0004-0000-0000-000000000000}"/>
    <hyperlink ref="B38" location="用紙種類!R1C1" display="用紙種類" xr:uid="{00000000-0004-0000-0000-000001000000}"/>
    <hyperlink ref="B40" location="画質制御分類!R1C1" display="画質制御分類" xr:uid="{00000000-0004-0000-0000-000002000000}"/>
    <hyperlink ref="B42" location="用紙種類優先順位!R1C1" display="用紙種類優先順位" xr:uid="{00000000-0004-0000-0000-000003000000}"/>
    <hyperlink ref="B44" location="排出先機能!R1C1" display="排出先機能" xr:uid="{00000000-0004-0000-0000-000004000000}"/>
  </hyperlinks>
  <pageMargins left="0.39370078740157483" right="0.39370078740157483" top="0.39370078740157483" bottom="0.39370078740157483" header="0.11811023622047245" footer="7.874015748031496E-2"/>
  <pageSetup paperSize="9" firstPageNumber="0" orientation="portrait" useFirstPageNumber="1" horizontalDpi="300" verticalDpi="300" r:id="rId1"/>
  <headerFooter alignWithMargins="0"/>
  <colBreaks count="1" manualBreakCount="1">
    <brk id="3" max="57" man="1"/>
  </colBreaks>
  <drawing r:id="rId2"/>
  <legacyDrawing r:id="rId3"/>
  <controls>
    <mc:AlternateContent xmlns:mc="http://schemas.openxmlformats.org/markup-compatibility/2006">
      <mc:Choice Requires="x14">
        <control shapeId="1025" r:id="rId4" name="生成">
          <controlPr print="0" autoLine="0" r:id="rId5">
            <anchor moveWithCells="1">
              <from>
                <xdr:col>83</xdr:col>
                <xdr:colOff>180975</xdr:colOff>
                <xdr:row>78</xdr:row>
                <xdr:rowOff>85725</xdr:rowOff>
              </from>
              <to>
                <xdr:col>85</xdr:col>
                <xdr:colOff>285750</xdr:colOff>
                <xdr:row>79</xdr:row>
                <xdr:rowOff>152400</xdr:rowOff>
              </to>
            </anchor>
          </controlPr>
        </control>
      </mc:Choice>
      <mc:Fallback>
        <control shapeId="1025" r:id="rId4" name="生成"/>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X90"/>
  <sheetViews>
    <sheetView showGridLines="0" zoomScale="85" zoomScaleNormal="85" workbookViewId="0">
      <pane xSplit="5" ySplit="4" topLeftCell="F5" activePane="bottomRight" state="frozen"/>
      <selection pane="topRight" activeCell="F1" sqref="F1"/>
      <selection pane="bottomLeft" activeCell="A5" sqref="A5"/>
      <selection pane="bottomRight" activeCell="I4" sqref="I4"/>
    </sheetView>
  </sheetViews>
  <sheetFormatPr defaultColWidth="9.140625" defaultRowHeight="13.5"/>
  <cols>
    <col min="1" max="1" width="3.42578125" style="338" bestFit="1" customWidth="1"/>
    <col min="2" max="2" width="25" style="79" customWidth="1"/>
    <col min="3" max="4" width="9.7109375" style="99" bestFit="1" customWidth="1"/>
    <col min="5" max="5" width="6.5703125" style="524" customWidth="1"/>
    <col min="6" max="11" width="9.7109375" style="128" customWidth="1"/>
    <col min="12" max="18" width="9.7109375" style="78" customWidth="1"/>
    <col min="19" max="20" width="4.5703125" style="942" hidden="1" customWidth="1"/>
    <col min="21" max="21" width="3.42578125" style="942" hidden="1" customWidth="1"/>
    <col min="22" max="22" width="11.42578125" style="949" hidden="1" customWidth="1"/>
    <col min="23" max="25" width="9.7109375" style="525" customWidth="1"/>
    <col min="26" max="28" width="9.7109375" style="960" hidden="1" customWidth="1"/>
    <col min="29" max="38" width="9.7109375" style="128" customWidth="1"/>
    <col min="39" max="41" width="9.7109375" style="840" hidden="1" customWidth="1"/>
    <col min="42" max="47" width="9.7109375" style="128" customWidth="1"/>
    <col min="48" max="48" width="9.7109375" style="840" hidden="1" customWidth="1"/>
    <col min="49" max="55" width="9.7109375" style="128" customWidth="1"/>
    <col min="56" max="56" width="9.7109375" style="128" hidden="1" customWidth="1"/>
    <col min="57" max="59" width="9.7109375" style="128" customWidth="1"/>
    <col min="60" max="61" width="9.7109375" style="128" hidden="1" customWidth="1"/>
    <col min="62" max="66" width="9.7109375" style="128" customWidth="1"/>
    <col min="67" max="67" width="9.7109375" style="128" hidden="1" customWidth="1"/>
    <col min="68" max="68" width="9.7109375" style="128" customWidth="1"/>
    <col min="69" max="72" width="9.7109375" style="128" hidden="1" customWidth="1"/>
    <col min="73" max="75" width="9.7109375" style="128" customWidth="1"/>
    <col min="76" max="76" width="9.7109375" style="128" hidden="1" customWidth="1"/>
    <col min="77" max="80" width="9.7109375" style="128" customWidth="1"/>
    <col min="81" max="81" width="9.7109375" style="128" hidden="1" customWidth="1"/>
    <col min="82" max="85" width="9.7109375" style="128" customWidth="1"/>
    <col min="86" max="86" width="33.7109375" style="78" customWidth="1"/>
    <col min="87" max="87" width="9.140625" style="128"/>
    <col min="88" max="88" width="7.85546875" style="128" customWidth="1"/>
    <col min="89" max="89" width="7.28515625" style="128" customWidth="1"/>
    <col min="90" max="90" width="18.42578125" style="128" customWidth="1"/>
    <col min="91" max="91" width="19.140625" style="128" customWidth="1"/>
    <col min="92" max="94" width="9.140625" style="128"/>
    <col min="95" max="102" width="15.5703125" style="128" customWidth="1"/>
    <col min="103" max="16384" width="9.140625" style="298"/>
  </cols>
  <sheetData>
    <row r="1" spans="1:102" ht="13.5" customHeight="1">
      <c r="A1" s="599"/>
      <c r="B1" s="600"/>
      <c r="C1" s="601"/>
      <c r="D1" s="601"/>
      <c r="E1" s="602" t="s">
        <v>139</v>
      </c>
      <c r="F1" s="1104" t="s">
        <v>14</v>
      </c>
      <c r="G1" s="1105"/>
      <c r="H1" s="1105"/>
      <c r="I1" s="1105"/>
      <c r="J1" s="1105"/>
      <c r="K1" s="1105"/>
      <c r="L1" s="1105"/>
      <c r="M1" s="1105"/>
      <c r="N1" s="1105"/>
      <c r="O1" s="1105"/>
      <c r="P1" s="1105"/>
      <c r="Q1" s="1105"/>
      <c r="R1" s="1105"/>
      <c r="S1" s="1105"/>
      <c r="T1" s="1105"/>
      <c r="U1" s="1105"/>
      <c r="V1" s="1105"/>
      <c r="W1" s="1105"/>
      <c r="X1" s="1105"/>
      <c r="Y1" s="1105"/>
      <c r="Z1" s="1105"/>
      <c r="AA1" s="1105"/>
      <c r="AB1" s="1105"/>
      <c r="AC1" s="1105"/>
      <c r="AD1" s="1105"/>
      <c r="AE1" s="1105"/>
      <c r="AF1" s="1105"/>
      <c r="AG1" s="1105"/>
      <c r="AH1" s="1105"/>
      <c r="AI1" s="1105"/>
      <c r="AJ1" s="1105"/>
      <c r="AK1" s="1105"/>
      <c r="AL1" s="1105"/>
      <c r="AM1" s="1105"/>
      <c r="AN1" s="1105"/>
      <c r="AO1" s="1105"/>
      <c r="AP1" s="1105"/>
      <c r="AQ1" s="1106"/>
      <c r="AR1" s="603" t="s">
        <v>855</v>
      </c>
      <c r="AS1" s="1101" t="s">
        <v>15</v>
      </c>
      <c r="AT1" s="1102"/>
      <c r="AU1" s="1102"/>
      <c r="AV1" s="1102"/>
      <c r="AW1" s="1102"/>
      <c r="AX1" s="1102"/>
      <c r="AY1" s="1102"/>
      <c r="AZ1" s="1102"/>
      <c r="BA1" s="1103"/>
      <c r="BB1" s="1109" t="s">
        <v>856</v>
      </c>
      <c r="BC1" s="1105"/>
      <c r="BD1" s="1105"/>
      <c r="BE1" s="1105"/>
      <c r="BF1" s="1106"/>
      <c r="BG1" s="1060" t="s">
        <v>857</v>
      </c>
      <c r="BH1" s="1061"/>
      <c r="BI1" s="1061"/>
      <c r="BJ1" s="1061"/>
      <c r="BK1" s="1061"/>
      <c r="BL1" s="1061"/>
      <c r="BM1" s="1061"/>
      <c r="BN1" s="1061"/>
      <c r="BO1" s="1061"/>
      <c r="BP1" s="1062"/>
      <c r="BQ1" s="1060" t="s">
        <v>858</v>
      </c>
      <c r="BR1" s="1061"/>
      <c r="BS1" s="1061"/>
      <c r="BT1" s="1061"/>
      <c r="BU1" s="1061"/>
      <c r="BV1" s="1061"/>
      <c r="BW1" s="1061"/>
      <c r="BX1" s="1061"/>
      <c r="BY1" s="1061"/>
      <c r="BZ1" s="1061"/>
      <c r="CA1" s="1061"/>
      <c r="CB1" s="1062"/>
      <c r="CC1" s="1060" t="s">
        <v>230</v>
      </c>
      <c r="CD1" s="1061"/>
      <c r="CE1" s="1061"/>
      <c r="CF1" s="1061"/>
      <c r="CG1" s="1063"/>
      <c r="CH1" s="1036" t="s">
        <v>140</v>
      </c>
      <c r="CI1" s="55"/>
      <c r="CJ1" s="55"/>
      <c r="CM1" s="127"/>
      <c r="CP1" s="260" t="s">
        <v>859</v>
      </c>
      <c r="CQ1" s="293" t="s">
        <v>860</v>
      </c>
      <c r="CR1" s="294" t="str">
        <f>CQ1</f>
        <v>トレイ1</v>
      </c>
      <c r="CS1" s="294" t="str">
        <f>CQ1</f>
        <v>トレイ1</v>
      </c>
      <c r="CT1" s="295" t="str">
        <f>CQ1</f>
        <v>トレイ1</v>
      </c>
      <c r="CU1" s="293" t="s">
        <v>860</v>
      </c>
      <c r="CV1" s="294" t="str">
        <f>CU1</f>
        <v>トレイ1</v>
      </c>
      <c r="CW1" s="294" t="str">
        <f>CU1</f>
        <v>トレイ1</v>
      </c>
      <c r="CX1" s="295" t="str">
        <f>CU1</f>
        <v>トレイ1</v>
      </c>
    </row>
    <row r="2" spans="1:102" s="517" customFormat="1" ht="55.5" customHeight="1">
      <c r="A2" s="604"/>
      <c r="B2" s="617" t="s">
        <v>152</v>
      </c>
      <c r="C2" s="605"/>
      <c r="D2" s="605"/>
      <c r="E2" s="606"/>
      <c r="F2" s="1115" t="s">
        <v>1124</v>
      </c>
      <c r="G2" s="1073"/>
      <c r="H2" s="1073"/>
      <c r="I2" s="1072" t="s">
        <v>1123</v>
      </c>
      <c r="J2" s="1073"/>
      <c r="K2" s="1074"/>
      <c r="L2" s="1080" t="s">
        <v>988</v>
      </c>
      <c r="M2" s="1081"/>
      <c r="N2" s="1081"/>
      <c r="O2" s="1081"/>
      <c r="P2" s="1082"/>
      <c r="Q2" s="1080" t="s">
        <v>989</v>
      </c>
      <c r="R2" s="1081"/>
      <c r="S2" s="1083" t="s">
        <v>884</v>
      </c>
      <c r="T2" s="1084"/>
      <c r="U2" s="1085"/>
      <c r="V2" s="941" t="s">
        <v>885</v>
      </c>
      <c r="W2" s="1080" t="s">
        <v>886</v>
      </c>
      <c r="X2" s="1081"/>
      <c r="Y2" s="1082"/>
      <c r="Z2" s="1083" t="s">
        <v>887</v>
      </c>
      <c r="AA2" s="1084"/>
      <c r="AB2" s="1085"/>
      <c r="AC2" s="1080" t="s">
        <v>888</v>
      </c>
      <c r="AD2" s="1081"/>
      <c r="AE2" s="1082"/>
      <c r="AF2" s="1080" t="s">
        <v>889</v>
      </c>
      <c r="AG2" s="1082"/>
      <c r="AH2" s="607" t="s">
        <v>63</v>
      </c>
      <c r="AI2" s="607" t="s">
        <v>948</v>
      </c>
      <c r="AJ2" s="1080" t="s">
        <v>585</v>
      </c>
      <c r="AK2" s="1081"/>
      <c r="AL2" s="1082"/>
      <c r="AM2" s="1083" t="s">
        <v>532</v>
      </c>
      <c r="AN2" s="1084"/>
      <c r="AO2" s="1085"/>
      <c r="AP2" s="1072" t="s">
        <v>1076</v>
      </c>
      <c r="AQ2" s="1074"/>
      <c r="AR2" s="587"/>
      <c r="AS2" s="607" t="s">
        <v>890</v>
      </c>
      <c r="AT2" s="607" t="s">
        <v>149</v>
      </c>
      <c r="AU2" s="587" t="s">
        <v>891</v>
      </c>
      <c r="AV2" s="940" t="s">
        <v>892</v>
      </c>
      <c r="AW2" s="587" t="s">
        <v>992</v>
      </c>
      <c r="AX2" s="1045" t="s">
        <v>1078</v>
      </c>
      <c r="AY2" s="1046"/>
      <c r="AZ2" s="1046"/>
      <c r="BA2" s="1047"/>
      <c r="BB2" s="607" t="s">
        <v>893</v>
      </c>
      <c r="BC2" s="587" t="s">
        <v>894</v>
      </c>
      <c r="BD2" s="893" t="s">
        <v>895</v>
      </c>
      <c r="BE2" s="587" t="s">
        <v>1036</v>
      </c>
      <c r="BF2" s="992" t="s">
        <v>1084</v>
      </c>
      <c r="BG2" s="587" t="s">
        <v>894</v>
      </c>
      <c r="BH2" s="1107" t="s">
        <v>896</v>
      </c>
      <c r="BI2" s="1108"/>
      <c r="BJ2" s="1067" t="s">
        <v>996</v>
      </c>
      <c r="BK2" s="1068"/>
      <c r="BL2" s="1069"/>
      <c r="BM2" s="1045" t="s">
        <v>1085</v>
      </c>
      <c r="BN2" s="1046"/>
      <c r="BO2" s="1047"/>
      <c r="BP2" s="992" t="s">
        <v>1090</v>
      </c>
      <c r="BQ2" s="1064" t="s">
        <v>896</v>
      </c>
      <c r="BR2" s="1065"/>
      <c r="BS2" s="1065"/>
      <c r="BT2" s="1066"/>
      <c r="BU2" s="1067" t="s">
        <v>996</v>
      </c>
      <c r="BV2" s="1068"/>
      <c r="BW2" s="1068"/>
      <c r="BX2" s="1069"/>
      <c r="BY2" s="1045" t="s">
        <v>1112</v>
      </c>
      <c r="BZ2" s="1046"/>
      <c r="CA2" s="1046"/>
      <c r="CB2" s="1047"/>
      <c r="CC2" s="897" t="s">
        <v>895</v>
      </c>
      <c r="CD2" s="390" t="s">
        <v>994</v>
      </c>
      <c r="CE2" s="992" t="s">
        <v>1090</v>
      </c>
      <c r="CF2" s="995" t="s">
        <v>1092</v>
      </c>
      <c r="CG2" s="996" t="s">
        <v>1095</v>
      </c>
      <c r="CH2" s="1037"/>
      <c r="CI2" s="78"/>
      <c r="CJ2" s="78"/>
      <c r="CK2" s="78"/>
      <c r="CL2" s="78"/>
      <c r="CM2" s="320"/>
      <c r="CN2" s="78"/>
      <c r="CO2" s="78"/>
      <c r="CP2" s="618" t="s">
        <v>313</v>
      </c>
      <c r="CQ2" s="263" t="s">
        <v>897</v>
      </c>
      <c r="CR2" s="231" t="s">
        <v>897</v>
      </c>
      <c r="CS2" s="231" t="s">
        <v>897</v>
      </c>
      <c r="CT2" s="239" t="s">
        <v>898</v>
      </c>
      <c r="CU2" s="236" t="s">
        <v>899</v>
      </c>
      <c r="CV2" s="231" t="s">
        <v>899</v>
      </c>
      <c r="CW2" s="230" t="s">
        <v>899</v>
      </c>
      <c r="CX2" s="239" t="s">
        <v>900</v>
      </c>
    </row>
    <row r="3" spans="1:102" s="518" customFormat="1" ht="72.75" customHeight="1">
      <c r="A3" s="604"/>
      <c r="B3" s="608" t="s">
        <v>214</v>
      </c>
      <c r="C3" s="609" t="s">
        <v>53</v>
      </c>
      <c r="D3" s="609" t="s">
        <v>54</v>
      </c>
      <c r="E3" s="447" t="s">
        <v>861</v>
      </c>
      <c r="F3" s="963" t="s">
        <v>1048</v>
      </c>
      <c r="G3" s="963" t="s">
        <v>1049</v>
      </c>
      <c r="H3" s="963" t="s">
        <v>1050</v>
      </c>
      <c r="I3" s="998" t="s">
        <v>1048</v>
      </c>
      <c r="J3" s="998" t="s">
        <v>1049</v>
      </c>
      <c r="K3" s="998" t="s">
        <v>1050</v>
      </c>
      <c r="L3" s="387" t="s">
        <v>1051</v>
      </c>
      <c r="M3" s="386" t="s">
        <v>1052</v>
      </c>
      <c r="N3" s="386" t="s">
        <v>1053</v>
      </c>
      <c r="O3" s="386" t="s">
        <v>1054</v>
      </c>
      <c r="P3" s="386" t="s">
        <v>1050</v>
      </c>
      <c r="Q3" s="387" t="s">
        <v>1051</v>
      </c>
      <c r="R3" s="386" t="s">
        <v>1055</v>
      </c>
      <c r="S3" s="964" t="s">
        <v>1048</v>
      </c>
      <c r="T3" s="965" t="s">
        <v>1049</v>
      </c>
      <c r="U3" s="965" t="s">
        <v>1050</v>
      </c>
      <c r="V3" s="966" t="s">
        <v>1057</v>
      </c>
      <c r="W3" s="963" t="s">
        <v>1048</v>
      </c>
      <c r="X3" s="963" t="s">
        <v>1049</v>
      </c>
      <c r="Y3" s="963" t="s">
        <v>1050</v>
      </c>
      <c r="Z3" s="963" t="s">
        <v>1048</v>
      </c>
      <c r="AA3" s="963" t="s">
        <v>1049</v>
      </c>
      <c r="AB3" s="963" t="s">
        <v>1050</v>
      </c>
      <c r="AC3" s="963" t="s">
        <v>1048</v>
      </c>
      <c r="AD3" s="963" t="s">
        <v>1049</v>
      </c>
      <c r="AE3" s="963" t="s">
        <v>1050</v>
      </c>
      <c r="AF3" s="963" t="s">
        <v>1048</v>
      </c>
      <c r="AG3" s="963" t="s">
        <v>1056</v>
      </c>
      <c r="AH3" s="386" t="s">
        <v>1057</v>
      </c>
      <c r="AI3" s="386" t="s">
        <v>1057</v>
      </c>
      <c r="AJ3" s="963" t="s">
        <v>1048</v>
      </c>
      <c r="AK3" s="963" t="s">
        <v>1049</v>
      </c>
      <c r="AL3" s="963" t="s">
        <v>1050</v>
      </c>
      <c r="AM3" s="963" t="s">
        <v>1048</v>
      </c>
      <c r="AN3" s="963" t="s">
        <v>1049</v>
      </c>
      <c r="AO3" s="963" t="s">
        <v>1050</v>
      </c>
      <c r="AP3" s="963" t="s">
        <v>1048</v>
      </c>
      <c r="AQ3" s="963" t="s">
        <v>1056</v>
      </c>
      <c r="AR3" s="386"/>
      <c r="AS3" s="386"/>
      <c r="AT3" s="386"/>
      <c r="AU3" s="448" t="s">
        <v>228</v>
      </c>
      <c r="AV3" s="888" t="s">
        <v>228</v>
      </c>
      <c r="AW3" s="385" t="s">
        <v>228</v>
      </c>
      <c r="AX3" s="385" t="s">
        <v>272</v>
      </c>
      <c r="AY3" s="385" t="s">
        <v>228</v>
      </c>
      <c r="AZ3" s="385" t="s">
        <v>229</v>
      </c>
      <c r="BA3" s="449" t="s">
        <v>568</v>
      </c>
      <c r="BB3" s="386"/>
      <c r="BC3" s="386"/>
      <c r="BD3" s="894"/>
      <c r="BE3" s="386"/>
      <c r="BF3" s="386"/>
      <c r="BG3" s="385" t="s">
        <v>916</v>
      </c>
      <c r="BH3" s="742" t="s">
        <v>232</v>
      </c>
      <c r="BI3" s="742" t="s">
        <v>231</v>
      </c>
      <c r="BJ3" s="450" t="s">
        <v>1108</v>
      </c>
      <c r="BK3" s="450" t="s">
        <v>1045</v>
      </c>
      <c r="BL3" s="385" t="s">
        <v>231</v>
      </c>
      <c r="BM3" s="450" t="s">
        <v>1010</v>
      </c>
      <c r="BN3" s="450" t="s">
        <v>1109</v>
      </c>
      <c r="BO3" s="387" t="s">
        <v>502</v>
      </c>
      <c r="BP3" s="385" t="s">
        <v>231</v>
      </c>
      <c r="BQ3" s="896" t="s">
        <v>253</v>
      </c>
      <c r="BR3" s="896" t="s">
        <v>254</v>
      </c>
      <c r="BS3" s="896" t="s">
        <v>255</v>
      </c>
      <c r="BT3" s="888" t="s">
        <v>503</v>
      </c>
      <c r="BU3" s="387" t="s">
        <v>253</v>
      </c>
      <c r="BV3" s="387" t="s">
        <v>254</v>
      </c>
      <c r="BW3" s="387" t="s">
        <v>255</v>
      </c>
      <c r="BX3" s="742" t="s">
        <v>503</v>
      </c>
      <c r="BY3" s="387" t="s">
        <v>253</v>
      </c>
      <c r="BZ3" s="387" t="s">
        <v>254</v>
      </c>
      <c r="CA3" s="387" t="s">
        <v>255</v>
      </c>
      <c r="CB3" s="385" t="s">
        <v>503</v>
      </c>
      <c r="CC3" s="888" t="s">
        <v>249</v>
      </c>
      <c r="CD3" s="385" t="s">
        <v>249</v>
      </c>
      <c r="CE3" s="450" t="s">
        <v>233</v>
      </c>
      <c r="CF3" s="451" t="s">
        <v>862</v>
      </c>
      <c r="CG3" s="452" t="s">
        <v>863</v>
      </c>
      <c r="CH3" s="1037"/>
      <c r="CI3" s="79"/>
      <c r="CJ3" s="79"/>
      <c r="CK3" s="79"/>
      <c r="CL3" s="79"/>
      <c r="CM3" s="321"/>
      <c r="CN3" s="79"/>
      <c r="CO3" s="79"/>
      <c r="CP3" s="261" t="s">
        <v>302</v>
      </c>
      <c r="CQ3" s="264" t="s">
        <v>309</v>
      </c>
      <c r="CR3" s="17" t="s">
        <v>310</v>
      </c>
      <c r="CS3" s="17" t="s">
        <v>311</v>
      </c>
      <c r="CT3" s="240" t="s">
        <v>309</v>
      </c>
      <c r="CU3" s="16" t="s">
        <v>309</v>
      </c>
      <c r="CV3" s="17" t="s">
        <v>310</v>
      </c>
      <c r="CW3" s="281" t="s">
        <v>311</v>
      </c>
      <c r="CX3" s="240" t="s">
        <v>309</v>
      </c>
    </row>
    <row r="4" spans="1:102" s="519" customFormat="1" ht="14.25" thickBot="1">
      <c r="A4" s="610"/>
      <c r="B4" s="611"/>
      <c r="C4" s="612"/>
      <c r="D4" s="612"/>
      <c r="E4" s="613"/>
      <c r="F4" s="614" t="s">
        <v>519</v>
      </c>
      <c r="G4" s="57" t="s">
        <v>868</v>
      </c>
      <c r="H4" s="57" t="s">
        <v>869</v>
      </c>
      <c r="I4" s="999" t="s">
        <v>1120</v>
      </c>
      <c r="J4" s="1000" t="s">
        <v>1121</v>
      </c>
      <c r="K4" s="1000" t="s">
        <v>1122</v>
      </c>
      <c r="L4" s="615" t="s">
        <v>942</v>
      </c>
      <c r="M4" s="615" t="s">
        <v>943</v>
      </c>
      <c r="N4" s="615" t="s">
        <v>944</v>
      </c>
      <c r="O4" s="615" t="s">
        <v>945</v>
      </c>
      <c r="P4" s="615" t="s">
        <v>946</v>
      </c>
      <c r="Q4" s="615"/>
      <c r="R4" s="615"/>
      <c r="S4" s="943" t="s">
        <v>563</v>
      </c>
      <c r="T4" s="943" t="s">
        <v>864</v>
      </c>
      <c r="U4" s="943" t="s">
        <v>865</v>
      </c>
      <c r="V4" s="944" t="s">
        <v>537</v>
      </c>
      <c r="W4" s="614" t="s">
        <v>506</v>
      </c>
      <c r="X4" s="615" t="s">
        <v>866</v>
      </c>
      <c r="Y4" s="615" t="s">
        <v>867</v>
      </c>
      <c r="Z4" s="950"/>
      <c r="AA4" s="944"/>
      <c r="AB4" s="944"/>
      <c r="AC4" s="614" t="s">
        <v>870</v>
      </c>
      <c r="AD4" s="615" t="s">
        <v>871</v>
      </c>
      <c r="AE4" s="615" t="s">
        <v>872</v>
      </c>
      <c r="AF4" s="615" t="s">
        <v>507</v>
      </c>
      <c r="AG4" s="615" t="s">
        <v>873</v>
      </c>
      <c r="AH4" s="57" t="s">
        <v>508</v>
      </c>
      <c r="AI4" s="615" t="s">
        <v>949</v>
      </c>
      <c r="AJ4" s="615" t="s">
        <v>562</v>
      </c>
      <c r="AK4" s="615" t="s">
        <v>561</v>
      </c>
      <c r="AL4" s="615" t="s">
        <v>874</v>
      </c>
      <c r="AM4" s="944" t="s">
        <v>557</v>
      </c>
      <c r="AN4" s="944" t="s">
        <v>558</v>
      </c>
      <c r="AO4" s="944" t="s">
        <v>559</v>
      </c>
      <c r="AP4" s="615"/>
      <c r="AQ4" s="615"/>
      <c r="AR4" s="615" t="s">
        <v>509</v>
      </c>
      <c r="AS4" s="615" t="s">
        <v>510</v>
      </c>
      <c r="AT4" s="615" t="s">
        <v>511</v>
      </c>
      <c r="AU4" s="616" t="s">
        <v>847</v>
      </c>
      <c r="AV4" s="889" t="s">
        <v>875</v>
      </c>
      <c r="AW4" s="388" t="s">
        <v>993</v>
      </c>
      <c r="AX4" s="975" t="s">
        <v>1103</v>
      </c>
      <c r="AY4" s="975" t="s">
        <v>1104</v>
      </c>
      <c r="AZ4" s="975" t="s">
        <v>1105</v>
      </c>
      <c r="BA4" s="975" t="s">
        <v>1106</v>
      </c>
      <c r="BB4" s="389" t="s">
        <v>512</v>
      </c>
      <c r="BC4" s="389" t="s">
        <v>901</v>
      </c>
      <c r="BD4" s="895" t="s">
        <v>876</v>
      </c>
      <c r="BE4" s="389" t="s">
        <v>995</v>
      </c>
      <c r="BF4" s="993" t="s">
        <v>1107</v>
      </c>
      <c r="BG4" s="656" t="s">
        <v>915</v>
      </c>
      <c r="BH4" s="743" t="s">
        <v>877</v>
      </c>
      <c r="BI4" s="743" t="s">
        <v>878</v>
      </c>
      <c r="BJ4" s="389" t="s">
        <v>997</v>
      </c>
      <c r="BK4" s="389" t="s">
        <v>999</v>
      </c>
      <c r="BL4" s="389" t="s">
        <v>998</v>
      </c>
      <c r="BM4" s="993" t="s">
        <v>1111</v>
      </c>
      <c r="BN4" s="993" t="s">
        <v>1110</v>
      </c>
      <c r="BO4" s="389" t="s">
        <v>879</v>
      </c>
      <c r="BP4" s="389"/>
      <c r="BQ4" s="895" t="s">
        <v>880</v>
      </c>
      <c r="BR4" s="895" t="s">
        <v>881</v>
      </c>
      <c r="BS4" s="895" t="s">
        <v>882</v>
      </c>
      <c r="BT4" s="895" t="s">
        <v>513</v>
      </c>
      <c r="BU4" s="389" t="s">
        <v>1000</v>
      </c>
      <c r="BV4" s="389" t="s">
        <v>1001</v>
      </c>
      <c r="BW4" s="389" t="s">
        <v>1002</v>
      </c>
      <c r="BX4" s="743" t="s">
        <v>1003</v>
      </c>
      <c r="BY4" s="389" t="s">
        <v>1113</v>
      </c>
      <c r="BZ4" s="389" t="s">
        <v>1114</v>
      </c>
      <c r="CA4" s="389" t="s">
        <v>1115</v>
      </c>
      <c r="CB4" s="389" t="s">
        <v>1116</v>
      </c>
      <c r="CC4" s="895" t="s">
        <v>883</v>
      </c>
      <c r="CD4" s="389" t="s">
        <v>1004</v>
      </c>
      <c r="CE4" s="389"/>
      <c r="CF4" s="994" t="s">
        <v>1117</v>
      </c>
      <c r="CG4" s="391"/>
      <c r="CH4" s="1038"/>
      <c r="CI4" s="59"/>
      <c r="CJ4" s="59"/>
      <c r="CK4" s="59"/>
      <c r="CL4" s="59"/>
      <c r="CM4" s="322"/>
      <c r="CN4" s="59"/>
      <c r="CO4" s="59"/>
      <c r="CP4" s="262"/>
      <c r="CQ4" s="265"/>
      <c r="CR4" s="57"/>
      <c r="CS4" s="57"/>
      <c r="CT4" s="241"/>
      <c r="CU4" s="80"/>
      <c r="CV4" s="57"/>
      <c r="CW4" s="282"/>
      <c r="CX4" s="241"/>
    </row>
    <row r="5" spans="1:102">
      <c r="A5" s="1075" t="s">
        <v>514</v>
      </c>
      <c r="B5" s="1078" t="s">
        <v>515</v>
      </c>
      <c r="C5" s="1054">
        <v>105</v>
      </c>
      <c r="D5" s="1054">
        <v>148</v>
      </c>
      <c r="E5" s="458" t="s">
        <v>7</v>
      </c>
      <c r="F5" s="296" t="s">
        <v>8</v>
      </c>
      <c r="G5" s="62" t="s">
        <v>8</v>
      </c>
      <c r="H5" s="62" t="s">
        <v>8</v>
      </c>
      <c r="I5" s="1001" t="s">
        <v>8</v>
      </c>
      <c r="J5" s="1002" t="s">
        <v>8</v>
      </c>
      <c r="K5" s="1002" t="s">
        <v>8</v>
      </c>
      <c r="L5" s="62" t="s">
        <v>8</v>
      </c>
      <c r="M5" s="62" t="s">
        <v>8</v>
      </c>
      <c r="N5" s="62" t="s">
        <v>8</v>
      </c>
      <c r="O5" s="62" t="s">
        <v>8</v>
      </c>
      <c r="P5" s="62" t="s">
        <v>8</v>
      </c>
      <c r="Q5" s="62" t="s">
        <v>8</v>
      </c>
      <c r="R5" s="62" t="s">
        <v>8</v>
      </c>
      <c r="S5" s="709" t="s">
        <v>8</v>
      </c>
      <c r="T5" s="709" t="s">
        <v>8</v>
      </c>
      <c r="U5" s="709" t="s">
        <v>8</v>
      </c>
      <c r="V5" s="709" t="s">
        <v>8</v>
      </c>
      <c r="W5" s="296" t="s">
        <v>8</v>
      </c>
      <c r="X5" s="62" t="s">
        <v>8</v>
      </c>
      <c r="Y5" s="62" t="s">
        <v>8</v>
      </c>
      <c r="Z5" s="951" t="s">
        <v>8</v>
      </c>
      <c r="AA5" s="710" t="s">
        <v>8</v>
      </c>
      <c r="AB5" s="710" t="s">
        <v>8</v>
      </c>
      <c r="AC5" s="296" t="s">
        <v>8</v>
      </c>
      <c r="AD5" s="62" t="s">
        <v>8</v>
      </c>
      <c r="AE5" s="62" t="s">
        <v>8</v>
      </c>
      <c r="AF5" s="62" t="s">
        <v>8</v>
      </c>
      <c r="AG5" s="62" t="s">
        <v>8</v>
      </c>
      <c r="AH5" s="61" t="s">
        <v>1</v>
      </c>
      <c r="AI5" s="61" t="s">
        <v>57</v>
      </c>
      <c r="AJ5" s="62" t="s">
        <v>8</v>
      </c>
      <c r="AK5" s="62" t="s">
        <v>8</v>
      </c>
      <c r="AL5" s="62" t="s">
        <v>8</v>
      </c>
      <c r="AM5" s="710" t="s">
        <v>8</v>
      </c>
      <c r="AN5" s="710" t="s">
        <v>8</v>
      </c>
      <c r="AO5" s="710" t="s">
        <v>8</v>
      </c>
      <c r="AP5" s="62" t="str">
        <f>AF5</f>
        <v>×</v>
      </c>
      <c r="AQ5" s="62" t="str">
        <f>AG5</f>
        <v>×</v>
      </c>
      <c r="AR5" s="62" t="s">
        <v>8</v>
      </c>
      <c r="AS5" s="61" t="s">
        <v>57</v>
      </c>
      <c r="AT5" s="61" t="s">
        <v>57</v>
      </c>
      <c r="AU5" s="61" t="s">
        <v>57</v>
      </c>
      <c r="AV5" s="739" t="s">
        <v>8</v>
      </c>
      <c r="AW5" s="62" t="s">
        <v>8</v>
      </c>
      <c r="AX5" s="61" t="s">
        <v>10</v>
      </c>
      <c r="AY5" s="392" t="s">
        <v>8</v>
      </c>
      <c r="AZ5" s="392" t="s">
        <v>8</v>
      </c>
      <c r="BA5" s="392" t="s">
        <v>8</v>
      </c>
      <c r="BB5" s="61" t="s">
        <v>10</v>
      </c>
      <c r="BC5" s="62" t="s">
        <v>8</v>
      </c>
      <c r="BD5" s="739" t="s">
        <v>8</v>
      </c>
      <c r="BE5" s="62" t="s">
        <v>8</v>
      </c>
      <c r="BF5" s="392" t="str">
        <f t="shared" ref="BF5:BF36" si="0">$AY:$AY</f>
        <v>×</v>
      </c>
      <c r="BG5" s="62" t="s">
        <v>8</v>
      </c>
      <c r="BH5" s="739" t="s">
        <v>8</v>
      </c>
      <c r="BI5" s="739" t="s">
        <v>8</v>
      </c>
      <c r="BJ5" s="62" t="s">
        <v>8</v>
      </c>
      <c r="BK5" s="62" t="s">
        <v>8</v>
      </c>
      <c r="BL5" s="62" t="s">
        <v>8</v>
      </c>
      <c r="BM5" s="392" t="s">
        <v>8</v>
      </c>
      <c r="BN5" s="392"/>
      <c r="BO5" s="365" t="s">
        <v>8</v>
      </c>
      <c r="BP5" s="392" t="str">
        <f>$AZ:$AZ</f>
        <v>×</v>
      </c>
      <c r="BQ5" s="739" t="s">
        <v>8</v>
      </c>
      <c r="BR5" s="739" t="s">
        <v>8</v>
      </c>
      <c r="BS5" s="739" t="s">
        <v>8</v>
      </c>
      <c r="BT5" s="739" t="s">
        <v>8</v>
      </c>
      <c r="BU5" s="62" t="s">
        <v>8</v>
      </c>
      <c r="BV5" s="62" t="s">
        <v>8</v>
      </c>
      <c r="BW5" s="62" t="s">
        <v>8</v>
      </c>
      <c r="BX5" s="365" t="s">
        <v>8</v>
      </c>
      <c r="BY5" s="392" t="s">
        <v>8</v>
      </c>
      <c r="BZ5" s="392" t="s">
        <v>8</v>
      </c>
      <c r="CA5" s="392" t="s">
        <v>8</v>
      </c>
      <c r="CB5" s="392" t="s">
        <v>8</v>
      </c>
      <c r="CC5" s="739" t="s">
        <v>8</v>
      </c>
      <c r="CD5" s="62" t="s">
        <v>8</v>
      </c>
      <c r="CE5" s="393" t="str">
        <f>$AZ:$AZ</f>
        <v>×</v>
      </c>
      <c r="CF5" s="392" t="s">
        <v>8</v>
      </c>
      <c r="CG5" s="394" t="str">
        <f>$BA:$BA</f>
        <v>×</v>
      </c>
      <c r="CH5" s="297"/>
      <c r="CI5" s="298"/>
      <c r="CJ5" s="298"/>
      <c r="CK5" s="298"/>
      <c r="CL5" s="298"/>
      <c r="CM5" s="323"/>
      <c r="CN5" s="298"/>
      <c r="CO5" s="298"/>
      <c r="CP5" s="298"/>
      <c r="CQ5" s="299" t="s">
        <v>8</v>
      </c>
      <c r="CR5" s="62" t="s">
        <v>8</v>
      </c>
      <c r="CS5" s="62" t="s">
        <v>8</v>
      </c>
      <c r="CT5" s="300" t="s">
        <v>8</v>
      </c>
      <c r="CU5" s="296" t="s">
        <v>8</v>
      </c>
      <c r="CV5" s="62" t="s">
        <v>8</v>
      </c>
      <c r="CW5" s="301" t="s">
        <v>8</v>
      </c>
      <c r="CX5" s="300" t="s">
        <v>8</v>
      </c>
    </row>
    <row r="6" spans="1:102">
      <c r="A6" s="1076"/>
      <c r="B6" s="1079"/>
      <c r="C6" s="1055"/>
      <c r="D6" s="1055"/>
      <c r="E6" s="619" t="s">
        <v>60</v>
      </c>
      <c r="F6" s="362" t="s">
        <v>8</v>
      </c>
      <c r="G6" s="362" t="s">
        <v>8</v>
      </c>
      <c r="H6" s="362" t="s">
        <v>8</v>
      </c>
      <c r="I6" s="708" t="s">
        <v>8</v>
      </c>
      <c r="J6" s="708" t="s">
        <v>8</v>
      </c>
      <c r="K6" s="708" t="s">
        <v>8</v>
      </c>
      <c r="L6" s="362" t="s">
        <v>8</v>
      </c>
      <c r="M6" s="362" t="s">
        <v>8</v>
      </c>
      <c r="N6" s="362" t="s">
        <v>8</v>
      </c>
      <c r="O6" s="362" t="s">
        <v>8</v>
      </c>
      <c r="P6" s="708" t="s">
        <v>8</v>
      </c>
      <c r="Q6" s="708" t="s">
        <v>8</v>
      </c>
      <c r="R6" s="708" t="s">
        <v>8</v>
      </c>
      <c r="S6" s="709" t="s">
        <v>8</v>
      </c>
      <c r="T6" s="709" t="s">
        <v>8</v>
      </c>
      <c r="U6" s="709" t="s">
        <v>8</v>
      </c>
      <c r="V6" s="709" t="s">
        <v>8</v>
      </c>
      <c r="W6" s="362" t="s">
        <v>8</v>
      </c>
      <c r="X6" s="362" t="s">
        <v>8</v>
      </c>
      <c r="Y6" s="362" t="s">
        <v>8</v>
      </c>
      <c r="Z6" s="951" t="s">
        <v>8</v>
      </c>
      <c r="AA6" s="710" t="s">
        <v>8</v>
      </c>
      <c r="AB6" s="710" t="s">
        <v>8</v>
      </c>
      <c r="AC6" s="362" t="s">
        <v>8</v>
      </c>
      <c r="AD6" s="362" t="s">
        <v>8</v>
      </c>
      <c r="AE6" s="362" t="s">
        <v>8</v>
      </c>
      <c r="AF6" s="362" t="s">
        <v>8</v>
      </c>
      <c r="AG6" s="362" t="s">
        <v>8</v>
      </c>
      <c r="AH6" s="362" t="s">
        <v>8</v>
      </c>
      <c r="AI6" s="362" t="s">
        <v>8</v>
      </c>
      <c r="AJ6" s="362" t="s">
        <v>8</v>
      </c>
      <c r="AK6" s="362" t="s">
        <v>8</v>
      </c>
      <c r="AL6" s="362" t="s">
        <v>8</v>
      </c>
      <c r="AM6" s="710" t="s">
        <v>8</v>
      </c>
      <c r="AN6" s="710" t="s">
        <v>8</v>
      </c>
      <c r="AO6" s="710" t="s">
        <v>8</v>
      </c>
      <c r="AP6" s="362" t="s">
        <v>8</v>
      </c>
      <c r="AQ6" s="362" t="s">
        <v>8</v>
      </c>
      <c r="AR6" s="362" t="s">
        <v>8</v>
      </c>
      <c r="AS6" s="362" t="s">
        <v>8</v>
      </c>
      <c r="AT6" s="362" t="s">
        <v>8</v>
      </c>
      <c r="AU6" s="362" t="s">
        <v>8</v>
      </c>
      <c r="AV6" s="739" t="s">
        <v>8</v>
      </c>
      <c r="AW6" s="708" t="s">
        <v>8</v>
      </c>
      <c r="AX6" s="706" t="s">
        <v>8</v>
      </c>
      <c r="AY6" s="706" t="s">
        <v>8</v>
      </c>
      <c r="AZ6" s="706" t="s">
        <v>8</v>
      </c>
      <c r="BA6" s="706" t="s">
        <v>8</v>
      </c>
      <c r="BB6" s="706" t="s">
        <v>8</v>
      </c>
      <c r="BC6" s="706" t="s">
        <v>8</v>
      </c>
      <c r="BD6" s="365" t="s">
        <v>8</v>
      </c>
      <c r="BE6" s="706" t="s">
        <v>8</v>
      </c>
      <c r="BF6" s="706" t="str">
        <f t="shared" si="0"/>
        <v>×</v>
      </c>
      <c r="BG6" s="706" t="s">
        <v>8</v>
      </c>
      <c r="BH6" s="739" t="s">
        <v>8</v>
      </c>
      <c r="BI6" s="739" t="s">
        <v>8</v>
      </c>
      <c r="BJ6" s="706" t="s">
        <v>8</v>
      </c>
      <c r="BK6" s="706" t="s">
        <v>8</v>
      </c>
      <c r="BL6" s="706" t="s">
        <v>8</v>
      </c>
      <c r="BM6" s="706" t="s">
        <v>8</v>
      </c>
      <c r="BN6" s="706"/>
      <c r="BO6" s="706" t="s">
        <v>8</v>
      </c>
      <c r="BP6" s="706" t="s">
        <v>8</v>
      </c>
      <c r="BQ6" s="739" t="s">
        <v>8</v>
      </c>
      <c r="BR6" s="739" t="s">
        <v>8</v>
      </c>
      <c r="BS6" s="739" t="s">
        <v>8</v>
      </c>
      <c r="BT6" s="739" t="s">
        <v>8</v>
      </c>
      <c r="BU6" s="706" t="s">
        <v>8</v>
      </c>
      <c r="BV6" s="706" t="s">
        <v>8</v>
      </c>
      <c r="BW6" s="706" t="s">
        <v>8</v>
      </c>
      <c r="BX6" s="706" t="s">
        <v>8</v>
      </c>
      <c r="BY6" s="706" t="s">
        <v>8</v>
      </c>
      <c r="BZ6" s="706" t="s">
        <v>8</v>
      </c>
      <c r="CA6" s="706" t="s">
        <v>8</v>
      </c>
      <c r="CB6" s="706" t="s">
        <v>8</v>
      </c>
      <c r="CC6" s="739" t="s">
        <v>8</v>
      </c>
      <c r="CD6" s="706" t="s">
        <v>8</v>
      </c>
      <c r="CE6" s="706" t="s">
        <v>8</v>
      </c>
      <c r="CF6" s="706" t="s">
        <v>8</v>
      </c>
      <c r="CG6" s="706" t="s">
        <v>8</v>
      </c>
      <c r="CH6" s="461"/>
      <c r="CI6" s="2"/>
      <c r="CJ6" s="2"/>
      <c r="CK6" s="2"/>
      <c r="CL6" s="2"/>
      <c r="CM6" s="323"/>
      <c r="CN6" s="2"/>
      <c r="CO6" s="2"/>
      <c r="CP6" s="2"/>
      <c r="CQ6" s="462" t="s">
        <v>8</v>
      </c>
      <c r="CR6" s="360" t="s">
        <v>8</v>
      </c>
      <c r="CS6" s="360" t="s">
        <v>8</v>
      </c>
      <c r="CT6" s="463" t="s">
        <v>8</v>
      </c>
      <c r="CU6" s="362" t="s">
        <v>8</v>
      </c>
      <c r="CV6" s="360" t="s">
        <v>8</v>
      </c>
      <c r="CW6" s="363" t="s">
        <v>8</v>
      </c>
      <c r="CX6" s="463" t="s">
        <v>8</v>
      </c>
    </row>
    <row r="7" spans="1:102">
      <c r="A7" s="1076"/>
      <c r="B7" s="1078" t="s">
        <v>516</v>
      </c>
      <c r="C7" s="1054">
        <v>148</v>
      </c>
      <c r="D7" s="1054">
        <v>210</v>
      </c>
      <c r="E7" s="84" t="s">
        <v>59</v>
      </c>
      <c r="F7" s="38" t="s">
        <v>280</v>
      </c>
      <c r="G7" s="38" t="s">
        <v>280</v>
      </c>
      <c r="H7" s="37" t="s">
        <v>279</v>
      </c>
      <c r="I7" s="1004" t="s">
        <v>280</v>
      </c>
      <c r="J7" s="1004" t="s">
        <v>280</v>
      </c>
      <c r="K7" s="1005" t="s">
        <v>279</v>
      </c>
      <c r="L7" s="34" t="s">
        <v>8</v>
      </c>
      <c r="M7" s="34" t="s">
        <v>8</v>
      </c>
      <c r="N7" s="34" t="s">
        <v>8</v>
      </c>
      <c r="O7" s="34" t="s">
        <v>8</v>
      </c>
      <c r="P7" s="34" t="s">
        <v>8</v>
      </c>
      <c r="Q7" s="34" t="s">
        <v>8</v>
      </c>
      <c r="R7" s="34" t="s">
        <v>8</v>
      </c>
      <c r="S7" s="709" t="s">
        <v>8</v>
      </c>
      <c r="T7" s="709" t="s">
        <v>8</v>
      </c>
      <c r="U7" s="709" t="s">
        <v>8</v>
      </c>
      <c r="V7" s="709" t="s">
        <v>8</v>
      </c>
      <c r="W7" s="47" t="s">
        <v>280</v>
      </c>
      <c r="X7" s="47" t="s">
        <v>280</v>
      </c>
      <c r="Y7" s="33" t="s">
        <v>279</v>
      </c>
      <c r="Z7" s="951" t="s">
        <v>8</v>
      </c>
      <c r="AA7" s="710" t="s">
        <v>8</v>
      </c>
      <c r="AB7" s="710" t="s">
        <v>8</v>
      </c>
      <c r="AC7" s="38" t="s">
        <v>280</v>
      </c>
      <c r="AD7" s="38" t="s">
        <v>280</v>
      </c>
      <c r="AE7" s="37" t="s">
        <v>279</v>
      </c>
      <c r="AF7" s="32" t="s">
        <v>8</v>
      </c>
      <c r="AG7" s="32" t="s">
        <v>8</v>
      </c>
      <c r="AH7" s="33" t="s">
        <v>1</v>
      </c>
      <c r="AI7" s="33" t="s">
        <v>57</v>
      </c>
      <c r="AJ7" s="33" t="s">
        <v>10</v>
      </c>
      <c r="AK7" s="344" t="s">
        <v>1</v>
      </c>
      <c r="AL7" s="34" t="s">
        <v>8</v>
      </c>
      <c r="AM7" s="710" t="s">
        <v>8</v>
      </c>
      <c r="AN7" s="710" t="s">
        <v>8</v>
      </c>
      <c r="AO7" s="710" t="s">
        <v>8</v>
      </c>
      <c r="AP7" s="32" t="str">
        <f t="shared" ref="AP7:AP53" si="1">AF7</f>
        <v>×</v>
      </c>
      <c r="AQ7" s="32" t="str">
        <f t="shared" ref="AQ7:AQ53" si="2">AG7</f>
        <v>×</v>
      </c>
      <c r="AR7" s="33" t="s">
        <v>10</v>
      </c>
      <c r="AS7" s="33" t="s">
        <v>10</v>
      </c>
      <c r="AT7" s="33" t="s">
        <v>10</v>
      </c>
      <c r="AU7" s="33" t="s">
        <v>10</v>
      </c>
      <c r="AV7" s="739" t="s">
        <v>8</v>
      </c>
      <c r="AW7" s="33" t="s">
        <v>10</v>
      </c>
      <c r="AX7" s="33" t="s">
        <v>10</v>
      </c>
      <c r="AY7" s="395" t="s">
        <v>8</v>
      </c>
      <c r="AZ7" s="395" t="s">
        <v>8</v>
      </c>
      <c r="BA7" s="395" t="s">
        <v>8</v>
      </c>
      <c r="BB7" s="33" t="s">
        <v>10</v>
      </c>
      <c r="BC7" s="34" t="s">
        <v>8</v>
      </c>
      <c r="BD7" s="739" t="s">
        <v>8</v>
      </c>
      <c r="BE7" s="34" t="s">
        <v>8</v>
      </c>
      <c r="BF7" s="395" t="str">
        <f t="shared" si="0"/>
        <v>×</v>
      </c>
      <c r="BG7" s="34" t="s">
        <v>8</v>
      </c>
      <c r="BH7" s="739" t="s">
        <v>8</v>
      </c>
      <c r="BI7" s="739" t="s">
        <v>8</v>
      </c>
      <c r="BJ7" s="34" t="s">
        <v>8</v>
      </c>
      <c r="BK7" s="34" t="s">
        <v>8</v>
      </c>
      <c r="BL7" s="34" t="s">
        <v>8</v>
      </c>
      <c r="BM7" s="395" t="s">
        <v>8</v>
      </c>
      <c r="BN7" s="395"/>
      <c r="BO7" s="360" t="s">
        <v>8</v>
      </c>
      <c r="BP7" s="395" t="str">
        <f t="shared" ref="BP7:BP12" si="3">$AZ:$AZ</f>
        <v>×</v>
      </c>
      <c r="BQ7" s="739" t="s">
        <v>8</v>
      </c>
      <c r="BR7" s="739" t="s">
        <v>8</v>
      </c>
      <c r="BS7" s="739" t="s">
        <v>8</v>
      </c>
      <c r="BT7" s="739" t="s">
        <v>8</v>
      </c>
      <c r="BU7" s="34" t="s">
        <v>637</v>
      </c>
      <c r="BV7" s="34" t="s">
        <v>8</v>
      </c>
      <c r="BW7" s="34" t="s">
        <v>8</v>
      </c>
      <c r="BX7" s="360" t="s">
        <v>8</v>
      </c>
      <c r="BY7" s="395" t="s">
        <v>8</v>
      </c>
      <c r="BZ7" s="395" t="s">
        <v>8</v>
      </c>
      <c r="CA7" s="395" t="s">
        <v>8</v>
      </c>
      <c r="CB7" s="395" t="s">
        <v>8</v>
      </c>
      <c r="CC7" s="739" t="s">
        <v>8</v>
      </c>
      <c r="CD7" s="34" t="s">
        <v>8</v>
      </c>
      <c r="CE7" s="396" t="str">
        <f t="shared" ref="CE7:CE30" si="4">$AZ:$AZ</f>
        <v>×</v>
      </c>
      <c r="CF7" s="395" t="s">
        <v>8</v>
      </c>
      <c r="CG7" s="397" t="str">
        <f t="shared" ref="CG7:CG30" si="5">$BA:$BA</f>
        <v>×</v>
      </c>
      <c r="CH7" s="101"/>
      <c r="CI7" s="2"/>
      <c r="CJ7" s="2"/>
      <c r="CK7" s="2"/>
      <c r="CL7" s="2"/>
      <c r="CM7" s="323"/>
      <c r="CN7" s="2"/>
      <c r="CO7" s="2"/>
      <c r="CP7" s="2"/>
      <c r="CQ7" s="268" t="s">
        <v>10</v>
      </c>
      <c r="CR7" s="37" t="s">
        <v>10</v>
      </c>
      <c r="CS7" s="32" t="s">
        <v>8</v>
      </c>
      <c r="CT7" s="244" t="s">
        <v>10</v>
      </c>
      <c r="CU7" s="35" t="s">
        <v>8</v>
      </c>
      <c r="CV7" s="37" t="s">
        <v>10</v>
      </c>
      <c r="CW7" s="284" t="s">
        <v>8</v>
      </c>
      <c r="CX7" s="243" t="s">
        <v>8</v>
      </c>
    </row>
    <row r="8" spans="1:102">
      <c r="A8" s="1076"/>
      <c r="B8" s="1079"/>
      <c r="C8" s="1055"/>
      <c r="D8" s="1055"/>
      <c r="E8" s="84" t="s">
        <v>60</v>
      </c>
      <c r="F8" s="35" t="s">
        <v>8</v>
      </c>
      <c r="G8" s="32" t="s">
        <v>8</v>
      </c>
      <c r="H8" s="32" t="s">
        <v>8</v>
      </c>
      <c r="I8" s="1003" t="s">
        <v>8</v>
      </c>
      <c r="J8" s="997" t="s">
        <v>8</v>
      </c>
      <c r="K8" s="997" t="s">
        <v>8</v>
      </c>
      <c r="L8" s="34" t="s">
        <v>8</v>
      </c>
      <c r="M8" s="34" t="s">
        <v>8</v>
      </c>
      <c r="N8" s="34" t="s">
        <v>8</v>
      </c>
      <c r="O8" s="34" t="s">
        <v>8</v>
      </c>
      <c r="P8" s="34" t="s">
        <v>8</v>
      </c>
      <c r="Q8" s="34" t="s">
        <v>8</v>
      </c>
      <c r="R8" s="34" t="s">
        <v>8</v>
      </c>
      <c r="S8" s="709" t="s">
        <v>8</v>
      </c>
      <c r="T8" s="709" t="s">
        <v>8</v>
      </c>
      <c r="U8" s="709" t="s">
        <v>8</v>
      </c>
      <c r="V8" s="709" t="s">
        <v>8</v>
      </c>
      <c r="W8" s="51" t="s">
        <v>8</v>
      </c>
      <c r="X8" s="34" t="s">
        <v>8</v>
      </c>
      <c r="Y8" s="34" t="s">
        <v>8</v>
      </c>
      <c r="Z8" s="951" t="s">
        <v>8</v>
      </c>
      <c r="AA8" s="710" t="s">
        <v>8</v>
      </c>
      <c r="AB8" s="710" t="s">
        <v>8</v>
      </c>
      <c r="AC8" s="35" t="s">
        <v>8</v>
      </c>
      <c r="AD8" s="32" t="s">
        <v>8</v>
      </c>
      <c r="AE8" s="32" t="s">
        <v>8</v>
      </c>
      <c r="AF8" s="32" t="s">
        <v>8</v>
      </c>
      <c r="AG8" s="32" t="s">
        <v>8</v>
      </c>
      <c r="AH8" s="33" t="s">
        <v>10</v>
      </c>
      <c r="AI8" s="33" t="s">
        <v>10</v>
      </c>
      <c r="AJ8" s="33" t="s">
        <v>10</v>
      </c>
      <c r="AK8" s="34" t="s">
        <v>8</v>
      </c>
      <c r="AL8" s="34" t="s">
        <v>8</v>
      </c>
      <c r="AM8" s="710" t="s">
        <v>8</v>
      </c>
      <c r="AN8" s="710" t="s">
        <v>8</v>
      </c>
      <c r="AO8" s="710" t="s">
        <v>8</v>
      </c>
      <c r="AP8" s="32" t="str">
        <f t="shared" si="1"/>
        <v>×</v>
      </c>
      <c r="AQ8" s="32" t="str">
        <f t="shared" si="2"/>
        <v>×</v>
      </c>
      <c r="AR8" s="33" t="s">
        <v>10</v>
      </c>
      <c r="AS8" s="33" t="s">
        <v>10</v>
      </c>
      <c r="AT8" s="33" t="s">
        <v>10</v>
      </c>
      <c r="AU8" s="33" t="s">
        <v>10</v>
      </c>
      <c r="AV8" s="739" t="s">
        <v>8</v>
      </c>
      <c r="AW8" s="33" t="s">
        <v>10</v>
      </c>
      <c r="AX8" s="33" t="s">
        <v>10</v>
      </c>
      <c r="AY8" s="395" t="s">
        <v>8</v>
      </c>
      <c r="AZ8" s="395" t="s">
        <v>8</v>
      </c>
      <c r="BA8" s="395" t="s">
        <v>8</v>
      </c>
      <c r="BB8" s="33" t="s">
        <v>10</v>
      </c>
      <c r="BC8" s="33" t="s">
        <v>10</v>
      </c>
      <c r="BD8" s="739" t="s">
        <v>8</v>
      </c>
      <c r="BE8" s="33" t="s">
        <v>10</v>
      </c>
      <c r="BF8" s="395" t="str">
        <f t="shared" si="0"/>
        <v>×</v>
      </c>
      <c r="BG8" s="34" t="s">
        <v>8</v>
      </c>
      <c r="BH8" s="739" t="s">
        <v>8</v>
      </c>
      <c r="BI8" s="739" t="s">
        <v>8</v>
      </c>
      <c r="BJ8" s="33" t="s">
        <v>10</v>
      </c>
      <c r="BK8" s="33" t="s">
        <v>10</v>
      </c>
      <c r="BL8" s="34" t="s">
        <v>8</v>
      </c>
      <c r="BM8" s="395" t="s">
        <v>8</v>
      </c>
      <c r="BN8" s="395"/>
      <c r="BO8" s="360" t="s">
        <v>8</v>
      </c>
      <c r="BP8" s="395" t="str">
        <f t="shared" si="3"/>
        <v>×</v>
      </c>
      <c r="BQ8" s="739" t="s">
        <v>8</v>
      </c>
      <c r="BR8" s="739" t="s">
        <v>8</v>
      </c>
      <c r="BS8" s="739" t="s">
        <v>8</v>
      </c>
      <c r="BT8" s="739" t="s">
        <v>8</v>
      </c>
      <c r="BU8" s="34" t="s">
        <v>637</v>
      </c>
      <c r="BV8" s="34" t="s">
        <v>8</v>
      </c>
      <c r="BW8" s="34" t="s">
        <v>8</v>
      </c>
      <c r="BX8" s="360" t="s">
        <v>8</v>
      </c>
      <c r="BY8" s="395" t="s">
        <v>8</v>
      </c>
      <c r="BZ8" s="395" t="s">
        <v>8</v>
      </c>
      <c r="CA8" s="395" t="s">
        <v>8</v>
      </c>
      <c r="CB8" s="395" t="s">
        <v>8</v>
      </c>
      <c r="CC8" s="739" t="s">
        <v>8</v>
      </c>
      <c r="CD8" s="34" t="s">
        <v>8</v>
      </c>
      <c r="CE8" s="396" t="str">
        <f t="shared" si="4"/>
        <v>×</v>
      </c>
      <c r="CF8" s="395" t="s">
        <v>8</v>
      </c>
      <c r="CG8" s="397" t="str">
        <f t="shared" si="5"/>
        <v>×</v>
      </c>
      <c r="CH8" s="101"/>
      <c r="CI8" s="2"/>
      <c r="CJ8" s="2"/>
      <c r="CK8" s="2"/>
      <c r="CL8" s="2"/>
      <c r="CM8" s="323"/>
      <c r="CN8" s="2"/>
      <c r="CO8" s="2"/>
      <c r="CP8" s="2"/>
      <c r="CQ8" s="267" t="s">
        <v>8</v>
      </c>
      <c r="CR8" s="32" t="s">
        <v>8</v>
      </c>
      <c r="CS8" s="32" t="s">
        <v>8</v>
      </c>
      <c r="CT8" s="243" t="s">
        <v>8</v>
      </c>
      <c r="CU8" s="35" t="s">
        <v>8</v>
      </c>
      <c r="CV8" s="32" t="s">
        <v>8</v>
      </c>
      <c r="CW8" s="284" t="s">
        <v>8</v>
      </c>
      <c r="CX8" s="243" t="s">
        <v>8</v>
      </c>
    </row>
    <row r="9" spans="1:102">
      <c r="A9" s="1076"/>
      <c r="B9" s="1078" t="s">
        <v>273</v>
      </c>
      <c r="C9" s="1054">
        <v>210</v>
      </c>
      <c r="D9" s="1054">
        <v>297</v>
      </c>
      <c r="E9" s="84" t="s">
        <v>7</v>
      </c>
      <c r="F9" s="38" t="s">
        <v>10</v>
      </c>
      <c r="G9" s="37" t="s">
        <v>10</v>
      </c>
      <c r="H9" s="37" t="s">
        <v>10</v>
      </c>
      <c r="I9" s="1003" t="s">
        <v>8</v>
      </c>
      <c r="J9" s="997" t="s">
        <v>8</v>
      </c>
      <c r="K9" s="997" t="s">
        <v>8</v>
      </c>
      <c r="L9" s="34" t="s">
        <v>8</v>
      </c>
      <c r="M9" s="34" t="s">
        <v>8</v>
      </c>
      <c r="N9" s="34" t="s">
        <v>8</v>
      </c>
      <c r="O9" s="34" t="s">
        <v>8</v>
      </c>
      <c r="P9" s="34" t="s">
        <v>8</v>
      </c>
      <c r="Q9" s="34" t="s">
        <v>8</v>
      </c>
      <c r="R9" s="34" t="s">
        <v>8</v>
      </c>
      <c r="S9" s="709" t="s">
        <v>8</v>
      </c>
      <c r="T9" s="709" t="s">
        <v>8</v>
      </c>
      <c r="U9" s="709" t="s">
        <v>8</v>
      </c>
      <c r="V9" s="709" t="s">
        <v>8</v>
      </c>
      <c r="W9" s="47" t="s">
        <v>10</v>
      </c>
      <c r="X9" s="33" t="s">
        <v>10</v>
      </c>
      <c r="Y9" s="33" t="s">
        <v>10</v>
      </c>
      <c r="Z9" s="951" t="s">
        <v>8</v>
      </c>
      <c r="AA9" s="710" t="s">
        <v>8</v>
      </c>
      <c r="AB9" s="710" t="s">
        <v>8</v>
      </c>
      <c r="AC9" s="38" t="s">
        <v>10</v>
      </c>
      <c r="AD9" s="37" t="s">
        <v>10</v>
      </c>
      <c r="AE9" s="37" t="s">
        <v>10</v>
      </c>
      <c r="AF9" s="32" t="s">
        <v>8</v>
      </c>
      <c r="AG9" s="32" t="s">
        <v>8</v>
      </c>
      <c r="AH9" s="33" t="s">
        <v>10</v>
      </c>
      <c r="AI9" s="33" t="s">
        <v>10</v>
      </c>
      <c r="AJ9" s="33" t="s">
        <v>10</v>
      </c>
      <c r="AK9" s="34" t="s">
        <v>8</v>
      </c>
      <c r="AL9" s="34" t="s">
        <v>8</v>
      </c>
      <c r="AM9" s="710" t="s">
        <v>8</v>
      </c>
      <c r="AN9" s="710" t="s">
        <v>8</v>
      </c>
      <c r="AO9" s="710" t="s">
        <v>8</v>
      </c>
      <c r="AP9" s="32" t="str">
        <f t="shared" si="1"/>
        <v>×</v>
      </c>
      <c r="AQ9" s="32" t="str">
        <f t="shared" si="2"/>
        <v>×</v>
      </c>
      <c r="AR9" s="33" t="s">
        <v>10</v>
      </c>
      <c r="AS9" s="33" t="s">
        <v>10</v>
      </c>
      <c r="AT9" s="33" t="s">
        <v>10</v>
      </c>
      <c r="AU9" s="33" t="s">
        <v>10</v>
      </c>
      <c r="AV9" s="739" t="s">
        <v>8</v>
      </c>
      <c r="AW9" s="33" t="s">
        <v>10</v>
      </c>
      <c r="AX9" s="398" t="s">
        <v>10</v>
      </c>
      <c r="AY9" s="398" t="s">
        <v>10</v>
      </c>
      <c r="AZ9" s="398" t="s">
        <v>10</v>
      </c>
      <c r="BA9" s="398" t="s">
        <v>10</v>
      </c>
      <c r="BB9" s="33" t="s">
        <v>10</v>
      </c>
      <c r="BC9" s="33" t="s">
        <v>10</v>
      </c>
      <c r="BD9" s="739" t="s">
        <v>8</v>
      </c>
      <c r="BE9" s="33" t="s">
        <v>10</v>
      </c>
      <c r="BF9" s="395" t="str">
        <f t="shared" si="0"/>
        <v>○</v>
      </c>
      <c r="BG9" s="34" t="s">
        <v>637</v>
      </c>
      <c r="BH9" s="739" t="s">
        <v>8</v>
      </c>
      <c r="BI9" s="739" t="s">
        <v>8</v>
      </c>
      <c r="BJ9" s="34" t="s">
        <v>637</v>
      </c>
      <c r="BK9" s="34" t="s">
        <v>637</v>
      </c>
      <c r="BL9" s="34" t="s">
        <v>637</v>
      </c>
      <c r="BM9" s="34" t="s">
        <v>637</v>
      </c>
      <c r="BN9" s="34"/>
      <c r="BO9" s="360" t="s">
        <v>58</v>
      </c>
      <c r="BP9" s="395" t="str">
        <f t="shared" si="3"/>
        <v>○</v>
      </c>
      <c r="BQ9" s="739" t="s">
        <v>8</v>
      </c>
      <c r="BR9" s="739" t="s">
        <v>8</v>
      </c>
      <c r="BS9" s="739" t="s">
        <v>8</v>
      </c>
      <c r="BT9" s="739" t="s">
        <v>8</v>
      </c>
      <c r="BU9" s="34" t="s">
        <v>637</v>
      </c>
      <c r="BV9" s="34" t="s">
        <v>8</v>
      </c>
      <c r="BW9" s="34" t="s">
        <v>8</v>
      </c>
      <c r="BX9" s="360" t="s">
        <v>8</v>
      </c>
      <c r="BY9" s="34" t="s">
        <v>637</v>
      </c>
      <c r="BZ9" s="34" t="s">
        <v>8</v>
      </c>
      <c r="CA9" s="34" t="s">
        <v>8</v>
      </c>
      <c r="CB9" s="34" t="s">
        <v>8</v>
      </c>
      <c r="CC9" s="739" t="s">
        <v>8</v>
      </c>
      <c r="CD9" s="34" t="s">
        <v>637</v>
      </c>
      <c r="CE9" s="396" t="str">
        <f t="shared" si="4"/>
        <v>○</v>
      </c>
      <c r="CF9" s="395" t="s">
        <v>8</v>
      </c>
      <c r="CG9" s="397" t="str">
        <f t="shared" si="5"/>
        <v>○</v>
      </c>
      <c r="CH9" s="101"/>
      <c r="CI9" s="2"/>
      <c r="CJ9" s="2"/>
      <c r="CK9" s="2"/>
      <c r="CL9" s="2"/>
      <c r="CM9" s="323"/>
      <c r="CN9" s="2"/>
      <c r="CO9" s="2"/>
      <c r="CP9" s="2"/>
      <c r="CQ9" s="268" t="s">
        <v>10</v>
      </c>
      <c r="CR9" s="37" t="s">
        <v>10</v>
      </c>
      <c r="CS9" s="37" t="s">
        <v>10</v>
      </c>
      <c r="CT9" s="244" t="s">
        <v>10</v>
      </c>
      <c r="CU9" s="38" t="s">
        <v>10</v>
      </c>
      <c r="CV9" s="37" t="s">
        <v>10</v>
      </c>
      <c r="CW9" s="285" t="s">
        <v>10</v>
      </c>
      <c r="CX9" s="244" t="s">
        <v>10</v>
      </c>
    </row>
    <row r="10" spans="1:102">
      <c r="A10" s="1076"/>
      <c r="B10" s="1079"/>
      <c r="C10" s="1055"/>
      <c r="D10" s="1055"/>
      <c r="E10" s="84" t="s">
        <v>9</v>
      </c>
      <c r="F10" s="38" t="s">
        <v>10</v>
      </c>
      <c r="G10" s="37" t="s">
        <v>10</v>
      </c>
      <c r="H10" s="37" t="s">
        <v>10</v>
      </c>
      <c r="I10" s="1004" t="s">
        <v>10</v>
      </c>
      <c r="J10" s="1005" t="s">
        <v>10</v>
      </c>
      <c r="K10" s="1005" t="s">
        <v>10</v>
      </c>
      <c r="L10" s="34" t="s">
        <v>8</v>
      </c>
      <c r="M10" s="34" t="s">
        <v>8</v>
      </c>
      <c r="N10" s="34" t="s">
        <v>8</v>
      </c>
      <c r="O10" s="34" t="s">
        <v>8</v>
      </c>
      <c r="P10" s="34" t="s">
        <v>8</v>
      </c>
      <c r="Q10" s="34" t="s">
        <v>8</v>
      </c>
      <c r="R10" s="34" t="s">
        <v>8</v>
      </c>
      <c r="S10" s="709" t="s">
        <v>8</v>
      </c>
      <c r="T10" s="709" t="s">
        <v>8</v>
      </c>
      <c r="U10" s="709" t="s">
        <v>8</v>
      </c>
      <c r="V10" s="709" t="s">
        <v>8</v>
      </c>
      <c r="W10" s="47" t="s">
        <v>10</v>
      </c>
      <c r="X10" s="33" t="s">
        <v>10</v>
      </c>
      <c r="Y10" s="33" t="s">
        <v>10</v>
      </c>
      <c r="Z10" s="951" t="s">
        <v>8</v>
      </c>
      <c r="AA10" s="710" t="s">
        <v>8</v>
      </c>
      <c r="AB10" s="710" t="s">
        <v>8</v>
      </c>
      <c r="AC10" s="38" t="s">
        <v>10</v>
      </c>
      <c r="AD10" s="37" t="s">
        <v>10</v>
      </c>
      <c r="AE10" s="37" t="s">
        <v>10</v>
      </c>
      <c r="AF10" s="37" t="s">
        <v>10</v>
      </c>
      <c r="AG10" s="37" t="s">
        <v>10</v>
      </c>
      <c r="AH10" s="33" t="s">
        <v>10</v>
      </c>
      <c r="AI10" s="33" t="s">
        <v>10</v>
      </c>
      <c r="AJ10" s="33" t="s">
        <v>10</v>
      </c>
      <c r="AK10" s="34" t="s">
        <v>8</v>
      </c>
      <c r="AL10" s="34" t="s">
        <v>8</v>
      </c>
      <c r="AM10" s="710" t="s">
        <v>8</v>
      </c>
      <c r="AN10" s="710" t="s">
        <v>8</v>
      </c>
      <c r="AO10" s="710" t="s">
        <v>8</v>
      </c>
      <c r="AP10" s="32" t="str">
        <f t="shared" si="1"/>
        <v>○</v>
      </c>
      <c r="AQ10" s="32" t="str">
        <f t="shared" si="2"/>
        <v>○</v>
      </c>
      <c r="AR10" s="33" t="s">
        <v>10</v>
      </c>
      <c r="AS10" s="33" t="s">
        <v>10</v>
      </c>
      <c r="AT10" s="33" t="s">
        <v>10</v>
      </c>
      <c r="AU10" s="33" t="s">
        <v>10</v>
      </c>
      <c r="AV10" s="739" t="s">
        <v>8</v>
      </c>
      <c r="AW10" s="33" t="s">
        <v>10</v>
      </c>
      <c r="AX10" s="398" t="s">
        <v>10</v>
      </c>
      <c r="AY10" s="398" t="s">
        <v>10</v>
      </c>
      <c r="AZ10" s="395" t="s">
        <v>8</v>
      </c>
      <c r="BA10" s="395" t="s">
        <v>8</v>
      </c>
      <c r="BB10" s="33" t="s">
        <v>10</v>
      </c>
      <c r="BC10" s="33" t="s">
        <v>10</v>
      </c>
      <c r="BD10" s="739" t="s">
        <v>8</v>
      </c>
      <c r="BE10" s="33" t="s">
        <v>10</v>
      </c>
      <c r="BF10" s="395" t="str">
        <f t="shared" si="0"/>
        <v>○</v>
      </c>
      <c r="BG10" s="34" t="s">
        <v>637</v>
      </c>
      <c r="BH10" s="739" t="s">
        <v>8</v>
      </c>
      <c r="BI10" s="739" t="s">
        <v>8</v>
      </c>
      <c r="BJ10" s="34" t="s">
        <v>637</v>
      </c>
      <c r="BK10" s="34" t="s">
        <v>637</v>
      </c>
      <c r="BL10" s="34" t="s">
        <v>8</v>
      </c>
      <c r="BM10" s="395" t="s">
        <v>637</v>
      </c>
      <c r="BN10" s="395"/>
      <c r="BO10" s="360" t="s">
        <v>8</v>
      </c>
      <c r="BP10" s="395" t="str">
        <f t="shared" si="3"/>
        <v>×</v>
      </c>
      <c r="BQ10" s="739" t="s">
        <v>8</v>
      </c>
      <c r="BR10" s="739" t="s">
        <v>8</v>
      </c>
      <c r="BS10" s="739" t="s">
        <v>8</v>
      </c>
      <c r="BT10" s="739" t="s">
        <v>8</v>
      </c>
      <c r="BU10" s="34" t="s">
        <v>637</v>
      </c>
      <c r="BV10" s="34" t="s">
        <v>637</v>
      </c>
      <c r="BW10" s="34" t="s">
        <v>637</v>
      </c>
      <c r="BX10" s="360" t="s">
        <v>8</v>
      </c>
      <c r="BY10" s="34" t="s">
        <v>637</v>
      </c>
      <c r="BZ10" s="34" t="s">
        <v>637</v>
      </c>
      <c r="CA10" s="34" t="s">
        <v>637</v>
      </c>
      <c r="CB10" s="34" t="s">
        <v>637</v>
      </c>
      <c r="CC10" s="739" t="s">
        <v>8</v>
      </c>
      <c r="CD10" s="34" t="s">
        <v>8</v>
      </c>
      <c r="CE10" s="396" t="str">
        <f t="shared" si="4"/>
        <v>×</v>
      </c>
      <c r="CF10" s="395" t="s">
        <v>8</v>
      </c>
      <c r="CG10" s="397" t="str">
        <f t="shared" si="5"/>
        <v>×</v>
      </c>
      <c r="CH10" s="101"/>
      <c r="CI10" s="2"/>
      <c r="CJ10" s="2"/>
      <c r="CK10" s="2"/>
      <c r="CL10" s="2"/>
      <c r="CM10" s="323"/>
      <c r="CN10" s="2"/>
      <c r="CO10" s="2"/>
      <c r="CP10" s="2"/>
      <c r="CQ10" s="268" t="s">
        <v>10</v>
      </c>
      <c r="CR10" s="37" t="s">
        <v>10</v>
      </c>
      <c r="CS10" s="37" t="s">
        <v>10</v>
      </c>
      <c r="CT10" s="244" t="s">
        <v>10</v>
      </c>
      <c r="CU10" s="38" t="s">
        <v>10</v>
      </c>
      <c r="CV10" s="37" t="s">
        <v>10</v>
      </c>
      <c r="CW10" s="285" t="s">
        <v>10</v>
      </c>
      <c r="CX10" s="244" t="s">
        <v>10</v>
      </c>
    </row>
    <row r="11" spans="1:102" ht="14.25" thickBot="1">
      <c r="A11" s="1077"/>
      <c r="B11" s="85" t="s">
        <v>11</v>
      </c>
      <c r="C11" s="64">
        <v>297</v>
      </c>
      <c r="D11" s="64">
        <v>420</v>
      </c>
      <c r="E11" s="86" t="s">
        <v>7</v>
      </c>
      <c r="F11" s="67" t="s">
        <v>10</v>
      </c>
      <c r="G11" s="216" t="s">
        <v>10</v>
      </c>
      <c r="H11" s="216" t="s">
        <v>10</v>
      </c>
      <c r="I11" s="1009" t="s">
        <v>8</v>
      </c>
      <c r="J11" s="1009" t="s">
        <v>8</v>
      </c>
      <c r="K11" s="1009" t="s">
        <v>8</v>
      </c>
      <c r="L11" s="66" t="s">
        <v>8</v>
      </c>
      <c r="M11" s="66" t="s">
        <v>8</v>
      </c>
      <c r="N11" s="66" t="s">
        <v>8</v>
      </c>
      <c r="O11" s="66" t="s">
        <v>8</v>
      </c>
      <c r="P11" s="66" t="s">
        <v>8</v>
      </c>
      <c r="Q11" s="66" t="s">
        <v>8</v>
      </c>
      <c r="R11" s="66" t="s">
        <v>8</v>
      </c>
      <c r="S11" s="945" t="s">
        <v>8</v>
      </c>
      <c r="T11" s="945" t="s">
        <v>8</v>
      </c>
      <c r="U11" s="945" t="s">
        <v>8</v>
      </c>
      <c r="V11" s="945" t="s">
        <v>8</v>
      </c>
      <c r="W11" s="81" t="s">
        <v>10</v>
      </c>
      <c r="X11" s="65" t="s">
        <v>10</v>
      </c>
      <c r="Y11" s="65" t="s">
        <v>10</v>
      </c>
      <c r="Z11" s="952" t="s">
        <v>8</v>
      </c>
      <c r="AA11" s="953" t="s">
        <v>8</v>
      </c>
      <c r="AB11" s="953" t="s">
        <v>8</v>
      </c>
      <c r="AC11" s="67" t="s">
        <v>10</v>
      </c>
      <c r="AD11" s="216" t="s">
        <v>10</v>
      </c>
      <c r="AE11" s="216" t="s">
        <v>10</v>
      </c>
      <c r="AF11" s="308" t="s">
        <v>8</v>
      </c>
      <c r="AG11" s="308" t="s">
        <v>8</v>
      </c>
      <c r="AH11" s="65" t="s">
        <v>10</v>
      </c>
      <c r="AI11" s="65" t="s">
        <v>10</v>
      </c>
      <c r="AJ11" s="65" t="s">
        <v>10</v>
      </c>
      <c r="AK11" s="66" t="s">
        <v>8</v>
      </c>
      <c r="AL11" s="66" t="s">
        <v>8</v>
      </c>
      <c r="AM11" s="953" t="s">
        <v>8</v>
      </c>
      <c r="AN11" s="953" t="s">
        <v>8</v>
      </c>
      <c r="AO11" s="953" t="s">
        <v>8</v>
      </c>
      <c r="AP11" s="308" t="str">
        <f t="shared" si="1"/>
        <v>×</v>
      </c>
      <c r="AQ11" s="308" t="str">
        <f t="shared" si="2"/>
        <v>×</v>
      </c>
      <c r="AR11" s="65" t="s">
        <v>10</v>
      </c>
      <c r="AS11" s="65" t="s">
        <v>10</v>
      </c>
      <c r="AT11" s="65" t="s">
        <v>10</v>
      </c>
      <c r="AU11" s="65" t="s">
        <v>10</v>
      </c>
      <c r="AV11" s="891" t="s">
        <v>8</v>
      </c>
      <c r="AW11" s="65" t="s">
        <v>10</v>
      </c>
      <c r="AX11" s="399" t="s">
        <v>10</v>
      </c>
      <c r="AY11" s="399" t="s">
        <v>10</v>
      </c>
      <c r="AZ11" s="399" t="s">
        <v>10</v>
      </c>
      <c r="BA11" s="403" t="s">
        <v>8</v>
      </c>
      <c r="BB11" s="65" t="s">
        <v>10</v>
      </c>
      <c r="BC11" s="65" t="s">
        <v>10</v>
      </c>
      <c r="BD11" s="891" t="s">
        <v>8</v>
      </c>
      <c r="BE11" s="65" t="s">
        <v>10</v>
      </c>
      <c r="BF11" s="403" t="str">
        <f t="shared" si="0"/>
        <v>○</v>
      </c>
      <c r="BG11" s="66" t="s">
        <v>637</v>
      </c>
      <c r="BH11" s="891" t="s">
        <v>8</v>
      </c>
      <c r="BI11" s="891" t="s">
        <v>8</v>
      </c>
      <c r="BJ11" s="66" t="s">
        <v>637</v>
      </c>
      <c r="BK11" s="66" t="s">
        <v>637</v>
      </c>
      <c r="BL11" s="66" t="s">
        <v>637</v>
      </c>
      <c r="BM11" s="403" t="s">
        <v>637</v>
      </c>
      <c r="BN11" s="403"/>
      <c r="BO11" s="366" t="s">
        <v>8</v>
      </c>
      <c r="BP11" s="403" t="str">
        <f t="shared" si="3"/>
        <v>○</v>
      </c>
      <c r="BQ11" s="891" t="s">
        <v>8</v>
      </c>
      <c r="BR11" s="891" t="s">
        <v>8</v>
      </c>
      <c r="BS11" s="891" t="s">
        <v>8</v>
      </c>
      <c r="BT11" s="891" t="s">
        <v>8</v>
      </c>
      <c r="BU11" s="66" t="s">
        <v>637</v>
      </c>
      <c r="BV11" s="66" t="s">
        <v>637</v>
      </c>
      <c r="BW11" s="66" t="s">
        <v>637</v>
      </c>
      <c r="BX11" s="361" t="s">
        <v>8</v>
      </c>
      <c r="BY11" s="66" t="s">
        <v>637</v>
      </c>
      <c r="BZ11" s="66" t="s">
        <v>637</v>
      </c>
      <c r="CA11" s="66" t="s">
        <v>637</v>
      </c>
      <c r="CB11" s="66" t="s">
        <v>637</v>
      </c>
      <c r="CC11" s="739" t="s">
        <v>8</v>
      </c>
      <c r="CD11" s="66" t="s">
        <v>637</v>
      </c>
      <c r="CE11" s="400" t="str">
        <f t="shared" si="4"/>
        <v>○</v>
      </c>
      <c r="CF11" s="403" t="s">
        <v>637</v>
      </c>
      <c r="CG11" s="401" t="str">
        <f t="shared" si="5"/>
        <v>×</v>
      </c>
      <c r="CH11" s="102"/>
      <c r="CI11" s="521"/>
      <c r="CJ11" s="521"/>
      <c r="CK11" s="521"/>
      <c r="CL11" s="521"/>
      <c r="CM11" s="528"/>
      <c r="CN11" s="521"/>
      <c r="CO11" s="521"/>
      <c r="CP11" s="521"/>
      <c r="CQ11" s="269" t="s">
        <v>10</v>
      </c>
      <c r="CR11" s="216" t="s">
        <v>10</v>
      </c>
      <c r="CS11" s="216" t="s">
        <v>10</v>
      </c>
      <c r="CT11" s="245" t="s">
        <v>10</v>
      </c>
      <c r="CU11" s="67" t="s">
        <v>10</v>
      </c>
      <c r="CV11" s="216" t="s">
        <v>10</v>
      </c>
      <c r="CW11" s="286" t="s">
        <v>10</v>
      </c>
      <c r="CX11" s="245" t="s">
        <v>10</v>
      </c>
    </row>
    <row r="12" spans="1:102" ht="13.5" customHeight="1">
      <c r="A12" s="1075" t="s">
        <v>274</v>
      </c>
      <c r="B12" s="1078" t="s">
        <v>12</v>
      </c>
      <c r="C12" s="1054">
        <v>128</v>
      </c>
      <c r="D12" s="1054">
        <v>182</v>
      </c>
      <c r="E12" s="87" t="s">
        <v>7</v>
      </c>
      <c r="F12" s="63" t="s">
        <v>8</v>
      </c>
      <c r="G12" s="60" t="s">
        <v>8</v>
      </c>
      <c r="H12" s="60" t="s">
        <v>8</v>
      </c>
      <c r="I12" s="1001" t="s">
        <v>8</v>
      </c>
      <c r="J12" s="1002" t="s">
        <v>8</v>
      </c>
      <c r="K12" s="1002" t="s">
        <v>8</v>
      </c>
      <c r="L12" s="62" t="s">
        <v>8</v>
      </c>
      <c r="M12" s="62" t="s">
        <v>8</v>
      </c>
      <c r="N12" s="62" t="s">
        <v>8</v>
      </c>
      <c r="O12" s="62" t="s">
        <v>8</v>
      </c>
      <c r="P12" s="62" t="s">
        <v>8</v>
      </c>
      <c r="Q12" s="62" t="s">
        <v>8</v>
      </c>
      <c r="R12" s="62" t="s">
        <v>8</v>
      </c>
      <c r="S12" s="946" t="s">
        <v>8</v>
      </c>
      <c r="T12" s="946" t="s">
        <v>8</v>
      </c>
      <c r="U12" s="946" t="s">
        <v>8</v>
      </c>
      <c r="V12" s="946" t="s">
        <v>8</v>
      </c>
      <c r="W12" s="296" t="s">
        <v>8</v>
      </c>
      <c r="X12" s="62" t="s">
        <v>8</v>
      </c>
      <c r="Y12" s="62" t="s">
        <v>8</v>
      </c>
      <c r="Z12" s="954" t="s">
        <v>8</v>
      </c>
      <c r="AA12" s="954" t="s">
        <v>8</v>
      </c>
      <c r="AB12" s="954" t="s">
        <v>8</v>
      </c>
      <c r="AC12" s="63" t="s">
        <v>8</v>
      </c>
      <c r="AD12" s="60" t="s">
        <v>8</v>
      </c>
      <c r="AE12" s="60" t="s">
        <v>8</v>
      </c>
      <c r="AF12" s="60" t="s">
        <v>8</v>
      </c>
      <c r="AG12" s="60" t="s">
        <v>8</v>
      </c>
      <c r="AH12" s="61" t="s">
        <v>10</v>
      </c>
      <c r="AI12" s="61" t="s">
        <v>10</v>
      </c>
      <c r="AJ12" s="62" t="s">
        <v>8</v>
      </c>
      <c r="AK12" s="61" t="s">
        <v>10</v>
      </c>
      <c r="AL12" s="62" t="s">
        <v>58</v>
      </c>
      <c r="AM12" s="954" t="s">
        <v>8</v>
      </c>
      <c r="AN12" s="954" t="s">
        <v>8</v>
      </c>
      <c r="AO12" s="954" t="s">
        <v>8</v>
      </c>
      <c r="AP12" s="60" t="str">
        <f t="shared" si="1"/>
        <v>×</v>
      </c>
      <c r="AQ12" s="60" t="str">
        <f t="shared" si="2"/>
        <v>×</v>
      </c>
      <c r="AR12" s="61" t="s">
        <v>10</v>
      </c>
      <c r="AS12" s="61" t="s">
        <v>10</v>
      </c>
      <c r="AT12" s="61" t="s">
        <v>10</v>
      </c>
      <c r="AU12" s="61" t="s">
        <v>10</v>
      </c>
      <c r="AV12" s="881" t="s">
        <v>8</v>
      </c>
      <c r="AW12" s="62" t="s">
        <v>8</v>
      </c>
      <c r="AX12" s="61" t="s">
        <v>10</v>
      </c>
      <c r="AY12" s="62" t="s">
        <v>8</v>
      </c>
      <c r="AZ12" s="62" t="s">
        <v>8</v>
      </c>
      <c r="BA12" s="392" t="s">
        <v>8</v>
      </c>
      <c r="BB12" s="61" t="s">
        <v>10</v>
      </c>
      <c r="BC12" s="62" t="s">
        <v>8</v>
      </c>
      <c r="BD12" s="881" t="s">
        <v>8</v>
      </c>
      <c r="BE12" s="62" t="s">
        <v>8</v>
      </c>
      <c r="BF12" s="392" t="str">
        <f t="shared" si="0"/>
        <v>×</v>
      </c>
      <c r="BG12" s="62" t="s">
        <v>8</v>
      </c>
      <c r="BH12" s="881" t="s">
        <v>8</v>
      </c>
      <c r="BI12" s="881" t="s">
        <v>8</v>
      </c>
      <c r="BJ12" s="62" t="s">
        <v>8</v>
      </c>
      <c r="BK12" s="62" t="s">
        <v>8</v>
      </c>
      <c r="BL12" s="62" t="s">
        <v>8</v>
      </c>
      <c r="BM12" s="392" t="s">
        <v>8</v>
      </c>
      <c r="BN12" s="392"/>
      <c r="BO12" s="365" t="s">
        <v>8</v>
      </c>
      <c r="BP12" s="392" t="str">
        <f t="shared" si="3"/>
        <v>×</v>
      </c>
      <c r="BQ12" s="881" t="s">
        <v>8</v>
      </c>
      <c r="BR12" s="881" t="s">
        <v>8</v>
      </c>
      <c r="BS12" s="881" t="s">
        <v>8</v>
      </c>
      <c r="BT12" s="881" t="s">
        <v>8</v>
      </c>
      <c r="BU12" s="62" t="s">
        <v>8</v>
      </c>
      <c r="BV12" s="62" t="s">
        <v>8</v>
      </c>
      <c r="BW12" s="62" t="s">
        <v>8</v>
      </c>
      <c r="BX12" s="483" t="s">
        <v>8</v>
      </c>
      <c r="BY12" s="392" t="s">
        <v>8</v>
      </c>
      <c r="BZ12" s="392" t="s">
        <v>8</v>
      </c>
      <c r="CA12" s="392" t="s">
        <v>8</v>
      </c>
      <c r="CB12" s="392" t="s">
        <v>8</v>
      </c>
      <c r="CC12" s="739" t="s">
        <v>8</v>
      </c>
      <c r="CD12" s="62" t="s">
        <v>8</v>
      </c>
      <c r="CE12" s="393" t="str">
        <f t="shared" si="4"/>
        <v>×</v>
      </c>
      <c r="CF12" s="392" t="s">
        <v>8</v>
      </c>
      <c r="CG12" s="402" t="str">
        <f t="shared" si="5"/>
        <v>×</v>
      </c>
      <c r="CH12" s="103"/>
      <c r="CI12" s="2"/>
      <c r="CJ12" s="2"/>
      <c r="CK12" s="2"/>
      <c r="CL12" s="2"/>
      <c r="CM12" s="323"/>
      <c r="CN12" s="2"/>
      <c r="CO12" s="2"/>
      <c r="CP12" s="2"/>
      <c r="CQ12" s="270" t="s">
        <v>8</v>
      </c>
      <c r="CR12" s="60" t="s">
        <v>8</v>
      </c>
      <c r="CS12" s="60" t="s">
        <v>8</v>
      </c>
      <c r="CT12" s="246" t="s">
        <v>8</v>
      </c>
      <c r="CU12" s="63" t="s">
        <v>58</v>
      </c>
      <c r="CV12" s="60" t="s">
        <v>8</v>
      </c>
      <c r="CW12" s="287" t="s">
        <v>8</v>
      </c>
      <c r="CX12" s="246" t="s">
        <v>8</v>
      </c>
    </row>
    <row r="13" spans="1:102">
      <c r="A13" s="1076"/>
      <c r="B13" s="1079"/>
      <c r="C13" s="1055"/>
      <c r="D13" s="1055"/>
      <c r="E13" s="460" t="s">
        <v>9</v>
      </c>
      <c r="F13" s="362" t="s">
        <v>8</v>
      </c>
      <c r="G13" s="360" t="s">
        <v>8</v>
      </c>
      <c r="H13" s="360" t="s">
        <v>8</v>
      </c>
      <c r="I13" s="708" t="s">
        <v>8</v>
      </c>
      <c r="J13" s="706" t="s">
        <v>8</v>
      </c>
      <c r="K13" s="706" t="s">
        <v>8</v>
      </c>
      <c r="L13" s="360" t="s">
        <v>8</v>
      </c>
      <c r="M13" s="360" t="s">
        <v>8</v>
      </c>
      <c r="N13" s="360" t="s">
        <v>8</v>
      </c>
      <c r="O13" s="360" t="s">
        <v>8</v>
      </c>
      <c r="P13" s="360" t="s">
        <v>8</v>
      </c>
      <c r="Q13" s="706" t="s">
        <v>8</v>
      </c>
      <c r="R13" s="706" t="s">
        <v>8</v>
      </c>
      <c r="S13" s="709" t="s">
        <v>8</v>
      </c>
      <c r="T13" s="709" t="s">
        <v>8</v>
      </c>
      <c r="U13" s="709" t="s">
        <v>8</v>
      </c>
      <c r="V13" s="709" t="s">
        <v>8</v>
      </c>
      <c r="W13" s="362" t="s">
        <v>8</v>
      </c>
      <c r="X13" s="360" t="s">
        <v>8</v>
      </c>
      <c r="Y13" s="360" t="s">
        <v>8</v>
      </c>
      <c r="Z13" s="710" t="s">
        <v>8</v>
      </c>
      <c r="AA13" s="710" t="s">
        <v>8</v>
      </c>
      <c r="AB13" s="710" t="s">
        <v>8</v>
      </c>
      <c r="AC13" s="362" t="s">
        <v>8</v>
      </c>
      <c r="AD13" s="360" t="s">
        <v>8</v>
      </c>
      <c r="AE13" s="360" t="s">
        <v>8</v>
      </c>
      <c r="AF13" s="364" t="s">
        <v>8</v>
      </c>
      <c r="AG13" s="364" t="s">
        <v>8</v>
      </c>
      <c r="AH13" s="364" t="s">
        <v>8</v>
      </c>
      <c r="AI13" s="364" t="s">
        <v>8</v>
      </c>
      <c r="AJ13" s="364" t="s">
        <v>8</v>
      </c>
      <c r="AK13" s="364" t="s">
        <v>8</v>
      </c>
      <c r="AL13" s="360" t="s">
        <v>8</v>
      </c>
      <c r="AM13" s="710" t="s">
        <v>8</v>
      </c>
      <c r="AN13" s="710" t="s">
        <v>8</v>
      </c>
      <c r="AO13" s="710" t="s">
        <v>8</v>
      </c>
      <c r="AP13" s="364" t="str">
        <f t="shared" si="1"/>
        <v>×</v>
      </c>
      <c r="AQ13" s="364" t="str">
        <f t="shared" si="2"/>
        <v>×</v>
      </c>
      <c r="AR13" s="360" t="s">
        <v>8</v>
      </c>
      <c r="AS13" s="360" t="s">
        <v>8</v>
      </c>
      <c r="AT13" s="360" t="s">
        <v>8</v>
      </c>
      <c r="AU13" s="360" t="s">
        <v>8</v>
      </c>
      <c r="AV13" s="739" t="s">
        <v>8</v>
      </c>
      <c r="AW13" s="741" t="s">
        <v>8</v>
      </c>
      <c r="AX13" s="741" t="s">
        <v>8</v>
      </c>
      <c r="AY13" s="741" t="s">
        <v>8</v>
      </c>
      <c r="AZ13" s="741" t="s">
        <v>8</v>
      </c>
      <c r="BA13" s="741" t="s">
        <v>8</v>
      </c>
      <c r="BB13" s="741" t="s">
        <v>8</v>
      </c>
      <c r="BC13" s="741" t="s">
        <v>8</v>
      </c>
      <c r="BD13" s="739" t="s">
        <v>8</v>
      </c>
      <c r="BE13" s="741" t="s">
        <v>8</v>
      </c>
      <c r="BF13" s="741" t="str">
        <f t="shared" si="0"/>
        <v>×</v>
      </c>
      <c r="BG13" s="741" t="s">
        <v>8</v>
      </c>
      <c r="BH13" s="739" t="s">
        <v>8</v>
      </c>
      <c r="BI13" s="739" t="s">
        <v>8</v>
      </c>
      <c r="BJ13" s="741" t="s">
        <v>8</v>
      </c>
      <c r="BK13" s="741" t="s">
        <v>8</v>
      </c>
      <c r="BL13" s="741" t="s">
        <v>8</v>
      </c>
      <c r="BM13" s="741" t="s">
        <v>8</v>
      </c>
      <c r="BN13" s="741"/>
      <c r="BO13" s="741" t="s">
        <v>8</v>
      </c>
      <c r="BP13" s="741" t="s">
        <v>8</v>
      </c>
      <c r="BQ13" s="739" t="s">
        <v>8</v>
      </c>
      <c r="BR13" s="739" t="s">
        <v>8</v>
      </c>
      <c r="BS13" s="739" t="s">
        <v>8</v>
      </c>
      <c r="BT13" s="739" t="s">
        <v>8</v>
      </c>
      <c r="BU13" s="741" t="s">
        <v>8</v>
      </c>
      <c r="BV13" s="741" t="s">
        <v>8</v>
      </c>
      <c r="BW13" s="741" t="s">
        <v>8</v>
      </c>
      <c r="BX13" s="706" t="s">
        <v>8</v>
      </c>
      <c r="BY13" s="706" t="s">
        <v>8</v>
      </c>
      <c r="BZ13" s="706" t="s">
        <v>8</v>
      </c>
      <c r="CA13" s="706" t="s">
        <v>8</v>
      </c>
      <c r="CB13" s="706" t="s">
        <v>8</v>
      </c>
      <c r="CC13" s="739" t="s">
        <v>8</v>
      </c>
      <c r="CD13" s="706" t="s">
        <v>8</v>
      </c>
      <c r="CE13" s="711" t="str">
        <f t="shared" si="4"/>
        <v>×</v>
      </c>
      <c r="CF13" s="360" t="s">
        <v>8</v>
      </c>
      <c r="CG13" s="373" t="str">
        <f t="shared" si="5"/>
        <v>×</v>
      </c>
      <c r="CH13" s="461"/>
      <c r="CI13" s="2"/>
      <c r="CJ13" s="2"/>
      <c r="CK13" s="2"/>
      <c r="CL13" s="2"/>
      <c r="CM13" s="323"/>
      <c r="CN13" s="2"/>
      <c r="CO13" s="2"/>
      <c r="CP13" s="2"/>
      <c r="CQ13" s="462" t="s">
        <v>8</v>
      </c>
      <c r="CR13" s="360" t="s">
        <v>8</v>
      </c>
      <c r="CS13" s="360" t="s">
        <v>8</v>
      </c>
      <c r="CT13" s="463" t="s">
        <v>8</v>
      </c>
      <c r="CU13" s="362" t="s">
        <v>8</v>
      </c>
      <c r="CV13" s="360" t="s">
        <v>8</v>
      </c>
      <c r="CW13" s="363" t="s">
        <v>8</v>
      </c>
      <c r="CX13" s="463" t="s">
        <v>8</v>
      </c>
    </row>
    <row r="14" spans="1:102">
      <c r="A14" s="1076"/>
      <c r="B14" s="1078" t="s">
        <v>16</v>
      </c>
      <c r="C14" s="1054">
        <v>182</v>
      </c>
      <c r="D14" s="1054">
        <v>257</v>
      </c>
      <c r="E14" s="84" t="s">
        <v>7</v>
      </c>
      <c r="F14" s="38" t="s">
        <v>10</v>
      </c>
      <c r="G14" s="37" t="s">
        <v>10</v>
      </c>
      <c r="H14" s="37" t="s">
        <v>10</v>
      </c>
      <c r="I14" s="1003" t="s">
        <v>8</v>
      </c>
      <c r="J14" s="997" t="s">
        <v>8</v>
      </c>
      <c r="K14" s="997" t="s">
        <v>8</v>
      </c>
      <c r="L14" s="34" t="s">
        <v>8</v>
      </c>
      <c r="M14" s="34" t="s">
        <v>8</v>
      </c>
      <c r="N14" s="34" t="s">
        <v>8</v>
      </c>
      <c r="O14" s="34" t="s">
        <v>8</v>
      </c>
      <c r="P14" s="34" t="s">
        <v>8</v>
      </c>
      <c r="Q14" s="34" t="s">
        <v>8</v>
      </c>
      <c r="R14" s="34" t="s">
        <v>8</v>
      </c>
      <c r="S14" s="709" t="s">
        <v>8</v>
      </c>
      <c r="T14" s="709" t="s">
        <v>8</v>
      </c>
      <c r="U14" s="709" t="s">
        <v>8</v>
      </c>
      <c r="V14" s="709" t="s">
        <v>8</v>
      </c>
      <c r="W14" s="47" t="s">
        <v>10</v>
      </c>
      <c r="X14" s="33" t="s">
        <v>10</v>
      </c>
      <c r="Y14" s="33" t="s">
        <v>10</v>
      </c>
      <c r="Z14" s="710" t="s">
        <v>8</v>
      </c>
      <c r="AA14" s="710" t="s">
        <v>8</v>
      </c>
      <c r="AB14" s="710" t="s">
        <v>8</v>
      </c>
      <c r="AC14" s="38" t="s">
        <v>10</v>
      </c>
      <c r="AD14" s="37" t="s">
        <v>10</v>
      </c>
      <c r="AE14" s="37" t="s">
        <v>10</v>
      </c>
      <c r="AF14" s="32" t="s">
        <v>8</v>
      </c>
      <c r="AG14" s="32" t="s">
        <v>8</v>
      </c>
      <c r="AH14" s="33" t="s">
        <v>10</v>
      </c>
      <c r="AI14" s="33" t="s">
        <v>10</v>
      </c>
      <c r="AJ14" s="33" t="s">
        <v>10</v>
      </c>
      <c r="AK14" s="33" t="s">
        <v>10</v>
      </c>
      <c r="AL14" s="34" t="s">
        <v>8</v>
      </c>
      <c r="AM14" s="710" t="s">
        <v>8</v>
      </c>
      <c r="AN14" s="710" t="s">
        <v>8</v>
      </c>
      <c r="AO14" s="710" t="s">
        <v>8</v>
      </c>
      <c r="AP14" s="32" t="str">
        <f t="shared" si="1"/>
        <v>×</v>
      </c>
      <c r="AQ14" s="32" t="str">
        <f t="shared" si="2"/>
        <v>×</v>
      </c>
      <c r="AR14" s="33" t="s">
        <v>10</v>
      </c>
      <c r="AS14" s="33" t="s">
        <v>10</v>
      </c>
      <c r="AT14" s="33" t="s">
        <v>10</v>
      </c>
      <c r="AU14" s="33" t="s">
        <v>10</v>
      </c>
      <c r="AV14" s="739" t="s">
        <v>8</v>
      </c>
      <c r="AW14" s="33" t="s">
        <v>10</v>
      </c>
      <c r="AX14" s="33" t="s">
        <v>10</v>
      </c>
      <c r="AY14" s="34" t="s">
        <v>8</v>
      </c>
      <c r="AZ14" s="33" t="s">
        <v>10</v>
      </c>
      <c r="BA14" s="395" t="s">
        <v>8</v>
      </c>
      <c r="BB14" s="33" t="s">
        <v>10</v>
      </c>
      <c r="BC14" s="34" t="s">
        <v>8</v>
      </c>
      <c r="BD14" s="739" t="s">
        <v>8</v>
      </c>
      <c r="BE14" s="34" t="s">
        <v>8</v>
      </c>
      <c r="BF14" s="395" t="str">
        <f t="shared" si="0"/>
        <v>×</v>
      </c>
      <c r="BG14" s="34" t="s">
        <v>8</v>
      </c>
      <c r="BH14" s="739" t="s">
        <v>8</v>
      </c>
      <c r="BI14" s="739" t="s">
        <v>8</v>
      </c>
      <c r="BJ14" s="34" t="s">
        <v>8</v>
      </c>
      <c r="BK14" s="34" t="s">
        <v>8</v>
      </c>
      <c r="BL14" s="34" t="s">
        <v>8</v>
      </c>
      <c r="BM14" s="395" t="s">
        <v>8</v>
      </c>
      <c r="BN14" s="395"/>
      <c r="BO14" s="360" t="s">
        <v>8</v>
      </c>
      <c r="BP14" s="395" t="str">
        <f t="shared" ref="BP14:BP30" si="6">$AZ:$AZ</f>
        <v>○</v>
      </c>
      <c r="BQ14" s="739" t="s">
        <v>8</v>
      </c>
      <c r="BR14" s="739" t="s">
        <v>8</v>
      </c>
      <c r="BS14" s="739" t="s">
        <v>8</v>
      </c>
      <c r="BT14" s="739" t="s">
        <v>8</v>
      </c>
      <c r="BU14" s="34" t="s">
        <v>637</v>
      </c>
      <c r="BV14" s="34" t="s">
        <v>8</v>
      </c>
      <c r="BW14" s="34" t="s">
        <v>8</v>
      </c>
      <c r="BX14" s="360" t="s">
        <v>8</v>
      </c>
      <c r="BY14" s="395" t="s">
        <v>8</v>
      </c>
      <c r="BZ14" s="395" t="s">
        <v>8</v>
      </c>
      <c r="CA14" s="395" t="s">
        <v>8</v>
      </c>
      <c r="CB14" s="395" t="s">
        <v>8</v>
      </c>
      <c r="CC14" s="739" t="s">
        <v>8</v>
      </c>
      <c r="CD14" s="34" t="s">
        <v>8</v>
      </c>
      <c r="CE14" s="396" t="str">
        <f t="shared" si="4"/>
        <v>○</v>
      </c>
      <c r="CF14" s="395" t="s">
        <v>8</v>
      </c>
      <c r="CG14" s="397" t="str">
        <f t="shared" si="5"/>
        <v>×</v>
      </c>
      <c r="CH14" s="101"/>
      <c r="CI14" s="2"/>
      <c r="CJ14" s="2"/>
      <c r="CK14" s="2"/>
      <c r="CL14" s="2"/>
      <c r="CM14" s="323"/>
      <c r="CN14" s="2"/>
      <c r="CO14" s="2"/>
      <c r="CP14" s="2"/>
      <c r="CQ14" s="268" t="s">
        <v>10</v>
      </c>
      <c r="CR14" s="37" t="s">
        <v>10</v>
      </c>
      <c r="CS14" s="37" t="s">
        <v>10</v>
      </c>
      <c r="CT14" s="244" t="s">
        <v>10</v>
      </c>
      <c r="CU14" s="38" t="s">
        <v>10</v>
      </c>
      <c r="CV14" s="37" t="s">
        <v>10</v>
      </c>
      <c r="CW14" s="285" t="s">
        <v>10</v>
      </c>
      <c r="CX14" s="244" t="s">
        <v>10</v>
      </c>
    </row>
    <row r="15" spans="1:102">
      <c r="A15" s="1076"/>
      <c r="B15" s="1079"/>
      <c r="C15" s="1055"/>
      <c r="D15" s="1055"/>
      <c r="E15" s="84" t="s">
        <v>9</v>
      </c>
      <c r="F15" s="38" t="s">
        <v>275</v>
      </c>
      <c r="G15" s="37" t="s">
        <v>276</v>
      </c>
      <c r="H15" s="37" t="s">
        <v>276</v>
      </c>
      <c r="I15" s="1004" t="s">
        <v>275</v>
      </c>
      <c r="J15" s="1005" t="s">
        <v>276</v>
      </c>
      <c r="K15" s="1005" t="s">
        <v>276</v>
      </c>
      <c r="L15" s="34" t="s">
        <v>8</v>
      </c>
      <c r="M15" s="34" t="s">
        <v>8</v>
      </c>
      <c r="N15" s="34" t="s">
        <v>8</v>
      </c>
      <c r="O15" s="34" t="s">
        <v>8</v>
      </c>
      <c r="P15" s="34" t="s">
        <v>8</v>
      </c>
      <c r="Q15" s="34" t="s">
        <v>8</v>
      </c>
      <c r="R15" s="34" t="s">
        <v>8</v>
      </c>
      <c r="S15" s="709" t="s">
        <v>8</v>
      </c>
      <c r="T15" s="709" t="s">
        <v>8</v>
      </c>
      <c r="U15" s="709" t="s">
        <v>8</v>
      </c>
      <c r="V15" s="709" t="s">
        <v>8</v>
      </c>
      <c r="W15" s="47" t="s">
        <v>275</v>
      </c>
      <c r="X15" s="33" t="s">
        <v>276</v>
      </c>
      <c r="Y15" s="33" t="s">
        <v>276</v>
      </c>
      <c r="Z15" s="710" t="s">
        <v>8</v>
      </c>
      <c r="AA15" s="710" t="s">
        <v>8</v>
      </c>
      <c r="AB15" s="710" t="s">
        <v>8</v>
      </c>
      <c r="AC15" s="38" t="s">
        <v>275</v>
      </c>
      <c r="AD15" s="37" t="s">
        <v>276</v>
      </c>
      <c r="AE15" s="37" t="s">
        <v>276</v>
      </c>
      <c r="AF15" s="38" t="s">
        <v>275</v>
      </c>
      <c r="AG15" s="37" t="s">
        <v>276</v>
      </c>
      <c r="AH15" s="33" t="s">
        <v>10</v>
      </c>
      <c r="AI15" s="33" t="s">
        <v>10</v>
      </c>
      <c r="AJ15" s="33" t="s">
        <v>10</v>
      </c>
      <c r="AK15" s="34" t="s">
        <v>8</v>
      </c>
      <c r="AL15" s="34" t="s">
        <v>8</v>
      </c>
      <c r="AM15" s="710" t="s">
        <v>8</v>
      </c>
      <c r="AN15" s="710" t="s">
        <v>8</v>
      </c>
      <c r="AO15" s="710" t="s">
        <v>8</v>
      </c>
      <c r="AP15" s="32" t="str">
        <f t="shared" si="1"/>
        <v>◎(2)</v>
      </c>
      <c r="AQ15" s="32" t="str">
        <f t="shared" si="2"/>
        <v>●(2)</v>
      </c>
      <c r="AR15" s="33" t="s">
        <v>10</v>
      </c>
      <c r="AS15" s="33" t="s">
        <v>10</v>
      </c>
      <c r="AT15" s="33" t="s">
        <v>10</v>
      </c>
      <c r="AU15" s="33" t="s">
        <v>10</v>
      </c>
      <c r="AV15" s="739" t="s">
        <v>8</v>
      </c>
      <c r="AW15" s="33" t="s">
        <v>10</v>
      </c>
      <c r="AX15" s="33" t="s">
        <v>10</v>
      </c>
      <c r="AY15" s="33" t="s">
        <v>10</v>
      </c>
      <c r="AZ15" s="34" t="s">
        <v>8</v>
      </c>
      <c r="BA15" s="395" t="s">
        <v>8</v>
      </c>
      <c r="BB15" s="33" t="s">
        <v>10</v>
      </c>
      <c r="BC15" s="33" t="s">
        <v>10</v>
      </c>
      <c r="BD15" s="739" t="s">
        <v>8</v>
      </c>
      <c r="BE15" s="33" t="s">
        <v>10</v>
      </c>
      <c r="BF15" s="395" t="str">
        <f t="shared" si="0"/>
        <v>○</v>
      </c>
      <c r="BG15" s="34" t="s">
        <v>637</v>
      </c>
      <c r="BH15" s="739" t="s">
        <v>8</v>
      </c>
      <c r="BI15" s="739" t="s">
        <v>8</v>
      </c>
      <c r="BJ15" s="34" t="s">
        <v>637</v>
      </c>
      <c r="BK15" s="34" t="s">
        <v>637</v>
      </c>
      <c r="BL15" s="34" t="s">
        <v>8</v>
      </c>
      <c r="BM15" s="395" t="s">
        <v>637</v>
      </c>
      <c r="BN15" s="395"/>
      <c r="BO15" s="360" t="s">
        <v>8</v>
      </c>
      <c r="BP15" s="395" t="str">
        <f t="shared" si="6"/>
        <v>×</v>
      </c>
      <c r="BQ15" s="739" t="s">
        <v>8</v>
      </c>
      <c r="BR15" s="739" t="s">
        <v>8</v>
      </c>
      <c r="BS15" s="739" t="s">
        <v>8</v>
      </c>
      <c r="BT15" s="739" t="s">
        <v>8</v>
      </c>
      <c r="BU15" s="34" t="s">
        <v>637</v>
      </c>
      <c r="BV15" s="34" t="s">
        <v>637</v>
      </c>
      <c r="BW15" s="34" t="s">
        <v>8</v>
      </c>
      <c r="BX15" s="360" t="s">
        <v>8</v>
      </c>
      <c r="BY15" s="34" t="s">
        <v>637</v>
      </c>
      <c r="BZ15" s="34" t="s">
        <v>637</v>
      </c>
      <c r="CA15" s="34" t="s">
        <v>8</v>
      </c>
      <c r="CB15" s="34" t="s">
        <v>8</v>
      </c>
      <c r="CC15" s="739" t="s">
        <v>8</v>
      </c>
      <c r="CD15" s="34" t="s">
        <v>8</v>
      </c>
      <c r="CE15" s="396" t="str">
        <f t="shared" si="4"/>
        <v>×</v>
      </c>
      <c r="CF15" s="395" t="s">
        <v>8</v>
      </c>
      <c r="CG15" s="397" t="str">
        <f t="shared" si="5"/>
        <v>×</v>
      </c>
      <c r="CH15" s="105"/>
      <c r="CI15" s="2"/>
      <c r="CJ15" s="2"/>
      <c r="CK15" s="2"/>
      <c r="CL15" s="2"/>
      <c r="CM15" s="323"/>
      <c r="CN15" s="2"/>
      <c r="CO15" s="2"/>
      <c r="CP15" s="2"/>
      <c r="CQ15" s="268" t="s">
        <v>10</v>
      </c>
      <c r="CR15" s="37" t="s">
        <v>10</v>
      </c>
      <c r="CS15" s="37" t="s">
        <v>10</v>
      </c>
      <c r="CT15" s="244" t="s">
        <v>10</v>
      </c>
      <c r="CU15" s="35" t="s">
        <v>8</v>
      </c>
      <c r="CV15" s="32" t="s">
        <v>8</v>
      </c>
      <c r="CW15" s="284" t="s">
        <v>8</v>
      </c>
      <c r="CX15" s="243" t="s">
        <v>8</v>
      </c>
    </row>
    <row r="16" spans="1:102" ht="14.25" thickBot="1">
      <c r="A16" s="1077"/>
      <c r="B16" s="85" t="s">
        <v>17</v>
      </c>
      <c r="C16" s="64">
        <v>257</v>
      </c>
      <c r="D16" s="64">
        <v>364</v>
      </c>
      <c r="E16" s="86" t="s">
        <v>7</v>
      </c>
      <c r="F16" s="67" t="s">
        <v>10</v>
      </c>
      <c r="G16" s="216" t="s">
        <v>10</v>
      </c>
      <c r="H16" s="216" t="s">
        <v>10</v>
      </c>
      <c r="I16" s="1009" t="s">
        <v>8</v>
      </c>
      <c r="J16" s="1009" t="s">
        <v>8</v>
      </c>
      <c r="K16" s="1009" t="s">
        <v>8</v>
      </c>
      <c r="L16" s="66" t="s">
        <v>1119</v>
      </c>
      <c r="M16" s="66" t="s">
        <v>8</v>
      </c>
      <c r="N16" s="66" t="s">
        <v>8</v>
      </c>
      <c r="O16" s="66" t="s">
        <v>8</v>
      </c>
      <c r="P16" s="66" t="s">
        <v>8</v>
      </c>
      <c r="Q16" s="66" t="s">
        <v>8</v>
      </c>
      <c r="R16" s="66" t="s">
        <v>8</v>
      </c>
      <c r="S16" s="947" t="s">
        <v>8</v>
      </c>
      <c r="T16" s="947" t="s">
        <v>8</v>
      </c>
      <c r="U16" s="947" t="s">
        <v>8</v>
      </c>
      <c r="V16" s="947" t="s">
        <v>8</v>
      </c>
      <c r="W16" s="81" t="s">
        <v>10</v>
      </c>
      <c r="X16" s="65" t="s">
        <v>10</v>
      </c>
      <c r="Y16" s="65" t="s">
        <v>10</v>
      </c>
      <c r="Z16" s="955" t="s">
        <v>8</v>
      </c>
      <c r="AA16" s="955" t="s">
        <v>8</v>
      </c>
      <c r="AB16" s="955" t="s">
        <v>8</v>
      </c>
      <c r="AC16" s="67" t="s">
        <v>10</v>
      </c>
      <c r="AD16" s="216" t="s">
        <v>10</v>
      </c>
      <c r="AE16" s="216" t="s">
        <v>10</v>
      </c>
      <c r="AF16" s="308" t="s">
        <v>8</v>
      </c>
      <c r="AG16" s="308" t="s">
        <v>8</v>
      </c>
      <c r="AH16" s="65" t="s">
        <v>10</v>
      </c>
      <c r="AI16" s="65" t="s">
        <v>10</v>
      </c>
      <c r="AJ16" s="65" t="s">
        <v>57</v>
      </c>
      <c r="AK16" s="66" t="s">
        <v>8</v>
      </c>
      <c r="AL16" s="66" t="s">
        <v>8</v>
      </c>
      <c r="AM16" s="955" t="s">
        <v>8</v>
      </c>
      <c r="AN16" s="955" t="s">
        <v>8</v>
      </c>
      <c r="AO16" s="955" t="s">
        <v>8</v>
      </c>
      <c r="AP16" s="308" t="str">
        <f t="shared" si="1"/>
        <v>×</v>
      </c>
      <c r="AQ16" s="308" t="str">
        <f t="shared" si="2"/>
        <v>×</v>
      </c>
      <c r="AR16" s="65" t="s">
        <v>10</v>
      </c>
      <c r="AS16" s="65" t="s">
        <v>10</v>
      </c>
      <c r="AT16" s="65" t="s">
        <v>10</v>
      </c>
      <c r="AU16" s="65" t="s">
        <v>10</v>
      </c>
      <c r="AV16" s="915" t="s">
        <v>8</v>
      </c>
      <c r="AW16" s="65" t="s">
        <v>10</v>
      </c>
      <c r="AX16" s="65" t="s">
        <v>10</v>
      </c>
      <c r="AY16" s="65" t="s">
        <v>10</v>
      </c>
      <c r="AZ16" s="65" t="s">
        <v>10</v>
      </c>
      <c r="BA16" s="403" t="s">
        <v>8</v>
      </c>
      <c r="BB16" s="65" t="s">
        <v>10</v>
      </c>
      <c r="BC16" s="65" t="s">
        <v>10</v>
      </c>
      <c r="BD16" s="915" t="s">
        <v>8</v>
      </c>
      <c r="BE16" s="65" t="s">
        <v>10</v>
      </c>
      <c r="BF16" s="403" t="str">
        <f t="shared" si="0"/>
        <v>○</v>
      </c>
      <c r="BG16" s="66" t="s">
        <v>637</v>
      </c>
      <c r="BH16" s="915" t="s">
        <v>8</v>
      </c>
      <c r="BI16" s="915" t="s">
        <v>8</v>
      </c>
      <c r="BJ16" s="66" t="s">
        <v>637</v>
      </c>
      <c r="BK16" s="66" t="s">
        <v>637</v>
      </c>
      <c r="BL16" s="66" t="s">
        <v>637</v>
      </c>
      <c r="BM16" s="403" t="s">
        <v>637</v>
      </c>
      <c r="BN16" s="403"/>
      <c r="BO16" s="366" t="s">
        <v>8</v>
      </c>
      <c r="BP16" s="403" t="str">
        <f t="shared" si="6"/>
        <v>○</v>
      </c>
      <c r="BQ16" s="915" t="s">
        <v>8</v>
      </c>
      <c r="BR16" s="915" t="s">
        <v>8</v>
      </c>
      <c r="BS16" s="915" t="s">
        <v>8</v>
      </c>
      <c r="BT16" s="915" t="s">
        <v>8</v>
      </c>
      <c r="BU16" s="66" t="s">
        <v>637</v>
      </c>
      <c r="BV16" s="66" t="s">
        <v>637</v>
      </c>
      <c r="BW16" s="66" t="s">
        <v>8</v>
      </c>
      <c r="BX16" s="366" t="s">
        <v>8</v>
      </c>
      <c r="BY16" s="66" t="s">
        <v>637</v>
      </c>
      <c r="BZ16" s="66" t="s">
        <v>637</v>
      </c>
      <c r="CA16" s="66" t="s">
        <v>8</v>
      </c>
      <c r="CB16" s="66" t="s">
        <v>8</v>
      </c>
      <c r="CC16" s="739" t="s">
        <v>8</v>
      </c>
      <c r="CD16" s="66" t="s">
        <v>637</v>
      </c>
      <c r="CE16" s="400" t="str">
        <f t="shared" si="4"/>
        <v>○</v>
      </c>
      <c r="CF16" s="403" t="s">
        <v>637</v>
      </c>
      <c r="CG16" s="401" t="str">
        <f t="shared" si="5"/>
        <v>×</v>
      </c>
      <c r="CH16" s="102"/>
      <c r="CI16" s="521"/>
      <c r="CJ16" s="521"/>
      <c r="CK16" s="521"/>
      <c r="CL16" s="521"/>
      <c r="CM16" s="528"/>
      <c r="CN16" s="521"/>
      <c r="CO16" s="521"/>
      <c r="CP16" s="521"/>
      <c r="CQ16" s="269" t="s">
        <v>10</v>
      </c>
      <c r="CR16" s="216" t="s">
        <v>10</v>
      </c>
      <c r="CS16" s="216" t="s">
        <v>10</v>
      </c>
      <c r="CT16" s="245" t="s">
        <v>10</v>
      </c>
      <c r="CU16" s="67" t="s">
        <v>10</v>
      </c>
      <c r="CV16" s="216" t="s">
        <v>10</v>
      </c>
      <c r="CW16" s="286" t="s">
        <v>10</v>
      </c>
      <c r="CX16" s="245" t="s">
        <v>10</v>
      </c>
    </row>
    <row r="17" spans="1:102" ht="13.5" customHeight="1">
      <c r="A17" s="1075" t="s">
        <v>277</v>
      </c>
      <c r="B17" s="1078" t="s">
        <v>278</v>
      </c>
      <c r="C17" s="1054">
        <v>139.69999999999999</v>
      </c>
      <c r="D17" s="1054">
        <v>215.9</v>
      </c>
      <c r="E17" s="87" t="s">
        <v>7</v>
      </c>
      <c r="F17" s="171" t="s">
        <v>279</v>
      </c>
      <c r="G17" s="171" t="s">
        <v>279</v>
      </c>
      <c r="H17" s="68" t="s">
        <v>280</v>
      </c>
      <c r="I17" s="1006" t="s">
        <v>279</v>
      </c>
      <c r="J17" s="1006" t="s">
        <v>279</v>
      </c>
      <c r="K17" s="1007" t="s">
        <v>280</v>
      </c>
      <c r="L17" s="62" t="s">
        <v>8</v>
      </c>
      <c r="M17" s="62" t="s">
        <v>8</v>
      </c>
      <c r="N17" s="62" t="s">
        <v>8</v>
      </c>
      <c r="O17" s="62" t="s">
        <v>8</v>
      </c>
      <c r="P17" s="62" t="s">
        <v>8</v>
      </c>
      <c r="Q17" s="62" t="s">
        <v>8</v>
      </c>
      <c r="R17" s="62" t="s">
        <v>8</v>
      </c>
      <c r="S17" s="709" t="s">
        <v>8</v>
      </c>
      <c r="T17" s="709" t="s">
        <v>8</v>
      </c>
      <c r="U17" s="709" t="s">
        <v>8</v>
      </c>
      <c r="V17" s="709" t="s">
        <v>8</v>
      </c>
      <c r="W17" s="342" t="s">
        <v>279</v>
      </c>
      <c r="X17" s="342" t="s">
        <v>279</v>
      </c>
      <c r="Y17" s="61" t="s">
        <v>280</v>
      </c>
      <c r="Z17" s="951" t="s">
        <v>8</v>
      </c>
      <c r="AA17" s="710" t="s">
        <v>8</v>
      </c>
      <c r="AB17" s="710" t="s">
        <v>8</v>
      </c>
      <c r="AC17" s="171" t="s">
        <v>279</v>
      </c>
      <c r="AD17" s="171" t="s">
        <v>279</v>
      </c>
      <c r="AE17" s="68" t="s">
        <v>280</v>
      </c>
      <c r="AF17" s="60" t="s">
        <v>8</v>
      </c>
      <c r="AG17" s="60" t="s">
        <v>8</v>
      </c>
      <c r="AH17" s="61" t="s">
        <v>10</v>
      </c>
      <c r="AI17" s="61" t="s">
        <v>10</v>
      </c>
      <c r="AJ17" s="62" t="s">
        <v>8</v>
      </c>
      <c r="AK17" s="62" t="s">
        <v>8</v>
      </c>
      <c r="AL17" s="62" t="s">
        <v>8</v>
      </c>
      <c r="AM17" s="710" t="s">
        <v>8</v>
      </c>
      <c r="AN17" s="710" t="s">
        <v>8</v>
      </c>
      <c r="AO17" s="710" t="s">
        <v>8</v>
      </c>
      <c r="AP17" s="60" t="str">
        <f t="shared" si="1"/>
        <v>×</v>
      </c>
      <c r="AQ17" s="60" t="str">
        <f t="shared" si="2"/>
        <v>×</v>
      </c>
      <c r="AR17" s="61" t="s">
        <v>10</v>
      </c>
      <c r="AS17" s="61" t="s">
        <v>10</v>
      </c>
      <c r="AT17" s="61" t="s">
        <v>10</v>
      </c>
      <c r="AU17" s="61" t="s">
        <v>10</v>
      </c>
      <c r="AV17" s="739" t="s">
        <v>8</v>
      </c>
      <c r="AW17" s="62" t="s">
        <v>8</v>
      </c>
      <c r="AX17" s="61" t="s">
        <v>10</v>
      </c>
      <c r="AY17" s="62" t="s">
        <v>8</v>
      </c>
      <c r="AZ17" s="62" t="s">
        <v>8</v>
      </c>
      <c r="BA17" s="392" t="s">
        <v>8</v>
      </c>
      <c r="BB17" s="61" t="s">
        <v>10</v>
      </c>
      <c r="BC17" s="62" t="s">
        <v>8</v>
      </c>
      <c r="BD17" s="739" t="s">
        <v>8</v>
      </c>
      <c r="BE17" s="62" t="s">
        <v>8</v>
      </c>
      <c r="BF17" s="392" t="str">
        <f t="shared" si="0"/>
        <v>×</v>
      </c>
      <c r="BG17" s="62" t="s">
        <v>8</v>
      </c>
      <c r="BH17" s="739" t="s">
        <v>8</v>
      </c>
      <c r="BI17" s="739" t="s">
        <v>8</v>
      </c>
      <c r="BJ17" s="62" t="s">
        <v>8</v>
      </c>
      <c r="BK17" s="62" t="s">
        <v>8</v>
      </c>
      <c r="BL17" s="62" t="s">
        <v>8</v>
      </c>
      <c r="BM17" s="392" t="s">
        <v>8</v>
      </c>
      <c r="BN17" s="392"/>
      <c r="BO17" s="365" t="s">
        <v>8</v>
      </c>
      <c r="BP17" s="392" t="str">
        <f t="shared" si="6"/>
        <v>×</v>
      </c>
      <c r="BQ17" s="739" t="s">
        <v>8</v>
      </c>
      <c r="BR17" s="739" t="s">
        <v>8</v>
      </c>
      <c r="BS17" s="739" t="s">
        <v>8</v>
      </c>
      <c r="BT17" s="739" t="s">
        <v>8</v>
      </c>
      <c r="BU17" s="62" t="s">
        <v>8</v>
      </c>
      <c r="BV17" s="62" t="s">
        <v>8</v>
      </c>
      <c r="BW17" s="62" t="s">
        <v>8</v>
      </c>
      <c r="BX17" s="365" t="s">
        <v>8</v>
      </c>
      <c r="BY17" s="392" t="s">
        <v>8</v>
      </c>
      <c r="BZ17" s="392" t="s">
        <v>8</v>
      </c>
      <c r="CA17" s="392" t="s">
        <v>8</v>
      </c>
      <c r="CB17" s="392" t="s">
        <v>8</v>
      </c>
      <c r="CC17" s="739" t="s">
        <v>8</v>
      </c>
      <c r="CD17" s="62" t="s">
        <v>8</v>
      </c>
      <c r="CE17" s="393" t="str">
        <f t="shared" si="4"/>
        <v>×</v>
      </c>
      <c r="CF17" s="392" t="s">
        <v>8</v>
      </c>
      <c r="CG17" s="402" t="str">
        <f t="shared" si="5"/>
        <v>×</v>
      </c>
      <c r="CH17" s="103"/>
      <c r="CI17" s="2"/>
      <c r="CJ17" s="2"/>
      <c r="CK17" s="2"/>
      <c r="CL17" s="2"/>
      <c r="CM17" s="323"/>
      <c r="CN17" s="2"/>
      <c r="CO17" s="2"/>
      <c r="CP17" s="2"/>
      <c r="CQ17" s="270" t="s">
        <v>8</v>
      </c>
      <c r="CR17" s="60" t="s">
        <v>8</v>
      </c>
      <c r="CS17" s="68" t="s">
        <v>10</v>
      </c>
      <c r="CT17" s="246" t="s">
        <v>8</v>
      </c>
      <c r="CU17" s="38" t="s">
        <v>10</v>
      </c>
      <c r="CV17" s="60" t="s">
        <v>8</v>
      </c>
      <c r="CW17" s="285" t="s">
        <v>10</v>
      </c>
      <c r="CX17" s="244" t="s">
        <v>10</v>
      </c>
    </row>
    <row r="18" spans="1:102" s="519" customFormat="1">
      <c r="A18" s="1076"/>
      <c r="B18" s="1079"/>
      <c r="C18" s="1055"/>
      <c r="D18" s="1055"/>
      <c r="E18" s="84" t="s">
        <v>9</v>
      </c>
      <c r="F18" s="51" t="s">
        <v>8</v>
      </c>
      <c r="G18" s="34" t="s">
        <v>8</v>
      </c>
      <c r="H18" s="34" t="s">
        <v>8</v>
      </c>
      <c r="I18" s="1003" t="s">
        <v>8</v>
      </c>
      <c r="J18" s="997" t="s">
        <v>8</v>
      </c>
      <c r="K18" s="997" t="s">
        <v>8</v>
      </c>
      <c r="L18" s="34" t="s">
        <v>8</v>
      </c>
      <c r="M18" s="34" t="s">
        <v>8</v>
      </c>
      <c r="N18" s="34" t="s">
        <v>8</v>
      </c>
      <c r="O18" s="34" t="s">
        <v>8</v>
      </c>
      <c r="P18" s="34" t="s">
        <v>8</v>
      </c>
      <c r="Q18" s="34" t="s">
        <v>8</v>
      </c>
      <c r="R18" s="34" t="s">
        <v>8</v>
      </c>
      <c r="S18" s="709" t="s">
        <v>8</v>
      </c>
      <c r="T18" s="709" t="s">
        <v>8</v>
      </c>
      <c r="U18" s="709" t="s">
        <v>8</v>
      </c>
      <c r="V18" s="709" t="s">
        <v>8</v>
      </c>
      <c r="W18" s="51" t="s">
        <v>8</v>
      </c>
      <c r="X18" s="34" t="s">
        <v>8</v>
      </c>
      <c r="Y18" s="34" t="s">
        <v>8</v>
      </c>
      <c r="Z18" s="951" t="s">
        <v>8</v>
      </c>
      <c r="AA18" s="710" t="s">
        <v>8</v>
      </c>
      <c r="AB18" s="710" t="s">
        <v>8</v>
      </c>
      <c r="AC18" s="51" t="s">
        <v>8</v>
      </c>
      <c r="AD18" s="34" t="s">
        <v>8</v>
      </c>
      <c r="AE18" s="34" t="s">
        <v>8</v>
      </c>
      <c r="AF18" s="34" t="s">
        <v>8</v>
      </c>
      <c r="AG18" s="34" t="s">
        <v>8</v>
      </c>
      <c r="AH18" s="33" t="s">
        <v>10</v>
      </c>
      <c r="AI18" s="33" t="s">
        <v>10</v>
      </c>
      <c r="AJ18" s="34" t="s">
        <v>8</v>
      </c>
      <c r="AK18" s="33" t="s">
        <v>10</v>
      </c>
      <c r="AL18" s="33" t="s">
        <v>10</v>
      </c>
      <c r="AM18" s="710" t="s">
        <v>8</v>
      </c>
      <c r="AN18" s="710" t="s">
        <v>8</v>
      </c>
      <c r="AO18" s="710" t="s">
        <v>8</v>
      </c>
      <c r="AP18" s="34" t="str">
        <f t="shared" si="1"/>
        <v>×</v>
      </c>
      <c r="AQ18" s="34" t="str">
        <f t="shared" si="2"/>
        <v>×</v>
      </c>
      <c r="AR18" s="588" t="s">
        <v>1</v>
      </c>
      <c r="AS18" s="33" t="s">
        <v>10</v>
      </c>
      <c r="AT18" s="33" t="s">
        <v>10</v>
      </c>
      <c r="AU18" s="33" t="s">
        <v>10</v>
      </c>
      <c r="AV18" s="739" t="s">
        <v>8</v>
      </c>
      <c r="AW18" s="34" t="s">
        <v>8</v>
      </c>
      <c r="AX18" s="33" t="s">
        <v>10</v>
      </c>
      <c r="AY18" s="34" t="s">
        <v>8</v>
      </c>
      <c r="AZ18" s="34" t="s">
        <v>8</v>
      </c>
      <c r="BA18" s="395" t="s">
        <v>8</v>
      </c>
      <c r="BB18" s="33" t="s">
        <v>10</v>
      </c>
      <c r="BC18" s="33" t="s">
        <v>10</v>
      </c>
      <c r="BD18" s="739" t="s">
        <v>8</v>
      </c>
      <c r="BE18" s="34" t="s">
        <v>8</v>
      </c>
      <c r="BF18" s="395" t="str">
        <f t="shared" si="0"/>
        <v>×</v>
      </c>
      <c r="BG18" s="34" t="s">
        <v>8</v>
      </c>
      <c r="BH18" s="739" t="s">
        <v>8</v>
      </c>
      <c r="BI18" s="739" t="s">
        <v>8</v>
      </c>
      <c r="BJ18" s="34" t="s">
        <v>8</v>
      </c>
      <c r="BK18" s="34" t="s">
        <v>8</v>
      </c>
      <c r="BL18" s="34" t="s">
        <v>8</v>
      </c>
      <c r="BM18" s="395" t="s">
        <v>8</v>
      </c>
      <c r="BN18" s="395"/>
      <c r="BO18" s="360" t="s">
        <v>8</v>
      </c>
      <c r="BP18" s="395" t="str">
        <f t="shared" si="6"/>
        <v>×</v>
      </c>
      <c r="BQ18" s="739" t="s">
        <v>8</v>
      </c>
      <c r="BR18" s="739" t="s">
        <v>8</v>
      </c>
      <c r="BS18" s="739" t="s">
        <v>8</v>
      </c>
      <c r="BT18" s="739" t="s">
        <v>8</v>
      </c>
      <c r="BU18" s="34" t="s">
        <v>8</v>
      </c>
      <c r="BV18" s="34" t="s">
        <v>8</v>
      </c>
      <c r="BW18" s="34" t="s">
        <v>8</v>
      </c>
      <c r="BX18" s="360" t="s">
        <v>8</v>
      </c>
      <c r="BY18" s="395" t="s">
        <v>8</v>
      </c>
      <c r="BZ18" s="395" t="s">
        <v>8</v>
      </c>
      <c r="CA18" s="395" t="s">
        <v>8</v>
      </c>
      <c r="CB18" s="395" t="s">
        <v>8</v>
      </c>
      <c r="CC18" s="739" t="s">
        <v>8</v>
      </c>
      <c r="CD18" s="34" t="s">
        <v>8</v>
      </c>
      <c r="CE18" s="396" t="str">
        <f t="shared" si="4"/>
        <v>×</v>
      </c>
      <c r="CF18" s="395" t="s">
        <v>8</v>
      </c>
      <c r="CG18" s="397" t="str">
        <f t="shared" si="5"/>
        <v>×</v>
      </c>
      <c r="CH18" s="309"/>
      <c r="CI18" s="310"/>
      <c r="CJ18" s="310"/>
      <c r="CK18" s="310"/>
      <c r="CL18" s="310"/>
      <c r="CM18" s="325"/>
      <c r="CN18" s="310"/>
      <c r="CO18" s="310"/>
      <c r="CP18" s="310"/>
      <c r="CQ18" s="187" t="s">
        <v>8</v>
      </c>
      <c r="CR18" s="34" t="s">
        <v>8</v>
      </c>
      <c r="CS18" s="34" t="s">
        <v>8</v>
      </c>
      <c r="CT18" s="249" t="s">
        <v>8</v>
      </c>
      <c r="CU18" s="51" t="s">
        <v>8</v>
      </c>
      <c r="CV18" s="34" t="s">
        <v>8</v>
      </c>
      <c r="CW18" s="36" t="s">
        <v>8</v>
      </c>
      <c r="CX18" s="249" t="s">
        <v>8</v>
      </c>
    </row>
    <row r="19" spans="1:102">
      <c r="A19" s="1076"/>
      <c r="B19" s="1078" t="s">
        <v>111</v>
      </c>
      <c r="C19" s="1054">
        <v>184.2</v>
      </c>
      <c r="D19" s="1054">
        <v>266.7</v>
      </c>
      <c r="E19" s="84" t="s">
        <v>7</v>
      </c>
      <c r="F19" s="35" t="s">
        <v>8</v>
      </c>
      <c r="G19" s="32" t="s">
        <v>8</v>
      </c>
      <c r="H19" s="32" t="s">
        <v>8</v>
      </c>
      <c r="I19" s="1003" t="s">
        <v>8</v>
      </c>
      <c r="J19" s="997" t="s">
        <v>8</v>
      </c>
      <c r="K19" s="997" t="s">
        <v>8</v>
      </c>
      <c r="L19" s="34" t="s">
        <v>8</v>
      </c>
      <c r="M19" s="34" t="s">
        <v>8</v>
      </c>
      <c r="N19" s="34" t="s">
        <v>8</v>
      </c>
      <c r="O19" s="34" t="s">
        <v>8</v>
      </c>
      <c r="P19" s="34" t="s">
        <v>8</v>
      </c>
      <c r="Q19" s="34" t="s">
        <v>8</v>
      </c>
      <c r="R19" s="34" t="s">
        <v>8</v>
      </c>
      <c r="S19" s="709" t="s">
        <v>8</v>
      </c>
      <c r="T19" s="709" t="s">
        <v>8</v>
      </c>
      <c r="U19" s="709" t="s">
        <v>8</v>
      </c>
      <c r="V19" s="709" t="s">
        <v>8</v>
      </c>
      <c r="W19" s="51" t="s">
        <v>8</v>
      </c>
      <c r="X19" s="34" t="s">
        <v>8</v>
      </c>
      <c r="Y19" s="34" t="s">
        <v>8</v>
      </c>
      <c r="Z19" s="951" t="s">
        <v>8</v>
      </c>
      <c r="AA19" s="710" t="s">
        <v>8</v>
      </c>
      <c r="AB19" s="710" t="s">
        <v>8</v>
      </c>
      <c r="AC19" s="35" t="s">
        <v>8</v>
      </c>
      <c r="AD19" s="32" t="s">
        <v>8</v>
      </c>
      <c r="AE19" s="32" t="s">
        <v>8</v>
      </c>
      <c r="AF19" s="32" t="s">
        <v>8</v>
      </c>
      <c r="AG19" s="32" t="s">
        <v>8</v>
      </c>
      <c r="AH19" s="33" t="s">
        <v>10</v>
      </c>
      <c r="AI19" s="33" t="s">
        <v>10</v>
      </c>
      <c r="AJ19" s="34" t="s">
        <v>8</v>
      </c>
      <c r="AK19" s="34" t="s">
        <v>8</v>
      </c>
      <c r="AL19" s="34" t="s">
        <v>8</v>
      </c>
      <c r="AM19" s="710" t="s">
        <v>8</v>
      </c>
      <c r="AN19" s="710" t="s">
        <v>8</v>
      </c>
      <c r="AO19" s="710" t="s">
        <v>8</v>
      </c>
      <c r="AP19" s="32" t="str">
        <f t="shared" si="1"/>
        <v>×</v>
      </c>
      <c r="AQ19" s="32" t="str">
        <f t="shared" si="2"/>
        <v>×</v>
      </c>
      <c r="AR19" s="33" t="s">
        <v>10</v>
      </c>
      <c r="AS19" s="33" t="s">
        <v>10</v>
      </c>
      <c r="AT19" s="33" t="s">
        <v>10</v>
      </c>
      <c r="AU19" s="33" t="s">
        <v>10</v>
      </c>
      <c r="AV19" s="739" t="s">
        <v>8</v>
      </c>
      <c r="AW19" s="33" t="s">
        <v>10</v>
      </c>
      <c r="AX19" s="33" t="s">
        <v>10</v>
      </c>
      <c r="AY19" s="34" t="s">
        <v>8</v>
      </c>
      <c r="AZ19" s="33" t="s">
        <v>10</v>
      </c>
      <c r="BA19" s="395" t="s">
        <v>8</v>
      </c>
      <c r="BB19" s="33" t="s">
        <v>10</v>
      </c>
      <c r="BC19" s="34" t="s">
        <v>8</v>
      </c>
      <c r="BD19" s="739" t="s">
        <v>8</v>
      </c>
      <c r="BE19" s="34" t="s">
        <v>8</v>
      </c>
      <c r="BF19" s="395" t="str">
        <f t="shared" si="0"/>
        <v>×</v>
      </c>
      <c r="BG19" s="34" t="s">
        <v>8</v>
      </c>
      <c r="BH19" s="739" t="s">
        <v>8</v>
      </c>
      <c r="BI19" s="739" t="s">
        <v>8</v>
      </c>
      <c r="BJ19" s="34" t="s">
        <v>8</v>
      </c>
      <c r="BK19" s="34" t="s">
        <v>8</v>
      </c>
      <c r="BL19" s="34" t="s">
        <v>8</v>
      </c>
      <c r="BM19" s="395" t="s">
        <v>8</v>
      </c>
      <c r="BN19" s="395"/>
      <c r="BO19" s="360" t="s">
        <v>8</v>
      </c>
      <c r="BP19" s="395" t="str">
        <f t="shared" si="6"/>
        <v>○</v>
      </c>
      <c r="BQ19" s="739" t="s">
        <v>8</v>
      </c>
      <c r="BR19" s="739" t="s">
        <v>8</v>
      </c>
      <c r="BS19" s="739" t="s">
        <v>8</v>
      </c>
      <c r="BT19" s="739" t="s">
        <v>8</v>
      </c>
      <c r="BU19" s="34" t="s">
        <v>8</v>
      </c>
      <c r="BV19" s="34" t="s">
        <v>8</v>
      </c>
      <c r="BW19" s="34" t="s">
        <v>8</v>
      </c>
      <c r="BX19" s="360" t="s">
        <v>8</v>
      </c>
      <c r="BY19" s="395" t="s">
        <v>8</v>
      </c>
      <c r="BZ19" s="395" t="s">
        <v>8</v>
      </c>
      <c r="CA19" s="395" t="s">
        <v>8</v>
      </c>
      <c r="CB19" s="395" t="s">
        <v>8</v>
      </c>
      <c r="CC19" s="739" t="s">
        <v>8</v>
      </c>
      <c r="CD19" s="34" t="s">
        <v>8</v>
      </c>
      <c r="CE19" s="396" t="str">
        <f t="shared" si="4"/>
        <v>○</v>
      </c>
      <c r="CF19" s="395" t="s">
        <v>8</v>
      </c>
      <c r="CG19" s="397" t="str">
        <f t="shared" si="5"/>
        <v>×</v>
      </c>
      <c r="CH19" s="101"/>
      <c r="CI19" s="2"/>
      <c r="CJ19" s="2"/>
      <c r="CK19" s="2"/>
      <c r="CL19" s="2"/>
      <c r="CM19" s="323"/>
      <c r="CN19" s="2"/>
      <c r="CO19" s="2"/>
      <c r="CP19" s="2"/>
      <c r="CQ19" s="267" t="s">
        <v>8</v>
      </c>
      <c r="CR19" s="32" t="s">
        <v>8</v>
      </c>
      <c r="CS19" s="32" t="s">
        <v>8</v>
      </c>
      <c r="CT19" s="243" t="s">
        <v>8</v>
      </c>
      <c r="CU19" s="35" t="s">
        <v>8</v>
      </c>
      <c r="CV19" s="32" t="s">
        <v>8</v>
      </c>
      <c r="CW19" s="284" t="s">
        <v>8</v>
      </c>
      <c r="CX19" s="243" t="s">
        <v>8</v>
      </c>
    </row>
    <row r="20" spans="1:102">
      <c r="A20" s="1076"/>
      <c r="B20" s="1079"/>
      <c r="C20" s="1055"/>
      <c r="D20" s="1055"/>
      <c r="E20" s="84" t="s">
        <v>9</v>
      </c>
      <c r="F20" s="38" t="s">
        <v>276</v>
      </c>
      <c r="G20" s="37" t="s">
        <v>275</v>
      </c>
      <c r="H20" s="37" t="s">
        <v>275</v>
      </c>
      <c r="I20" s="1004" t="s">
        <v>276</v>
      </c>
      <c r="J20" s="1005" t="s">
        <v>275</v>
      </c>
      <c r="K20" s="1005" t="s">
        <v>275</v>
      </c>
      <c r="L20" s="34" t="s">
        <v>8</v>
      </c>
      <c r="M20" s="34" t="s">
        <v>8</v>
      </c>
      <c r="N20" s="34" t="s">
        <v>8</v>
      </c>
      <c r="O20" s="34" t="s">
        <v>8</v>
      </c>
      <c r="P20" s="34" t="s">
        <v>8</v>
      </c>
      <c r="Q20" s="34" t="s">
        <v>8</v>
      </c>
      <c r="R20" s="34" t="s">
        <v>8</v>
      </c>
      <c r="S20" s="709" t="s">
        <v>8</v>
      </c>
      <c r="T20" s="709" t="s">
        <v>8</v>
      </c>
      <c r="U20" s="709" t="s">
        <v>8</v>
      </c>
      <c r="V20" s="709" t="s">
        <v>8</v>
      </c>
      <c r="W20" s="47" t="s">
        <v>276</v>
      </c>
      <c r="X20" s="33" t="s">
        <v>275</v>
      </c>
      <c r="Y20" s="33" t="s">
        <v>275</v>
      </c>
      <c r="Z20" s="951" t="s">
        <v>8</v>
      </c>
      <c r="AA20" s="710" t="s">
        <v>8</v>
      </c>
      <c r="AB20" s="710" t="s">
        <v>8</v>
      </c>
      <c r="AC20" s="38" t="s">
        <v>276</v>
      </c>
      <c r="AD20" s="37" t="s">
        <v>275</v>
      </c>
      <c r="AE20" s="37" t="s">
        <v>275</v>
      </c>
      <c r="AF20" s="38" t="s">
        <v>276</v>
      </c>
      <c r="AG20" s="37" t="s">
        <v>275</v>
      </c>
      <c r="AH20" s="33" t="s">
        <v>10</v>
      </c>
      <c r="AI20" s="33" t="s">
        <v>10</v>
      </c>
      <c r="AJ20" s="34" t="s">
        <v>8</v>
      </c>
      <c r="AK20" s="34" t="s">
        <v>8</v>
      </c>
      <c r="AL20" s="34" t="s">
        <v>8</v>
      </c>
      <c r="AM20" s="710" t="s">
        <v>8</v>
      </c>
      <c r="AN20" s="710" t="s">
        <v>8</v>
      </c>
      <c r="AO20" s="710" t="s">
        <v>8</v>
      </c>
      <c r="AP20" s="32" t="str">
        <f t="shared" si="1"/>
        <v>●(2)</v>
      </c>
      <c r="AQ20" s="32" t="str">
        <f t="shared" si="2"/>
        <v>◎(2)</v>
      </c>
      <c r="AR20" s="33" t="s">
        <v>10</v>
      </c>
      <c r="AS20" s="33" t="s">
        <v>10</v>
      </c>
      <c r="AT20" s="33" t="s">
        <v>10</v>
      </c>
      <c r="AU20" s="33" t="s">
        <v>10</v>
      </c>
      <c r="AV20" s="739" t="s">
        <v>8</v>
      </c>
      <c r="AW20" s="33" t="s">
        <v>10</v>
      </c>
      <c r="AX20" s="398" t="s">
        <v>10</v>
      </c>
      <c r="AY20" s="398" t="s">
        <v>10</v>
      </c>
      <c r="AZ20" s="395" t="s">
        <v>8</v>
      </c>
      <c r="BA20" s="395" t="s">
        <v>8</v>
      </c>
      <c r="BB20" s="33" t="s">
        <v>10</v>
      </c>
      <c r="BC20" s="33" t="s">
        <v>10</v>
      </c>
      <c r="BD20" s="739" t="s">
        <v>8</v>
      </c>
      <c r="BE20" s="33" t="s">
        <v>10</v>
      </c>
      <c r="BF20" s="395" t="str">
        <f t="shared" si="0"/>
        <v>○</v>
      </c>
      <c r="BG20" s="34" t="s">
        <v>637</v>
      </c>
      <c r="BH20" s="739" t="s">
        <v>8</v>
      </c>
      <c r="BI20" s="739" t="s">
        <v>8</v>
      </c>
      <c r="BJ20" s="34" t="s">
        <v>637</v>
      </c>
      <c r="BK20" s="34" t="s">
        <v>637</v>
      </c>
      <c r="BL20" s="34" t="s">
        <v>8</v>
      </c>
      <c r="BM20" s="395" t="s">
        <v>637</v>
      </c>
      <c r="BN20" s="395"/>
      <c r="BO20" s="360" t="s">
        <v>8</v>
      </c>
      <c r="BP20" s="395" t="str">
        <f t="shared" si="6"/>
        <v>×</v>
      </c>
      <c r="BQ20" s="739" t="s">
        <v>8</v>
      </c>
      <c r="BR20" s="739" t="s">
        <v>8</v>
      </c>
      <c r="BS20" s="739" t="s">
        <v>8</v>
      </c>
      <c r="BT20" s="739" t="s">
        <v>8</v>
      </c>
      <c r="BU20" s="34" t="s">
        <v>637</v>
      </c>
      <c r="BV20" s="34" t="s">
        <v>637</v>
      </c>
      <c r="BW20" s="34" t="s">
        <v>637</v>
      </c>
      <c r="BX20" s="360" t="s">
        <v>8</v>
      </c>
      <c r="BY20" s="34" t="s">
        <v>637</v>
      </c>
      <c r="BZ20" s="34" t="s">
        <v>637</v>
      </c>
      <c r="CA20" s="34" t="s">
        <v>637</v>
      </c>
      <c r="CB20" s="34" t="s">
        <v>8</v>
      </c>
      <c r="CC20" s="739" t="s">
        <v>8</v>
      </c>
      <c r="CD20" s="34" t="s">
        <v>8</v>
      </c>
      <c r="CE20" s="396" t="str">
        <f t="shared" si="4"/>
        <v>×</v>
      </c>
      <c r="CF20" s="395" t="s">
        <v>8</v>
      </c>
      <c r="CG20" s="397" t="str">
        <f t="shared" si="5"/>
        <v>×</v>
      </c>
      <c r="CH20" s="101"/>
      <c r="CI20" s="2"/>
      <c r="CJ20" s="2"/>
      <c r="CK20" s="2"/>
      <c r="CL20" s="2"/>
      <c r="CM20" s="323"/>
      <c r="CN20" s="2"/>
      <c r="CO20" s="2"/>
      <c r="CP20" s="2"/>
      <c r="CQ20" s="267" t="s">
        <v>8</v>
      </c>
      <c r="CR20" s="32" t="s">
        <v>8</v>
      </c>
      <c r="CS20" s="32" t="s">
        <v>8</v>
      </c>
      <c r="CT20" s="243" t="s">
        <v>8</v>
      </c>
      <c r="CU20" s="38" t="s">
        <v>10</v>
      </c>
      <c r="CV20" s="37" t="s">
        <v>10</v>
      </c>
      <c r="CW20" s="285" t="s">
        <v>10</v>
      </c>
      <c r="CX20" s="244" t="s">
        <v>10</v>
      </c>
    </row>
    <row r="21" spans="1:102">
      <c r="A21" s="1076"/>
      <c r="B21" s="1078" t="s">
        <v>112</v>
      </c>
      <c r="C21" s="1054">
        <v>203.2</v>
      </c>
      <c r="D21" s="1054">
        <v>254</v>
      </c>
      <c r="E21" s="84" t="s">
        <v>7</v>
      </c>
      <c r="F21" s="35" t="s">
        <v>8</v>
      </c>
      <c r="G21" s="32" t="s">
        <v>8</v>
      </c>
      <c r="H21" s="32" t="s">
        <v>8</v>
      </c>
      <c r="I21" s="1003" t="s">
        <v>8</v>
      </c>
      <c r="J21" s="997" t="s">
        <v>8</v>
      </c>
      <c r="K21" s="997" t="s">
        <v>8</v>
      </c>
      <c r="L21" s="34" t="s">
        <v>8</v>
      </c>
      <c r="M21" s="34" t="s">
        <v>8</v>
      </c>
      <c r="N21" s="34" t="s">
        <v>8</v>
      </c>
      <c r="O21" s="34" t="s">
        <v>8</v>
      </c>
      <c r="P21" s="34" t="s">
        <v>8</v>
      </c>
      <c r="Q21" s="34" t="s">
        <v>8</v>
      </c>
      <c r="R21" s="34" t="s">
        <v>8</v>
      </c>
      <c r="S21" s="709" t="s">
        <v>8</v>
      </c>
      <c r="T21" s="709" t="s">
        <v>8</v>
      </c>
      <c r="U21" s="709" t="s">
        <v>8</v>
      </c>
      <c r="V21" s="709" t="s">
        <v>8</v>
      </c>
      <c r="W21" s="51" t="s">
        <v>8</v>
      </c>
      <c r="X21" s="34" t="s">
        <v>8</v>
      </c>
      <c r="Y21" s="34" t="s">
        <v>8</v>
      </c>
      <c r="Z21" s="951" t="s">
        <v>8</v>
      </c>
      <c r="AA21" s="710" t="s">
        <v>8</v>
      </c>
      <c r="AB21" s="710" t="s">
        <v>8</v>
      </c>
      <c r="AC21" s="35" t="s">
        <v>8</v>
      </c>
      <c r="AD21" s="32" t="s">
        <v>8</v>
      </c>
      <c r="AE21" s="32" t="s">
        <v>8</v>
      </c>
      <c r="AF21" s="32" t="s">
        <v>8</v>
      </c>
      <c r="AG21" s="32" t="s">
        <v>8</v>
      </c>
      <c r="AH21" s="33" t="s">
        <v>10</v>
      </c>
      <c r="AI21" s="33" t="s">
        <v>10</v>
      </c>
      <c r="AJ21" s="34" t="s">
        <v>8</v>
      </c>
      <c r="AK21" s="34" t="s">
        <v>8</v>
      </c>
      <c r="AL21" s="34" t="s">
        <v>8</v>
      </c>
      <c r="AM21" s="710" t="s">
        <v>8</v>
      </c>
      <c r="AN21" s="710" t="s">
        <v>8</v>
      </c>
      <c r="AO21" s="710" t="s">
        <v>8</v>
      </c>
      <c r="AP21" s="32" t="str">
        <f t="shared" si="1"/>
        <v>×</v>
      </c>
      <c r="AQ21" s="32" t="str">
        <f t="shared" si="2"/>
        <v>×</v>
      </c>
      <c r="AR21" s="33" t="s">
        <v>10</v>
      </c>
      <c r="AS21" s="33" t="s">
        <v>10</v>
      </c>
      <c r="AT21" s="33" t="s">
        <v>10</v>
      </c>
      <c r="AU21" s="33" t="s">
        <v>10</v>
      </c>
      <c r="AV21" s="739" t="s">
        <v>8</v>
      </c>
      <c r="AW21" s="33" t="s">
        <v>10</v>
      </c>
      <c r="AX21" s="398" t="s">
        <v>10</v>
      </c>
      <c r="AY21" s="398" t="s">
        <v>10</v>
      </c>
      <c r="AZ21" s="395" t="s">
        <v>8</v>
      </c>
      <c r="BA21" s="395" t="s">
        <v>8</v>
      </c>
      <c r="BB21" s="33" t="s">
        <v>10</v>
      </c>
      <c r="BC21" s="44" t="s">
        <v>57</v>
      </c>
      <c r="BD21" s="739" t="s">
        <v>8</v>
      </c>
      <c r="BE21" s="34" t="s">
        <v>8</v>
      </c>
      <c r="BF21" s="395" t="str">
        <f t="shared" si="0"/>
        <v>○</v>
      </c>
      <c r="BG21" s="997" t="s">
        <v>637</v>
      </c>
      <c r="BH21" s="739" t="s">
        <v>8</v>
      </c>
      <c r="BI21" s="739" t="s">
        <v>8</v>
      </c>
      <c r="BJ21" s="34" t="s">
        <v>8</v>
      </c>
      <c r="BK21" s="34" t="s">
        <v>8</v>
      </c>
      <c r="BL21" s="34" t="s">
        <v>8</v>
      </c>
      <c r="BM21" s="395" t="s">
        <v>637</v>
      </c>
      <c r="BN21" s="395"/>
      <c r="BO21" s="360" t="s">
        <v>8</v>
      </c>
      <c r="BP21" s="395" t="str">
        <f t="shared" si="6"/>
        <v>×</v>
      </c>
      <c r="BQ21" s="739" t="s">
        <v>8</v>
      </c>
      <c r="BR21" s="739" t="s">
        <v>8</v>
      </c>
      <c r="BS21" s="739" t="s">
        <v>8</v>
      </c>
      <c r="BT21" s="739" t="s">
        <v>8</v>
      </c>
      <c r="BU21" s="997" t="s">
        <v>637</v>
      </c>
      <c r="BV21" s="34" t="s">
        <v>8</v>
      </c>
      <c r="BW21" s="34" t="s">
        <v>8</v>
      </c>
      <c r="BX21" s="360" t="s">
        <v>8</v>
      </c>
      <c r="BY21" s="34" t="s">
        <v>637</v>
      </c>
      <c r="BZ21" s="34" t="s">
        <v>8</v>
      </c>
      <c r="CA21" s="34" t="s">
        <v>8</v>
      </c>
      <c r="CB21" s="34" t="s">
        <v>8</v>
      </c>
      <c r="CC21" s="739" t="s">
        <v>8</v>
      </c>
      <c r="CD21" s="34" t="s">
        <v>8</v>
      </c>
      <c r="CE21" s="396" t="str">
        <f t="shared" si="4"/>
        <v>×</v>
      </c>
      <c r="CF21" s="395" t="s">
        <v>8</v>
      </c>
      <c r="CG21" s="397" t="str">
        <f t="shared" si="5"/>
        <v>×</v>
      </c>
      <c r="CH21" s="101"/>
      <c r="CI21" s="2"/>
      <c r="CJ21" s="2"/>
      <c r="CK21" s="2"/>
      <c r="CL21" s="2"/>
      <c r="CM21" s="323"/>
      <c r="CN21" s="2"/>
      <c r="CO21" s="2"/>
      <c r="CP21" s="2"/>
      <c r="CQ21" s="267" t="s">
        <v>8</v>
      </c>
      <c r="CR21" s="32" t="s">
        <v>8</v>
      </c>
      <c r="CS21" s="32" t="s">
        <v>8</v>
      </c>
      <c r="CT21" s="243" t="s">
        <v>8</v>
      </c>
      <c r="CU21" s="35" t="s">
        <v>8</v>
      </c>
      <c r="CV21" s="32" t="s">
        <v>8</v>
      </c>
      <c r="CW21" s="284" t="s">
        <v>8</v>
      </c>
      <c r="CX21" s="243" t="s">
        <v>8</v>
      </c>
    </row>
    <row r="22" spans="1:102">
      <c r="A22" s="1076"/>
      <c r="B22" s="1079"/>
      <c r="C22" s="1055"/>
      <c r="D22" s="1055"/>
      <c r="E22" s="84" t="s">
        <v>9</v>
      </c>
      <c r="F22" s="35" t="s">
        <v>8</v>
      </c>
      <c r="G22" s="32" t="s">
        <v>8</v>
      </c>
      <c r="H22" s="32" t="s">
        <v>8</v>
      </c>
      <c r="I22" s="1003" t="s">
        <v>8</v>
      </c>
      <c r="J22" s="997" t="s">
        <v>8</v>
      </c>
      <c r="K22" s="997" t="s">
        <v>8</v>
      </c>
      <c r="L22" s="34" t="s">
        <v>8</v>
      </c>
      <c r="M22" s="34" t="s">
        <v>8</v>
      </c>
      <c r="N22" s="34" t="s">
        <v>8</v>
      </c>
      <c r="O22" s="34" t="s">
        <v>8</v>
      </c>
      <c r="P22" s="34" t="s">
        <v>8</v>
      </c>
      <c r="Q22" s="34" t="s">
        <v>8</v>
      </c>
      <c r="R22" s="34" t="s">
        <v>8</v>
      </c>
      <c r="S22" s="709" t="s">
        <v>8</v>
      </c>
      <c r="T22" s="709" t="s">
        <v>8</v>
      </c>
      <c r="U22" s="709" t="s">
        <v>8</v>
      </c>
      <c r="V22" s="709" t="s">
        <v>8</v>
      </c>
      <c r="W22" s="51" t="s">
        <v>8</v>
      </c>
      <c r="X22" s="34" t="s">
        <v>8</v>
      </c>
      <c r="Y22" s="34" t="s">
        <v>8</v>
      </c>
      <c r="Z22" s="951" t="s">
        <v>8</v>
      </c>
      <c r="AA22" s="710" t="s">
        <v>8</v>
      </c>
      <c r="AB22" s="710" t="s">
        <v>8</v>
      </c>
      <c r="AC22" s="35" t="s">
        <v>8</v>
      </c>
      <c r="AD22" s="32" t="s">
        <v>8</v>
      </c>
      <c r="AE22" s="32" t="s">
        <v>8</v>
      </c>
      <c r="AF22" s="32" t="s">
        <v>8</v>
      </c>
      <c r="AG22" s="32" t="s">
        <v>8</v>
      </c>
      <c r="AH22" s="33" t="s">
        <v>10</v>
      </c>
      <c r="AI22" s="33" t="s">
        <v>10</v>
      </c>
      <c r="AJ22" s="34" t="s">
        <v>8</v>
      </c>
      <c r="AK22" s="34" t="s">
        <v>8</v>
      </c>
      <c r="AL22" s="34" t="s">
        <v>8</v>
      </c>
      <c r="AM22" s="710" t="s">
        <v>8</v>
      </c>
      <c r="AN22" s="710" t="s">
        <v>8</v>
      </c>
      <c r="AO22" s="710" t="s">
        <v>8</v>
      </c>
      <c r="AP22" s="32" t="str">
        <f t="shared" si="1"/>
        <v>×</v>
      </c>
      <c r="AQ22" s="32" t="str">
        <f t="shared" si="2"/>
        <v>×</v>
      </c>
      <c r="AR22" s="33" t="s">
        <v>10</v>
      </c>
      <c r="AS22" s="33" t="s">
        <v>10</v>
      </c>
      <c r="AT22" s="33" t="s">
        <v>10</v>
      </c>
      <c r="AU22" s="33" t="s">
        <v>10</v>
      </c>
      <c r="AV22" s="739" t="s">
        <v>8</v>
      </c>
      <c r="AW22" s="33" t="s">
        <v>10</v>
      </c>
      <c r="AX22" s="398" t="s">
        <v>10</v>
      </c>
      <c r="AY22" s="398" t="s">
        <v>10</v>
      </c>
      <c r="AZ22" s="395" t="s">
        <v>8</v>
      </c>
      <c r="BA22" s="395" t="s">
        <v>8</v>
      </c>
      <c r="BB22" s="33" t="s">
        <v>10</v>
      </c>
      <c r="BC22" s="33" t="s">
        <v>10</v>
      </c>
      <c r="BD22" s="739" t="s">
        <v>8</v>
      </c>
      <c r="BE22" s="33" t="s">
        <v>10</v>
      </c>
      <c r="BF22" s="395" t="str">
        <f t="shared" si="0"/>
        <v>○</v>
      </c>
      <c r="BG22" s="997" t="s">
        <v>637</v>
      </c>
      <c r="BH22" s="739" t="s">
        <v>8</v>
      </c>
      <c r="BI22" s="739" t="s">
        <v>8</v>
      </c>
      <c r="BJ22" s="34" t="s">
        <v>637</v>
      </c>
      <c r="BK22" s="34" t="s">
        <v>637</v>
      </c>
      <c r="BL22" s="34" t="s">
        <v>8</v>
      </c>
      <c r="BM22" s="395" t="s">
        <v>637</v>
      </c>
      <c r="BN22" s="395"/>
      <c r="BO22" s="360" t="s">
        <v>8</v>
      </c>
      <c r="BP22" s="395" t="str">
        <f t="shared" si="6"/>
        <v>×</v>
      </c>
      <c r="BQ22" s="739" t="s">
        <v>8</v>
      </c>
      <c r="BR22" s="739" t="s">
        <v>8</v>
      </c>
      <c r="BS22" s="739" t="s">
        <v>8</v>
      </c>
      <c r="BT22" s="739" t="s">
        <v>8</v>
      </c>
      <c r="BU22" s="34" t="s">
        <v>637</v>
      </c>
      <c r="BV22" s="34" t="s">
        <v>637</v>
      </c>
      <c r="BW22" s="34" t="s">
        <v>8</v>
      </c>
      <c r="BX22" s="360" t="s">
        <v>8</v>
      </c>
      <c r="BY22" s="34" t="s">
        <v>637</v>
      </c>
      <c r="BZ22" s="34" t="s">
        <v>637</v>
      </c>
      <c r="CA22" s="34" t="s">
        <v>8</v>
      </c>
      <c r="CB22" s="34" t="s">
        <v>8</v>
      </c>
      <c r="CC22" s="739" t="s">
        <v>8</v>
      </c>
      <c r="CD22" s="34" t="s">
        <v>8</v>
      </c>
      <c r="CE22" s="396" t="str">
        <f t="shared" si="4"/>
        <v>×</v>
      </c>
      <c r="CF22" s="395" t="s">
        <v>8</v>
      </c>
      <c r="CG22" s="397" t="str">
        <f t="shared" si="5"/>
        <v>×</v>
      </c>
      <c r="CH22" s="101"/>
      <c r="CI22" s="2"/>
      <c r="CJ22" s="2"/>
      <c r="CK22" s="2"/>
      <c r="CL22" s="2"/>
      <c r="CM22" s="323"/>
      <c r="CN22" s="2"/>
      <c r="CO22" s="2"/>
      <c r="CP22" s="2"/>
      <c r="CQ22" s="267" t="s">
        <v>8</v>
      </c>
      <c r="CR22" s="32" t="s">
        <v>8</v>
      </c>
      <c r="CS22" s="32" t="s">
        <v>8</v>
      </c>
      <c r="CT22" s="243" t="s">
        <v>8</v>
      </c>
      <c r="CU22" s="35" t="s">
        <v>8</v>
      </c>
      <c r="CV22" s="32" t="s">
        <v>8</v>
      </c>
      <c r="CW22" s="284" t="s">
        <v>8</v>
      </c>
      <c r="CX22" s="243" t="s">
        <v>8</v>
      </c>
    </row>
    <row r="23" spans="1:102">
      <c r="A23" s="1076"/>
      <c r="B23" s="1078" t="s">
        <v>281</v>
      </c>
      <c r="C23" s="1054">
        <v>215.9</v>
      </c>
      <c r="D23" s="1054">
        <v>279.39999999999998</v>
      </c>
      <c r="E23" s="84" t="s">
        <v>7</v>
      </c>
      <c r="F23" s="38" t="s">
        <v>10</v>
      </c>
      <c r="G23" s="37" t="s">
        <v>10</v>
      </c>
      <c r="H23" s="37" t="s">
        <v>10</v>
      </c>
      <c r="I23" s="1003" t="s">
        <v>8</v>
      </c>
      <c r="J23" s="997" t="s">
        <v>8</v>
      </c>
      <c r="K23" s="997" t="s">
        <v>8</v>
      </c>
      <c r="L23" s="34" t="s">
        <v>8</v>
      </c>
      <c r="M23" s="34" t="s">
        <v>8</v>
      </c>
      <c r="N23" s="34" t="s">
        <v>8</v>
      </c>
      <c r="O23" s="34" t="s">
        <v>8</v>
      </c>
      <c r="P23" s="34" t="s">
        <v>8</v>
      </c>
      <c r="Q23" s="34" t="s">
        <v>8</v>
      </c>
      <c r="R23" s="34" t="s">
        <v>8</v>
      </c>
      <c r="S23" s="709" t="s">
        <v>8</v>
      </c>
      <c r="T23" s="709" t="s">
        <v>8</v>
      </c>
      <c r="U23" s="709" t="s">
        <v>8</v>
      </c>
      <c r="V23" s="709" t="s">
        <v>8</v>
      </c>
      <c r="W23" s="47" t="s">
        <v>10</v>
      </c>
      <c r="X23" s="33" t="s">
        <v>10</v>
      </c>
      <c r="Y23" s="33" t="s">
        <v>10</v>
      </c>
      <c r="Z23" s="951" t="s">
        <v>8</v>
      </c>
      <c r="AA23" s="710" t="s">
        <v>8</v>
      </c>
      <c r="AB23" s="710" t="s">
        <v>8</v>
      </c>
      <c r="AC23" s="38" t="s">
        <v>10</v>
      </c>
      <c r="AD23" s="37" t="s">
        <v>10</v>
      </c>
      <c r="AE23" s="37" t="s">
        <v>10</v>
      </c>
      <c r="AF23" s="32" t="s">
        <v>8</v>
      </c>
      <c r="AG23" s="32" t="s">
        <v>8</v>
      </c>
      <c r="AH23" s="33" t="s">
        <v>10</v>
      </c>
      <c r="AI23" s="33" t="s">
        <v>10</v>
      </c>
      <c r="AJ23" s="34" t="s">
        <v>8</v>
      </c>
      <c r="AK23" s="33" t="s">
        <v>10</v>
      </c>
      <c r="AL23" s="33" t="s">
        <v>10</v>
      </c>
      <c r="AM23" s="710" t="s">
        <v>8</v>
      </c>
      <c r="AN23" s="710" t="s">
        <v>8</v>
      </c>
      <c r="AO23" s="710" t="s">
        <v>8</v>
      </c>
      <c r="AP23" s="32" t="str">
        <f t="shared" si="1"/>
        <v>×</v>
      </c>
      <c r="AQ23" s="32" t="str">
        <f t="shared" si="2"/>
        <v>×</v>
      </c>
      <c r="AR23" s="33" t="s">
        <v>10</v>
      </c>
      <c r="AS23" s="33" t="s">
        <v>10</v>
      </c>
      <c r="AT23" s="33" t="s">
        <v>10</v>
      </c>
      <c r="AU23" s="33" t="s">
        <v>10</v>
      </c>
      <c r="AV23" s="739" t="s">
        <v>8</v>
      </c>
      <c r="AW23" s="33" t="s">
        <v>10</v>
      </c>
      <c r="AX23" s="398" t="s">
        <v>10</v>
      </c>
      <c r="AY23" s="398" t="s">
        <v>10</v>
      </c>
      <c r="AZ23" s="398" t="s">
        <v>10</v>
      </c>
      <c r="BA23" s="398" t="s">
        <v>10</v>
      </c>
      <c r="BB23" s="33" t="s">
        <v>10</v>
      </c>
      <c r="BC23" s="33" t="s">
        <v>10</v>
      </c>
      <c r="BD23" s="739" t="s">
        <v>8</v>
      </c>
      <c r="BE23" s="33" t="s">
        <v>10</v>
      </c>
      <c r="BF23" s="395" t="str">
        <f t="shared" si="0"/>
        <v>○</v>
      </c>
      <c r="BG23" s="34" t="s">
        <v>637</v>
      </c>
      <c r="BH23" s="739" t="s">
        <v>8</v>
      </c>
      <c r="BI23" s="739" t="s">
        <v>8</v>
      </c>
      <c r="BJ23" s="34" t="s">
        <v>637</v>
      </c>
      <c r="BK23" s="34" t="s">
        <v>637</v>
      </c>
      <c r="BL23" s="34" t="s">
        <v>637</v>
      </c>
      <c r="BM23" s="395" t="s">
        <v>637</v>
      </c>
      <c r="BN23" s="395"/>
      <c r="BO23" s="360" t="s">
        <v>8</v>
      </c>
      <c r="BP23" s="395" t="str">
        <f t="shared" si="6"/>
        <v>○</v>
      </c>
      <c r="BQ23" s="739" t="s">
        <v>8</v>
      </c>
      <c r="BR23" s="739" t="s">
        <v>8</v>
      </c>
      <c r="BS23" s="739" t="s">
        <v>8</v>
      </c>
      <c r="BT23" s="739" t="s">
        <v>8</v>
      </c>
      <c r="BU23" s="34" t="s">
        <v>637</v>
      </c>
      <c r="BV23" s="34" t="s">
        <v>8</v>
      </c>
      <c r="BW23" s="34" t="s">
        <v>8</v>
      </c>
      <c r="BX23" s="360" t="s">
        <v>8</v>
      </c>
      <c r="BY23" s="34" t="s">
        <v>637</v>
      </c>
      <c r="BZ23" s="34" t="s">
        <v>8</v>
      </c>
      <c r="CA23" s="34" t="s">
        <v>8</v>
      </c>
      <c r="CB23" s="34" t="s">
        <v>8</v>
      </c>
      <c r="CC23" s="739" t="s">
        <v>8</v>
      </c>
      <c r="CD23" s="34" t="s">
        <v>637</v>
      </c>
      <c r="CE23" s="396" t="str">
        <f t="shared" si="4"/>
        <v>○</v>
      </c>
      <c r="CF23" s="395" t="s">
        <v>8</v>
      </c>
      <c r="CG23" s="397" t="str">
        <f t="shared" si="5"/>
        <v>○</v>
      </c>
      <c r="CH23" s="101"/>
      <c r="CI23" s="2"/>
      <c r="CJ23" s="2"/>
      <c r="CK23" s="2"/>
      <c r="CL23" s="2"/>
      <c r="CM23" s="323"/>
      <c r="CN23" s="2"/>
      <c r="CO23" s="2"/>
      <c r="CP23" s="2"/>
      <c r="CQ23" s="268" t="s">
        <v>10</v>
      </c>
      <c r="CR23" s="37" t="s">
        <v>10</v>
      </c>
      <c r="CS23" s="37" t="s">
        <v>10</v>
      </c>
      <c r="CT23" s="244" t="s">
        <v>10</v>
      </c>
      <c r="CU23" s="38" t="s">
        <v>10</v>
      </c>
      <c r="CV23" s="37" t="s">
        <v>10</v>
      </c>
      <c r="CW23" s="285" t="s">
        <v>10</v>
      </c>
      <c r="CX23" s="244" t="s">
        <v>10</v>
      </c>
    </row>
    <row r="24" spans="1:102">
      <c r="A24" s="1076"/>
      <c r="B24" s="1079"/>
      <c r="C24" s="1055"/>
      <c r="D24" s="1055"/>
      <c r="E24" s="84" t="s">
        <v>9</v>
      </c>
      <c r="F24" s="38" t="s">
        <v>10</v>
      </c>
      <c r="G24" s="37" t="s">
        <v>10</v>
      </c>
      <c r="H24" s="37" t="s">
        <v>10</v>
      </c>
      <c r="I24" s="1004" t="s">
        <v>10</v>
      </c>
      <c r="J24" s="1005" t="s">
        <v>10</v>
      </c>
      <c r="K24" s="1005" t="s">
        <v>10</v>
      </c>
      <c r="L24" s="34" t="s">
        <v>8</v>
      </c>
      <c r="M24" s="34" t="s">
        <v>8</v>
      </c>
      <c r="N24" s="34" t="s">
        <v>8</v>
      </c>
      <c r="O24" s="34" t="s">
        <v>8</v>
      </c>
      <c r="P24" s="34" t="s">
        <v>8</v>
      </c>
      <c r="Q24" s="34" t="s">
        <v>8</v>
      </c>
      <c r="R24" s="34" t="s">
        <v>8</v>
      </c>
      <c r="S24" s="709" t="s">
        <v>8</v>
      </c>
      <c r="T24" s="709" t="s">
        <v>8</v>
      </c>
      <c r="U24" s="709" t="s">
        <v>8</v>
      </c>
      <c r="V24" s="709" t="s">
        <v>8</v>
      </c>
      <c r="W24" s="47" t="s">
        <v>10</v>
      </c>
      <c r="X24" s="33" t="s">
        <v>10</v>
      </c>
      <c r="Y24" s="33" t="s">
        <v>10</v>
      </c>
      <c r="Z24" s="951" t="s">
        <v>8</v>
      </c>
      <c r="AA24" s="710" t="s">
        <v>8</v>
      </c>
      <c r="AB24" s="710" t="s">
        <v>8</v>
      </c>
      <c r="AC24" s="38" t="s">
        <v>10</v>
      </c>
      <c r="AD24" s="37" t="s">
        <v>10</v>
      </c>
      <c r="AE24" s="37" t="s">
        <v>10</v>
      </c>
      <c r="AF24" s="37" t="s">
        <v>10</v>
      </c>
      <c r="AG24" s="37" t="s">
        <v>10</v>
      </c>
      <c r="AH24" s="33" t="s">
        <v>10</v>
      </c>
      <c r="AI24" s="33" t="s">
        <v>10</v>
      </c>
      <c r="AJ24" s="34" t="s">
        <v>8</v>
      </c>
      <c r="AK24" s="33" t="s">
        <v>10</v>
      </c>
      <c r="AL24" s="33" t="s">
        <v>10</v>
      </c>
      <c r="AM24" s="710" t="s">
        <v>8</v>
      </c>
      <c r="AN24" s="710" t="s">
        <v>8</v>
      </c>
      <c r="AO24" s="710" t="s">
        <v>8</v>
      </c>
      <c r="AP24" s="32" t="str">
        <f t="shared" si="1"/>
        <v>○</v>
      </c>
      <c r="AQ24" s="32" t="str">
        <f t="shared" si="2"/>
        <v>○</v>
      </c>
      <c r="AR24" s="33" t="s">
        <v>10</v>
      </c>
      <c r="AS24" s="33" t="s">
        <v>10</v>
      </c>
      <c r="AT24" s="33" t="s">
        <v>10</v>
      </c>
      <c r="AU24" s="33" t="s">
        <v>10</v>
      </c>
      <c r="AV24" s="739" t="s">
        <v>8</v>
      </c>
      <c r="AW24" s="33" t="s">
        <v>10</v>
      </c>
      <c r="AX24" s="398" t="s">
        <v>10</v>
      </c>
      <c r="AY24" s="398" t="s">
        <v>10</v>
      </c>
      <c r="AZ24" s="395" t="s">
        <v>8</v>
      </c>
      <c r="BA24" s="395" t="s">
        <v>8</v>
      </c>
      <c r="BB24" s="33" t="s">
        <v>10</v>
      </c>
      <c r="BC24" s="33" t="s">
        <v>10</v>
      </c>
      <c r="BD24" s="739" t="s">
        <v>8</v>
      </c>
      <c r="BE24" s="33" t="s">
        <v>10</v>
      </c>
      <c r="BF24" s="395" t="str">
        <f t="shared" si="0"/>
        <v>○</v>
      </c>
      <c r="BG24" s="34" t="s">
        <v>637</v>
      </c>
      <c r="BH24" s="739" t="s">
        <v>8</v>
      </c>
      <c r="BI24" s="739" t="s">
        <v>8</v>
      </c>
      <c r="BJ24" s="34" t="s">
        <v>637</v>
      </c>
      <c r="BK24" s="34" t="s">
        <v>637</v>
      </c>
      <c r="BL24" s="34" t="s">
        <v>8</v>
      </c>
      <c r="BM24" s="395" t="s">
        <v>637</v>
      </c>
      <c r="BN24" s="395"/>
      <c r="BO24" s="360" t="s">
        <v>8</v>
      </c>
      <c r="BP24" s="395" t="str">
        <f t="shared" si="6"/>
        <v>×</v>
      </c>
      <c r="BQ24" s="739" t="s">
        <v>8</v>
      </c>
      <c r="BR24" s="739" t="s">
        <v>8</v>
      </c>
      <c r="BS24" s="739" t="s">
        <v>8</v>
      </c>
      <c r="BT24" s="739" t="s">
        <v>8</v>
      </c>
      <c r="BU24" s="34" t="s">
        <v>637</v>
      </c>
      <c r="BV24" s="34" t="s">
        <v>637</v>
      </c>
      <c r="BW24" s="34" t="s">
        <v>637</v>
      </c>
      <c r="BX24" s="360" t="s">
        <v>8</v>
      </c>
      <c r="BY24" s="34" t="s">
        <v>637</v>
      </c>
      <c r="BZ24" s="34" t="s">
        <v>637</v>
      </c>
      <c r="CA24" s="34" t="s">
        <v>637</v>
      </c>
      <c r="CB24" s="34" t="s">
        <v>637</v>
      </c>
      <c r="CC24" s="739" t="s">
        <v>8</v>
      </c>
      <c r="CD24" s="34" t="s">
        <v>8</v>
      </c>
      <c r="CE24" s="396" t="str">
        <f t="shared" si="4"/>
        <v>×</v>
      </c>
      <c r="CF24" s="395" t="s">
        <v>8</v>
      </c>
      <c r="CG24" s="397" t="str">
        <f t="shared" si="5"/>
        <v>×</v>
      </c>
      <c r="CH24" s="101"/>
      <c r="CI24" s="2"/>
      <c r="CJ24" s="2"/>
      <c r="CK24" s="2"/>
      <c r="CL24" s="2"/>
      <c r="CM24" s="323"/>
      <c r="CN24" s="2"/>
      <c r="CO24" s="2"/>
      <c r="CP24" s="2"/>
      <c r="CQ24" s="268" t="s">
        <v>10</v>
      </c>
      <c r="CR24" s="37" t="s">
        <v>10</v>
      </c>
      <c r="CS24" s="37" t="s">
        <v>10</v>
      </c>
      <c r="CT24" s="244" t="s">
        <v>10</v>
      </c>
      <c r="CU24" s="38" t="s">
        <v>10</v>
      </c>
      <c r="CV24" s="37" t="s">
        <v>10</v>
      </c>
      <c r="CW24" s="285" t="s">
        <v>10</v>
      </c>
      <c r="CX24" s="244" t="s">
        <v>10</v>
      </c>
    </row>
    <row r="25" spans="1:102">
      <c r="A25" s="1076"/>
      <c r="B25" s="89" t="s">
        <v>114</v>
      </c>
      <c r="C25" s="18">
        <v>215</v>
      </c>
      <c r="D25" s="18">
        <v>315</v>
      </c>
      <c r="E25" s="84" t="s">
        <v>7</v>
      </c>
      <c r="F25" s="35" t="s">
        <v>8</v>
      </c>
      <c r="G25" s="32" t="s">
        <v>8</v>
      </c>
      <c r="H25" s="32" t="s">
        <v>8</v>
      </c>
      <c r="I25" s="1003" t="s">
        <v>8</v>
      </c>
      <c r="J25" s="997" t="s">
        <v>8</v>
      </c>
      <c r="K25" s="997" t="s">
        <v>8</v>
      </c>
      <c r="L25" s="34" t="s">
        <v>8</v>
      </c>
      <c r="M25" s="34" t="s">
        <v>8</v>
      </c>
      <c r="N25" s="34" t="s">
        <v>8</v>
      </c>
      <c r="O25" s="34" t="s">
        <v>8</v>
      </c>
      <c r="P25" s="34" t="s">
        <v>8</v>
      </c>
      <c r="Q25" s="34" t="s">
        <v>8</v>
      </c>
      <c r="R25" s="34" t="s">
        <v>8</v>
      </c>
      <c r="S25" s="709" t="s">
        <v>8</v>
      </c>
      <c r="T25" s="709" t="s">
        <v>8</v>
      </c>
      <c r="U25" s="709" t="s">
        <v>8</v>
      </c>
      <c r="V25" s="709" t="s">
        <v>8</v>
      </c>
      <c r="W25" s="51" t="s">
        <v>8</v>
      </c>
      <c r="X25" s="34" t="s">
        <v>8</v>
      </c>
      <c r="Y25" s="34" t="s">
        <v>8</v>
      </c>
      <c r="Z25" s="951" t="s">
        <v>8</v>
      </c>
      <c r="AA25" s="710" t="s">
        <v>8</v>
      </c>
      <c r="AB25" s="710" t="s">
        <v>8</v>
      </c>
      <c r="AC25" s="35" t="s">
        <v>8</v>
      </c>
      <c r="AD25" s="32" t="s">
        <v>8</v>
      </c>
      <c r="AE25" s="32" t="s">
        <v>8</v>
      </c>
      <c r="AF25" s="32" t="s">
        <v>8</v>
      </c>
      <c r="AG25" s="32" t="s">
        <v>8</v>
      </c>
      <c r="AH25" s="33" t="s">
        <v>10</v>
      </c>
      <c r="AI25" s="33" t="s">
        <v>10</v>
      </c>
      <c r="AJ25" s="34" t="s">
        <v>8</v>
      </c>
      <c r="AK25" s="34" t="s">
        <v>8</v>
      </c>
      <c r="AL25" s="34" t="s">
        <v>8</v>
      </c>
      <c r="AM25" s="710" t="s">
        <v>8</v>
      </c>
      <c r="AN25" s="710" t="s">
        <v>8</v>
      </c>
      <c r="AO25" s="710" t="s">
        <v>8</v>
      </c>
      <c r="AP25" s="32" t="str">
        <f t="shared" si="1"/>
        <v>×</v>
      </c>
      <c r="AQ25" s="32" t="str">
        <f t="shared" si="2"/>
        <v>×</v>
      </c>
      <c r="AR25" s="33" t="s">
        <v>10</v>
      </c>
      <c r="AS25" s="33" t="s">
        <v>10</v>
      </c>
      <c r="AT25" s="33" t="s">
        <v>10</v>
      </c>
      <c r="AU25" s="33" t="s">
        <v>10</v>
      </c>
      <c r="AV25" s="739" t="s">
        <v>8</v>
      </c>
      <c r="AW25" s="33" t="s">
        <v>10</v>
      </c>
      <c r="AX25" s="398" t="s">
        <v>10</v>
      </c>
      <c r="AY25" s="398" t="s">
        <v>10</v>
      </c>
      <c r="AZ25" s="398" t="s">
        <v>10</v>
      </c>
      <c r="BA25" s="395" t="s">
        <v>8</v>
      </c>
      <c r="BB25" s="33" t="s">
        <v>10</v>
      </c>
      <c r="BC25" s="44" t="s">
        <v>57</v>
      </c>
      <c r="BD25" s="739" t="s">
        <v>8</v>
      </c>
      <c r="BE25" s="33" t="s">
        <v>10</v>
      </c>
      <c r="BF25" s="395" t="str">
        <f t="shared" si="0"/>
        <v>○</v>
      </c>
      <c r="BG25" s="997" t="s">
        <v>637</v>
      </c>
      <c r="BH25" s="739" t="s">
        <v>8</v>
      </c>
      <c r="BI25" s="739" t="s">
        <v>8</v>
      </c>
      <c r="BJ25" s="34" t="s">
        <v>637</v>
      </c>
      <c r="BK25" s="34" t="s">
        <v>637</v>
      </c>
      <c r="BL25" s="34" t="s">
        <v>637</v>
      </c>
      <c r="BM25" s="395" t="s">
        <v>637</v>
      </c>
      <c r="BN25" s="395"/>
      <c r="BO25" s="360" t="s">
        <v>8</v>
      </c>
      <c r="BP25" s="395" t="str">
        <f t="shared" si="6"/>
        <v>○</v>
      </c>
      <c r="BQ25" s="739" t="s">
        <v>8</v>
      </c>
      <c r="BR25" s="739" t="s">
        <v>8</v>
      </c>
      <c r="BS25" s="739" t="s">
        <v>8</v>
      </c>
      <c r="BT25" s="739" t="s">
        <v>8</v>
      </c>
      <c r="BU25" s="34" t="s">
        <v>637</v>
      </c>
      <c r="BV25" s="34" t="s">
        <v>8</v>
      </c>
      <c r="BW25" s="34" t="s">
        <v>8</v>
      </c>
      <c r="BX25" s="360" t="s">
        <v>8</v>
      </c>
      <c r="BY25" s="34" t="s">
        <v>637</v>
      </c>
      <c r="BZ25" s="34" t="s">
        <v>8</v>
      </c>
      <c r="CA25" s="34" t="s">
        <v>8</v>
      </c>
      <c r="CB25" s="34" t="s">
        <v>8</v>
      </c>
      <c r="CC25" s="739" t="s">
        <v>8</v>
      </c>
      <c r="CD25" s="34" t="s">
        <v>637</v>
      </c>
      <c r="CE25" s="396" t="str">
        <f t="shared" si="4"/>
        <v>○</v>
      </c>
      <c r="CF25" s="395" t="s">
        <v>8</v>
      </c>
      <c r="CG25" s="397" t="str">
        <f t="shared" si="5"/>
        <v>×</v>
      </c>
      <c r="CH25" s="101"/>
      <c r="CI25" s="2"/>
      <c r="CJ25" s="2"/>
      <c r="CK25" s="2"/>
      <c r="CL25" s="2"/>
      <c r="CM25" s="323"/>
      <c r="CN25" s="2"/>
      <c r="CO25" s="2"/>
      <c r="CP25" s="2"/>
      <c r="CQ25" s="267" t="s">
        <v>8</v>
      </c>
      <c r="CR25" s="32" t="s">
        <v>8</v>
      </c>
      <c r="CS25" s="32" t="s">
        <v>8</v>
      </c>
      <c r="CT25" s="243" t="s">
        <v>8</v>
      </c>
      <c r="CU25" s="35" t="s">
        <v>8</v>
      </c>
      <c r="CV25" s="32" t="s">
        <v>8</v>
      </c>
      <c r="CW25" s="284" t="s">
        <v>8</v>
      </c>
      <c r="CX25" s="243" t="s">
        <v>8</v>
      </c>
    </row>
    <row r="26" spans="1:102">
      <c r="A26" s="1076"/>
      <c r="B26" s="89" t="s">
        <v>115</v>
      </c>
      <c r="C26" s="18">
        <v>215.9</v>
      </c>
      <c r="D26" s="18">
        <v>330.2</v>
      </c>
      <c r="E26" s="84" t="s">
        <v>7</v>
      </c>
      <c r="F26" s="38" t="s">
        <v>10</v>
      </c>
      <c r="G26" s="37" t="s">
        <v>10</v>
      </c>
      <c r="H26" s="37" t="s">
        <v>10</v>
      </c>
      <c r="I26" s="1003" t="s">
        <v>8</v>
      </c>
      <c r="J26" s="997" t="s">
        <v>8</v>
      </c>
      <c r="K26" s="997" t="s">
        <v>8</v>
      </c>
      <c r="L26" s="34" t="s">
        <v>8</v>
      </c>
      <c r="M26" s="34" t="s">
        <v>8</v>
      </c>
      <c r="N26" s="34" t="s">
        <v>8</v>
      </c>
      <c r="O26" s="34" t="s">
        <v>8</v>
      </c>
      <c r="P26" s="34" t="s">
        <v>8</v>
      </c>
      <c r="Q26" s="34" t="s">
        <v>8</v>
      </c>
      <c r="R26" s="34" t="s">
        <v>8</v>
      </c>
      <c r="S26" s="709" t="s">
        <v>8</v>
      </c>
      <c r="T26" s="709" t="s">
        <v>8</v>
      </c>
      <c r="U26" s="709" t="s">
        <v>8</v>
      </c>
      <c r="V26" s="709" t="s">
        <v>8</v>
      </c>
      <c r="W26" s="47" t="s">
        <v>10</v>
      </c>
      <c r="X26" s="33" t="s">
        <v>10</v>
      </c>
      <c r="Y26" s="33" t="s">
        <v>10</v>
      </c>
      <c r="Z26" s="951" t="s">
        <v>8</v>
      </c>
      <c r="AA26" s="710" t="s">
        <v>8</v>
      </c>
      <c r="AB26" s="710" t="s">
        <v>8</v>
      </c>
      <c r="AC26" s="38" t="s">
        <v>10</v>
      </c>
      <c r="AD26" s="37" t="s">
        <v>10</v>
      </c>
      <c r="AE26" s="37" t="s">
        <v>10</v>
      </c>
      <c r="AF26" s="32" t="s">
        <v>8</v>
      </c>
      <c r="AG26" s="32" t="s">
        <v>8</v>
      </c>
      <c r="AH26" s="33" t="s">
        <v>10</v>
      </c>
      <c r="AI26" s="33" t="s">
        <v>10</v>
      </c>
      <c r="AJ26" s="34" t="s">
        <v>8</v>
      </c>
      <c r="AK26" s="33" t="s">
        <v>10</v>
      </c>
      <c r="AL26" s="33" t="s">
        <v>10</v>
      </c>
      <c r="AM26" s="710" t="s">
        <v>8</v>
      </c>
      <c r="AN26" s="710" t="s">
        <v>8</v>
      </c>
      <c r="AO26" s="710" t="s">
        <v>8</v>
      </c>
      <c r="AP26" s="32" t="str">
        <f t="shared" si="1"/>
        <v>×</v>
      </c>
      <c r="AQ26" s="32" t="str">
        <f t="shared" si="2"/>
        <v>×</v>
      </c>
      <c r="AR26" s="33" t="s">
        <v>10</v>
      </c>
      <c r="AS26" s="33" t="s">
        <v>10</v>
      </c>
      <c r="AT26" s="33" t="s">
        <v>10</v>
      </c>
      <c r="AU26" s="33" t="s">
        <v>10</v>
      </c>
      <c r="AV26" s="739" t="s">
        <v>8</v>
      </c>
      <c r="AW26" s="33" t="s">
        <v>10</v>
      </c>
      <c r="AX26" s="398" t="s">
        <v>10</v>
      </c>
      <c r="AY26" s="398" t="s">
        <v>10</v>
      </c>
      <c r="AZ26" s="398" t="s">
        <v>10</v>
      </c>
      <c r="BA26" s="395" t="s">
        <v>8</v>
      </c>
      <c r="BB26" s="33" t="s">
        <v>10</v>
      </c>
      <c r="BC26" s="33" t="s">
        <v>10</v>
      </c>
      <c r="BD26" s="739" t="s">
        <v>8</v>
      </c>
      <c r="BE26" s="33" t="s">
        <v>10</v>
      </c>
      <c r="BF26" s="395" t="str">
        <f t="shared" si="0"/>
        <v>○</v>
      </c>
      <c r="BG26" s="34" t="s">
        <v>637</v>
      </c>
      <c r="BH26" s="739" t="s">
        <v>8</v>
      </c>
      <c r="BI26" s="739" t="s">
        <v>8</v>
      </c>
      <c r="BJ26" s="34" t="s">
        <v>637</v>
      </c>
      <c r="BK26" s="34" t="s">
        <v>637</v>
      </c>
      <c r="BL26" s="34" t="s">
        <v>637</v>
      </c>
      <c r="BM26" s="395" t="s">
        <v>637</v>
      </c>
      <c r="BN26" s="395"/>
      <c r="BO26" s="360" t="s">
        <v>8</v>
      </c>
      <c r="BP26" s="395" t="str">
        <f t="shared" si="6"/>
        <v>○</v>
      </c>
      <c r="BQ26" s="739" t="s">
        <v>8</v>
      </c>
      <c r="BR26" s="739" t="s">
        <v>8</v>
      </c>
      <c r="BS26" s="739" t="s">
        <v>8</v>
      </c>
      <c r="BT26" s="739" t="s">
        <v>8</v>
      </c>
      <c r="BU26" s="34" t="s">
        <v>637</v>
      </c>
      <c r="BV26" s="34" t="s">
        <v>8</v>
      </c>
      <c r="BW26" s="34" t="s">
        <v>8</v>
      </c>
      <c r="BX26" s="360" t="s">
        <v>8</v>
      </c>
      <c r="BY26" s="34" t="s">
        <v>637</v>
      </c>
      <c r="BZ26" s="34" t="s">
        <v>8</v>
      </c>
      <c r="CA26" s="34" t="s">
        <v>8</v>
      </c>
      <c r="CB26" s="34" t="s">
        <v>8</v>
      </c>
      <c r="CC26" s="739" t="s">
        <v>8</v>
      </c>
      <c r="CD26" s="34" t="s">
        <v>637</v>
      </c>
      <c r="CE26" s="396" t="str">
        <f t="shared" si="4"/>
        <v>○</v>
      </c>
      <c r="CF26" s="395" t="s">
        <v>8</v>
      </c>
      <c r="CG26" s="397" t="str">
        <f t="shared" si="5"/>
        <v>×</v>
      </c>
      <c r="CH26" s="101"/>
      <c r="CI26" s="2"/>
      <c r="CJ26" s="2"/>
      <c r="CK26" s="2"/>
      <c r="CL26" s="2"/>
      <c r="CM26" s="323"/>
      <c r="CN26" s="2"/>
      <c r="CO26" s="2"/>
      <c r="CP26" s="2"/>
      <c r="CQ26" s="268" t="s">
        <v>10</v>
      </c>
      <c r="CR26" s="37" t="s">
        <v>10</v>
      </c>
      <c r="CS26" s="37" t="s">
        <v>10</v>
      </c>
      <c r="CT26" s="244" t="s">
        <v>10</v>
      </c>
      <c r="CU26" s="38" t="s">
        <v>10</v>
      </c>
      <c r="CV26" s="37" t="s">
        <v>10</v>
      </c>
      <c r="CW26" s="285" t="s">
        <v>10</v>
      </c>
      <c r="CX26" s="244" t="s">
        <v>10</v>
      </c>
    </row>
    <row r="27" spans="1:102" s="520" customFormat="1">
      <c r="A27" s="1076"/>
      <c r="B27" s="211" t="s">
        <v>267</v>
      </c>
      <c r="C27" s="212">
        <v>215.9</v>
      </c>
      <c r="D27" s="212">
        <v>340.4</v>
      </c>
      <c r="E27" s="213" t="s">
        <v>7</v>
      </c>
      <c r="F27" s="214" t="s">
        <v>8</v>
      </c>
      <c r="G27" s="31" t="s">
        <v>8</v>
      </c>
      <c r="H27" s="31" t="s">
        <v>8</v>
      </c>
      <c r="I27" s="811" t="s">
        <v>8</v>
      </c>
      <c r="J27" s="706" t="s">
        <v>8</v>
      </c>
      <c r="K27" s="706" t="s">
        <v>8</v>
      </c>
      <c r="L27" s="360" t="s">
        <v>8</v>
      </c>
      <c r="M27" s="360" t="s">
        <v>8</v>
      </c>
      <c r="N27" s="360" t="s">
        <v>8</v>
      </c>
      <c r="O27" s="360" t="s">
        <v>8</v>
      </c>
      <c r="P27" s="360" t="s">
        <v>8</v>
      </c>
      <c r="Q27" s="706" t="s">
        <v>8</v>
      </c>
      <c r="R27" s="706" t="s">
        <v>8</v>
      </c>
      <c r="S27" s="709" t="s">
        <v>8</v>
      </c>
      <c r="T27" s="709" t="s">
        <v>8</v>
      </c>
      <c r="U27" s="709" t="s">
        <v>8</v>
      </c>
      <c r="V27" s="709" t="s">
        <v>8</v>
      </c>
      <c r="W27" s="31" t="s">
        <v>8</v>
      </c>
      <c r="X27" s="31" t="s">
        <v>8</v>
      </c>
      <c r="Y27" s="31" t="s">
        <v>8</v>
      </c>
      <c r="Z27" s="951" t="s">
        <v>8</v>
      </c>
      <c r="AA27" s="710" t="s">
        <v>8</v>
      </c>
      <c r="AB27" s="710" t="s">
        <v>8</v>
      </c>
      <c r="AC27" s="214" t="s">
        <v>8</v>
      </c>
      <c r="AD27" s="31" t="s">
        <v>8</v>
      </c>
      <c r="AE27" s="31" t="s">
        <v>8</v>
      </c>
      <c r="AF27" s="31" t="s">
        <v>8</v>
      </c>
      <c r="AG27" s="31" t="s">
        <v>8</v>
      </c>
      <c r="AH27" s="214" t="s">
        <v>8</v>
      </c>
      <c r="AI27" s="214" t="s">
        <v>8</v>
      </c>
      <c r="AJ27" s="214" t="s">
        <v>8</v>
      </c>
      <c r="AK27" s="214" t="s">
        <v>8</v>
      </c>
      <c r="AL27" s="31" t="s">
        <v>8</v>
      </c>
      <c r="AM27" s="710" t="s">
        <v>8</v>
      </c>
      <c r="AN27" s="710" t="s">
        <v>8</v>
      </c>
      <c r="AO27" s="710" t="s">
        <v>8</v>
      </c>
      <c r="AP27" s="31" t="str">
        <f t="shared" si="1"/>
        <v>×</v>
      </c>
      <c r="AQ27" s="31" t="str">
        <f t="shared" si="2"/>
        <v>×</v>
      </c>
      <c r="AR27" s="214" t="s">
        <v>8</v>
      </c>
      <c r="AS27" s="214" t="s">
        <v>8</v>
      </c>
      <c r="AT27" s="214" t="s">
        <v>8</v>
      </c>
      <c r="AU27" s="214" t="s">
        <v>8</v>
      </c>
      <c r="AV27" s="739" t="s">
        <v>8</v>
      </c>
      <c r="AW27" s="811" t="s">
        <v>8</v>
      </c>
      <c r="AX27" s="811" t="s">
        <v>8</v>
      </c>
      <c r="AY27" s="811" t="s">
        <v>8</v>
      </c>
      <c r="AZ27" s="811" t="s">
        <v>8</v>
      </c>
      <c r="BA27" s="706" t="s">
        <v>8</v>
      </c>
      <c r="BB27" s="811" t="s">
        <v>8</v>
      </c>
      <c r="BC27" s="811" t="s">
        <v>8</v>
      </c>
      <c r="BD27" s="739" t="s">
        <v>8</v>
      </c>
      <c r="BE27" s="811" t="s">
        <v>8</v>
      </c>
      <c r="BF27" s="811" t="str">
        <f t="shared" si="0"/>
        <v>×</v>
      </c>
      <c r="BG27" s="811" t="s">
        <v>8</v>
      </c>
      <c r="BH27" s="739" t="s">
        <v>8</v>
      </c>
      <c r="BI27" s="739" t="s">
        <v>8</v>
      </c>
      <c r="BJ27" s="811" t="s">
        <v>8</v>
      </c>
      <c r="BK27" s="811" t="s">
        <v>8</v>
      </c>
      <c r="BL27" s="811" t="s">
        <v>8</v>
      </c>
      <c r="BM27" s="811" t="s">
        <v>8</v>
      </c>
      <c r="BN27" s="811"/>
      <c r="BO27" s="811" t="s">
        <v>8</v>
      </c>
      <c r="BP27" s="811" t="str">
        <f t="shared" si="6"/>
        <v>×</v>
      </c>
      <c r="BQ27" s="739" t="s">
        <v>8</v>
      </c>
      <c r="BR27" s="739" t="s">
        <v>8</v>
      </c>
      <c r="BS27" s="739" t="s">
        <v>8</v>
      </c>
      <c r="BT27" s="739" t="s">
        <v>8</v>
      </c>
      <c r="BU27" s="811" t="s">
        <v>8</v>
      </c>
      <c r="BV27" s="811" t="s">
        <v>8</v>
      </c>
      <c r="BW27" s="811" t="s">
        <v>8</v>
      </c>
      <c r="BX27" s="706" t="s">
        <v>8</v>
      </c>
      <c r="BY27" s="811" t="s">
        <v>8</v>
      </c>
      <c r="BZ27" s="811" t="s">
        <v>8</v>
      </c>
      <c r="CA27" s="811" t="s">
        <v>8</v>
      </c>
      <c r="CB27" s="811" t="s">
        <v>8</v>
      </c>
      <c r="CC27" s="739" t="s">
        <v>8</v>
      </c>
      <c r="CD27" s="811" t="s">
        <v>8</v>
      </c>
      <c r="CE27" s="812" t="str">
        <f t="shared" si="4"/>
        <v>×</v>
      </c>
      <c r="CF27" s="360" t="s">
        <v>8</v>
      </c>
      <c r="CG27" s="376" t="str">
        <f t="shared" si="5"/>
        <v>×</v>
      </c>
      <c r="CH27" s="215"/>
      <c r="CI27" s="522"/>
      <c r="CJ27" s="522"/>
      <c r="CK27" s="522"/>
      <c r="CL27" s="522"/>
      <c r="CM27" s="529"/>
      <c r="CN27" s="522"/>
      <c r="CO27" s="522"/>
      <c r="CP27" s="522"/>
      <c r="CQ27" s="272" t="s">
        <v>8</v>
      </c>
      <c r="CR27" s="214" t="s">
        <v>8</v>
      </c>
      <c r="CS27" s="214" t="s">
        <v>8</v>
      </c>
      <c r="CT27" s="248" t="s">
        <v>8</v>
      </c>
      <c r="CU27" s="40" t="s">
        <v>8</v>
      </c>
      <c r="CV27" s="31" t="s">
        <v>8</v>
      </c>
      <c r="CW27" s="41" t="s">
        <v>8</v>
      </c>
      <c r="CX27" s="247" t="s">
        <v>8</v>
      </c>
    </row>
    <row r="28" spans="1:102">
      <c r="A28" s="1076"/>
      <c r="B28" s="89" t="s">
        <v>116</v>
      </c>
      <c r="C28" s="18">
        <v>215.9</v>
      </c>
      <c r="D28" s="18">
        <v>355.6</v>
      </c>
      <c r="E28" s="84" t="s">
        <v>7</v>
      </c>
      <c r="F28" s="38" t="s">
        <v>10</v>
      </c>
      <c r="G28" s="37" t="s">
        <v>10</v>
      </c>
      <c r="H28" s="37" t="s">
        <v>10</v>
      </c>
      <c r="I28" s="1003" t="s">
        <v>8</v>
      </c>
      <c r="J28" s="997" t="s">
        <v>8</v>
      </c>
      <c r="K28" s="997" t="s">
        <v>8</v>
      </c>
      <c r="L28" s="34" t="s">
        <v>8</v>
      </c>
      <c r="M28" s="34" t="s">
        <v>8</v>
      </c>
      <c r="N28" s="34" t="s">
        <v>8</v>
      </c>
      <c r="O28" s="34" t="s">
        <v>8</v>
      </c>
      <c r="P28" s="34" t="s">
        <v>8</v>
      </c>
      <c r="Q28" s="34" t="s">
        <v>8</v>
      </c>
      <c r="R28" s="34" t="s">
        <v>8</v>
      </c>
      <c r="S28" s="709" t="s">
        <v>8</v>
      </c>
      <c r="T28" s="709" t="s">
        <v>8</v>
      </c>
      <c r="U28" s="709" t="s">
        <v>8</v>
      </c>
      <c r="V28" s="709" t="s">
        <v>8</v>
      </c>
      <c r="W28" s="47" t="s">
        <v>10</v>
      </c>
      <c r="X28" s="33" t="s">
        <v>10</v>
      </c>
      <c r="Y28" s="33" t="s">
        <v>10</v>
      </c>
      <c r="Z28" s="951" t="s">
        <v>8</v>
      </c>
      <c r="AA28" s="710" t="s">
        <v>8</v>
      </c>
      <c r="AB28" s="710" t="s">
        <v>8</v>
      </c>
      <c r="AC28" s="38" t="s">
        <v>10</v>
      </c>
      <c r="AD28" s="37" t="s">
        <v>10</v>
      </c>
      <c r="AE28" s="37" t="s">
        <v>10</v>
      </c>
      <c r="AF28" s="32" t="s">
        <v>8</v>
      </c>
      <c r="AG28" s="32" t="s">
        <v>8</v>
      </c>
      <c r="AH28" s="33" t="s">
        <v>10</v>
      </c>
      <c r="AI28" s="33" t="s">
        <v>10</v>
      </c>
      <c r="AJ28" s="34" t="s">
        <v>8</v>
      </c>
      <c r="AK28" s="33" t="s">
        <v>10</v>
      </c>
      <c r="AL28" s="33" t="s">
        <v>10</v>
      </c>
      <c r="AM28" s="710" t="s">
        <v>8</v>
      </c>
      <c r="AN28" s="710" t="s">
        <v>8</v>
      </c>
      <c r="AO28" s="710" t="s">
        <v>8</v>
      </c>
      <c r="AP28" s="32" t="str">
        <f t="shared" si="1"/>
        <v>×</v>
      </c>
      <c r="AQ28" s="32" t="str">
        <f t="shared" si="2"/>
        <v>×</v>
      </c>
      <c r="AR28" s="33" t="s">
        <v>10</v>
      </c>
      <c r="AS28" s="33" t="s">
        <v>10</v>
      </c>
      <c r="AT28" s="33" t="s">
        <v>10</v>
      </c>
      <c r="AU28" s="33" t="s">
        <v>10</v>
      </c>
      <c r="AV28" s="739" t="s">
        <v>8</v>
      </c>
      <c r="AW28" s="33" t="s">
        <v>10</v>
      </c>
      <c r="AX28" s="398" t="s">
        <v>10</v>
      </c>
      <c r="AY28" s="398" t="s">
        <v>10</v>
      </c>
      <c r="AZ28" s="398" t="s">
        <v>10</v>
      </c>
      <c r="BA28" s="395" t="s">
        <v>8</v>
      </c>
      <c r="BB28" s="33" t="s">
        <v>10</v>
      </c>
      <c r="BC28" s="33" t="s">
        <v>10</v>
      </c>
      <c r="BD28" s="739" t="s">
        <v>8</v>
      </c>
      <c r="BE28" s="33" t="s">
        <v>10</v>
      </c>
      <c r="BF28" s="395" t="str">
        <f t="shared" si="0"/>
        <v>○</v>
      </c>
      <c r="BG28" s="34" t="s">
        <v>637</v>
      </c>
      <c r="BH28" s="739" t="s">
        <v>8</v>
      </c>
      <c r="BI28" s="739" t="s">
        <v>8</v>
      </c>
      <c r="BJ28" s="34" t="s">
        <v>637</v>
      </c>
      <c r="BK28" s="34" t="s">
        <v>637</v>
      </c>
      <c r="BL28" s="34" t="s">
        <v>637</v>
      </c>
      <c r="BM28" s="395" t="s">
        <v>637</v>
      </c>
      <c r="BN28" s="395"/>
      <c r="BO28" s="360" t="s">
        <v>8</v>
      </c>
      <c r="BP28" s="395" t="str">
        <f t="shared" si="6"/>
        <v>○</v>
      </c>
      <c r="BQ28" s="739" t="s">
        <v>8</v>
      </c>
      <c r="BR28" s="739" t="s">
        <v>8</v>
      </c>
      <c r="BS28" s="739" t="s">
        <v>8</v>
      </c>
      <c r="BT28" s="739" t="s">
        <v>8</v>
      </c>
      <c r="BU28" s="34" t="s">
        <v>637</v>
      </c>
      <c r="BV28" s="34" t="s">
        <v>8</v>
      </c>
      <c r="BW28" s="34" t="s">
        <v>8</v>
      </c>
      <c r="BX28" s="360" t="s">
        <v>8</v>
      </c>
      <c r="BY28" s="34" t="s">
        <v>637</v>
      </c>
      <c r="BZ28" s="34" t="s">
        <v>8</v>
      </c>
      <c r="CA28" s="34" t="s">
        <v>8</v>
      </c>
      <c r="CB28" s="34" t="s">
        <v>8</v>
      </c>
      <c r="CC28" s="739" t="s">
        <v>8</v>
      </c>
      <c r="CD28" s="34" t="s">
        <v>637</v>
      </c>
      <c r="CE28" s="396" t="str">
        <f t="shared" si="4"/>
        <v>○</v>
      </c>
      <c r="CF28" s="395" t="s">
        <v>8</v>
      </c>
      <c r="CG28" s="397" t="str">
        <f t="shared" si="5"/>
        <v>×</v>
      </c>
      <c r="CH28" s="101"/>
      <c r="CI28" s="2"/>
      <c r="CJ28" s="2"/>
      <c r="CK28" s="2"/>
      <c r="CL28" s="2"/>
      <c r="CM28" s="323"/>
      <c r="CN28" s="2"/>
      <c r="CO28" s="2"/>
      <c r="CP28" s="2"/>
      <c r="CQ28" s="268" t="s">
        <v>10</v>
      </c>
      <c r="CR28" s="37" t="s">
        <v>10</v>
      </c>
      <c r="CS28" s="37" t="s">
        <v>10</v>
      </c>
      <c r="CT28" s="244" t="s">
        <v>10</v>
      </c>
      <c r="CU28" s="38" t="s">
        <v>10</v>
      </c>
      <c r="CV28" s="37" t="s">
        <v>10</v>
      </c>
      <c r="CW28" s="285" t="s">
        <v>10</v>
      </c>
      <c r="CX28" s="244" t="s">
        <v>10</v>
      </c>
    </row>
    <row r="29" spans="1:102">
      <c r="A29" s="1076"/>
      <c r="B29" s="89" t="s">
        <v>117</v>
      </c>
      <c r="C29" s="18">
        <v>279.39999999999998</v>
      </c>
      <c r="D29" s="18">
        <v>381</v>
      </c>
      <c r="E29" s="84" t="s">
        <v>7</v>
      </c>
      <c r="F29" s="35" t="s">
        <v>8</v>
      </c>
      <c r="G29" s="32" t="s">
        <v>8</v>
      </c>
      <c r="H29" s="32" t="s">
        <v>8</v>
      </c>
      <c r="I29" s="1003" t="s">
        <v>8</v>
      </c>
      <c r="J29" s="997" t="s">
        <v>8</v>
      </c>
      <c r="K29" s="997" t="s">
        <v>8</v>
      </c>
      <c r="L29" s="34" t="s">
        <v>8</v>
      </c>
      <c r="M29" s="34" t="s">
        <v>8</v>
      </c>
      <c r="N29" s="34" t="s">
        <v>8</v>
      </c>
      <c r="O29" s="34" t="s">
        <v>8</v>
      </c>
      <c r="P29" s="34" t="s">
        <v>8</v>
      </c>
      <c r="Q29" s="34" t="s">
        <v>8</v>
      </c>
      <c r="R29" s="34" t="s">
        <v>8</v>
      </c>
      <c r="S29" s="709" t="s">
        <v>8</v>
      </c>
      <c r="T29" s="709" t="s">
        <v>8</v>
      </c>
      <c r="U29" s="709" t="s">
        <v>8</v>
      </c>
      <c r="V29" s="709" t="s">
        <v>8</v>
      </c>
      <c r="W29" s="51" t="s">
        <v>8</v>
      </c>
      <c r="X29" s="34" t="s">
        <v>8</v>
      </c>
      <c r="Y29" s="34" t="s">
        <v>8</v>
      </c>
      <c r="Z29" s="951" t="s">
        <v>8</v>
      </c>
      <c r="AA29" s="710" t="s">
        <v>8</v>
      </c>
      <c r="AB29" s="710" t="s">
        <v>8</v>
      </c>
      <c r="AC29" s="35" t="s">
        <v>8</v>
      </c>
      <c r="AD29" s="32" t="s">
        <v>8</v>
      </c>
      <c r="AE29" s="32" t="s">
        <v>8</v>
      </c>
      <c r="AF29" s="32" t="s">
        <v>8</v>
      </c>
      <c r="AG29" s="32" t="s">
        <v>8</v>
      </c>
      <c r="AH29" s="33" t="s">
        <v>10</v>
      </c>
      <c r="AI29" s="33" t="s">
        <v>10</v>
      </c>
      <c r="AJ29" s="34" t="s">
        <v>8</v>
      </c>
      <c r="AK29" s="34" t="s">
        <v>8</v>
      </c>
      <c r="AL29" s="34" t="s">
        <v>8</v>
      </c>
      <c r="AM29" s="710" t="s">
        <v>8</v>
      </c>
      <c r="AN29" s="710" t="s">
        <v>8</v>
      </c>
      <c r="AO29" s="710" t="s">
        <v>8</v>
      </c>
      <c r="AP29" s="32" t="str">
        <f t="shared" si="1"/>
        <v>×</v>
      </c>
      <c r="AQ29" s="32" t="str">
        <f t="shared" si="2"/>
        <v>×</v>
      </c>
      <c r="AR29" s="33" t="s">
        <v>10</v>
      </c>
      <c r="AS29" s="33" t="s">
        <v>10</v>
      </c>
      <c r="AT29" s="33" t="s">
        <v>10</v>
      </c>
      <c r="AU29" s="33" t="s">
        <v>10</v>
      </c>
      <c r="AV29" s="739" t="s">
        <v>8</v>
      </c>
      <c r="AW29" s="33" t="s">
        <v>10</v>
      </c>
      <c r="AX29" s="398" t="s">
        <v>10</v>
      </c>
      <c r="AY29" s="398" t="s">
        <v>10</v>
      </c>
      <c r="AZ29" s="398" t="s">
        <v>10</v>
      </c>
      <c r="BA29" s="395" t="s">
        <v>8</v>
      </c>
      <c r="BB29" s="33" t="s">
        <v>57</v>
      </c>
      <c r="BC29" s="44" t="s">
        <v>57</v>
      </c>
      <c r="BD29" s="739" t="s">
        <v>8</v>
      </c>
      <c r="BE29" s="33" t="s">
        <v>57</v>
      </c>
      <c r="BF29" s="395" t="str">
        <f t="shared" si="0"/>
        <v>○</v>
      </c>
      <c r="BG29" s="997" t="s">
        <v>637</v>
      </c>
      <c r="BH29" s="739" t="s">
        <v>8</v>
      </c>
      <c r="BI29" s="739" t="s">
        <v>8</v>
      </c>
      <c r="BJ29" s="34" t="s">
        <v>637</v>
      </c>
      <c r="BK29" s="34" t="s">
        <v>637</v>
      </c>
      <c r="BL29" s="34" t="s">
        <v>637</v>
      </c>
      <c r="BM29" s="395" t="s">
        <v>637</v>
      </c>
      <c r="BN29" s="395"/>
      <c r="BO29" s="360" t="s">
        <v>8</v>
      </c>
      <c r="BP29" s="395" t="str">
        <f t="shared" si="6"/>
        <v>○</v>
      </c>
      <c r="BQ29" s="739" t="s">
        <v>8</v>
      </c>
      <c r="BR29" s="739" t="s">
        <v>8</v>
      </c>
      <c r="BS29" s="739" t="s">
        <v>8</v>
      </c>
      <c r="BT29" s="739" t="s">
        <v>8</v>
      </c>
      <c r="BU29" s="34" t="s">
        <v>637</v>
      </c>
      <c r="BV29" s="34" t="s">
        <v>637</v>
      </c>
      <c r="BW29" s="34" t="s">
        <v>637</v>
      </c>
      <c r="BX29" s="360" t="s">
        <v>8</v>
      </c>
      <c r="BY29" s="34" t="s">
        <v>637</v>
      </c>
      <c r="BZ29" s="34" t="s">
        <v>637</v>
      </c>
      <c r="CA29" s="34" t="s">
        <v>637</v>
      </c>
      <c r="CB29" s="34" t="s">
        <v>637</v>
      </c>
      <c r="CC29" s="739" t="s">
        <v>8</v>
      </c>
      <c r="CD29" s="34" t="s">
        <v>637</v>
      </c>
      <c r="CE29" s="396" t="str">
        <f t="shared" si="4"/>
        <v>○</v>
      </c>
      <c r="CF29" s="395" t="s">
        <v>8</v>
      </c>
      <c r="CG29" s="397" t="str">
        <f t="shared" si="5"/>
        <v>×</v>
      </c>
      <c r="CH29" s="101"/>
      <c r="CI29" s="2"/>
      <c r="CJ29" s="2"/>
      <c r="CK29" s="2"/>
      <c r="CL29" s="2"/>
      <c r="CM29" s="323"/>
      <c r="CN29" s="2"/>
      <c r="CO29" s="2"/>
      <c r="CP29" s="2"/>
      <c r="CQ29" s="267" t="s">
        <v>8</v>
      </c>
      <c r="CR29" s="32" t="s">
        <v>8</v>
      </c>
      <c r="CS29" s="32" t="s">
        <v>8</v>
      </c>
      <c r="CT29" s="243" t="s">
        <v>8</v>
      </c>
      <c r="CU29" s="35" t="s">
        <v>8</v>
      </c>
      <c r="CV29" s="32" t="s">
        <v>8</v>
      </c>
      <c r="CW29" s="284" t="s">
        <v>8</v>
      </c>
      <c r="CX29" s="243" t="s">
        <v>8</v>
      </c>
    </row>
    <row r="30" spans="1:102" ht="14.25" thickBot="1">
      <c r="A30" s="1077"/>
      <c r="B30" s="85" t="s">
        <v>118</v>
      </c>
      <c r="C30" s="64">
        <v>279.39999999999998</v>
      </c>
      <c r="D30" s="64">
        <v>431.8</v>
      </c>
      <c r="E30" s="86" t="s">
        <v>7</v>
      </c>
      <c r="F30" s="67" t="s">
        <v>57</v>
      </c>
      <c r="G30" s="216" t="s">
        <v>10</v>
      </c>
      <c r="H30" s="216" t="s">
        <v>10</v>
      </c>
      <c r="I30" s="1009" t="s">
        <v>8</v>
      </c>
      <c r="J30" s="1009" t="s">
        <v>8</v>
      </c>
      <c r="K30" s="1009" t="s">
        <v>8</v>
      </c>
      <c r="L30" s="66" t="s">
        <v>8</v>
      </c>
      <c r="M30" s="66" t="s">
        <v>8</v>
      </c>
      <c r="N30" s="66" t="s">
        <v>8</v>
      </c>
      <c r="O30" s="66" t="s">
        <v>8</v>
      </c>
      <c r="P30" s="66" t="s">
        <v>8</v>
      </c>
      <c r="Q30" s="66" t="s">
        <v>8</v>
      </c>
      <c r="R30" s="66" t="s">
        <v>8</v>
      </c>
      <c r="S30" s="945" t="s">
        <v>8</v>
      </c>
      <c r="T30" s="945" t="s">
        <v>8</v>
      </c>
      <c r="U30" s="945" t="s">
        <v>8</v>
      </c>
      <c r="V30" s="945" t="s">
        <v>8</v>
      </c>
      <c r="W30" s="81" t="s">
        <v>57</v>
      </c>
      <c r="X30" s="65" t="s">
        <v>10</v>
      </c>
      <c r="Y30" s="65" t="s">
        <v>10</v>
      </c>
      <c r="Z30" s="952" t="s">
        <v>8</v>
      </c>
      <c r="AA30" s="953" t="s">
        <v>8</v>
      </c>
      <c r="AB30" s="953" t="s">
        <v>8</v>
      </c>
      <c r="AC30" s="67" t="s">
        <v>57</v>
      </c>
      <c r="AD30" s="216" t="s">
        <v>10</v>
      </c>
      <c r="AE30" s="216" t="s">
        <v>10</v>
      </c>
      <c r="AF30" s="308" t="s">
        <v>8</v>
      </c>
      <c r="AG30" s="308" t="s">
        <v>8</v>
      </c>
      <c r="AH30" s="65" t="s">
        <v>10</v>
      </c>
      <c r="AI30" s="65" t="s">
        <v>10</v>
      </c>
      <c r="AJ30" s="66" t="s">
        <v>8</v>
      </c>
      <c r="AK30" s="65" t="s">
        <v>10</v>
      </c>
      <c r="AL30" s="65" t="s">
        <v>10</v>
      </c>
      <c r="AM30" s="953" t="s">
        <v>8</v>
      </c>
      <c r="AN30" s="953" t="s">
        <v>8</v>
      </c>
      <c r="AO30" s="953" t="s">
        <v>8</v>
      </c>
      <c r="AP30" s="308" t="str">
        <f t="shared" si="1"/>
        <v>×</v>
      </c>
      <c r="AQ30" s="308" t="str">
        <f t="shared" si="2"/>
        <v>×</v>
      </c>
      <c r="AR30" s="65" t="s">
        <v>10</v>
      </c>
      <c r="AS30" s="65" t="s">
        <v>10</v>
      </c>
      <c r="AT30" s="65" t="s">
        <v>10</v>
      </c>
      <c r="AU30" s="65" t="s">
        <v>10</v>
      </c>
      <c r="AV30" s="891" t="s">
        <v>8</v>
      </c>
      <c r="AW30" s="65" t="s">
        <v>10</v>
      </c>
      <c r="AX30" s="399" t="s">
        <v>10</v>
      </c>
      <c r="AY30" s="399" t="s">
        <v>10</v>
      </c>
      <c r="AZ30" s="399" t="s">
        <v>10</v>
      </c>
      <c r="BA30" s="66" t="s">
        <v>8</v>
      </c>
      <c r="BB30" s="65" t="s">
        <v>10</v>
      </c>
      <c r="BC30" s="65" t="s">
        <v>10</v>
      </c>
      <c r="BD30" s="891" t="s">
        <v>8</v>
      </c>
      <c r="BE30" s="65" t="s">
        <v>10</v>
      </c>
      <c r="BF30" s="403" t="str">
        <f t="shared" si="0"/>
        <v>○</v>
      </c>
      <c r="BG30" s="66" t="s">
        <v>637</v>
      </c>
      <c r="BH30" s="891" t="s">
        <v>8</v>
      </c>
      <c r="BI30" s="891" t="s">
        <v>8</v>
      </c>
      <c r="BJ30" s="66" t="s">
        <v>637</v>
      </c>
      <c r="BK30" s="66" t="s">
        <v>637</v>
      </c>
      <c r="BL30" s="66" t="s">
        <v>637</v>
      </c>
      <c r="BM30" s="403" t="s">
        <v>637</v>
      </c>
      <c r="BN30" s="403"/>
      <c r="BO30" s="366" t="s">
        <v>8</v>
      </c>
      <c r="BP30" s="403" t="str">
        <f t="shared" si="6"/>
        <v>○</v>
      </c>
      <c r="BQ30" s="891" t="s">
        <v>8</v>
      </c>
      <c r="BR30" s="891" t="s">
        <v>8</v>
      </c>
      <c r="BS30" s="891" t="s">
        <v>8</v>
      </c>
      <c r="BT30" s="891" t="s">
        <v>8</v>
      </c>
      <c r="BU30" s="66" t="s">
        <v>637</v>
      </c>
      <c r="BV30" s="66" t="s">
        <v>637</v>
      </c>
      <c r="BW30" s="66" t="s">
        <v>637</v>
      </c>
      <c r="BX30" s="361" t="s">
        <v>8</v>
      </c>
      <c r="BY30" s="66" t="s">
        <v>637</v>
      </c>
      <c r="BZ30" s="66" t="s">
        <v>637</v>
      </c>
      <c r="CA30" s="66" t="s">
        <v>637</v>
      </c>
      <c r="CB30" s="66" t="s">
        <v>637</v>
      </c>
      <c r="CC30" s="739" t="s">
        <v>8</v>
      </c>
      <c r="CD30" s="66" t="s">
        <v>637</v>
      </c>
      <c r="CE30" s="400" t="str">
        <f t="shared" si="4"/>
        <v>○</v>
      </c>
      <c r="CF30" s="403" t="s">
        <v>637</v>
      </c>
      <c r="CG30" s="401" t="str">
        <f t="shared" si="5"/>
        <v>×</v>
      </c>
      <c r="CH30" s="102"/>
      <c r="CI30" s="521"/>
      <c r="CJ30" s="521"/>
      <c r="CK30" s="521"/>
      <c r="CL30" s="521"/>
      <c r="CM30" s="528"/>
      <c r="CN30" s="521"/>
      <c r="CO30" s="521"/>
      <c r="CP30" s="521"/>
      <c r="CQ30" s="269" t="s">
        <v>57</v>
      </c>
      <c r="CR30" s="216" t="s">
        <v>57</v>
      </c>
      <c r="CS30" s="216" t="s">
        <v>57</v>
      </c>
      <c r="CT30" s="245" t="s">
        <v>57</v>
      </c>
      <c r="CU30" s="67" t="s">
        <v>10</v>
      </c>
      <c r="CV30" s="216" t="s">
        <v>10</v>
      </c>
      <c r="CW30" s="286" t="s">
        <v>10</v>
      </c>
      <c r="CX30" s="245" t="s">
        <v>10</v>
      </c>
    </row>
    <row r="31" spans="1:102" ht="13.5" customHeight="1">
      <c r="A31" s="1075" t="s">
        <v>282</v>
      </c>
      <c r="B31" s="1078" t="s">
        <v>104</v>
      </c>
      <c r="C31" s="1054">
        <v>223</v>
      </c>
      <c r="D31" s="1054">
        <v>297</v>
      </c>
      <c r="E31" s="464" t="s">
        <v>7</v>
      </c>
      <c r="F31" s="465" t="s">
        <v>8</v>
      </c>
      <c r="G31" s="365" t="s">
        <v>8</v>
      </c>
      <c r="H31" s="365" t="s">
        <v>8</v>
      </c>
      <c r="I31" s="1023" t="s">
        <v>8</v>
      </c>
      <c r="J31" s="739" t="s">
        <v>8</v>
      </c>
      <c r="K31" s="739" t="s">
        <v>8</v>
      </c>
      <c r="L31" s="365" t="s">
        <v>8</v>
      </c>
      <c r="M31" s="365" t="s">
        <v>8</v>
      </c>
      <c r="N31" s="365" t="s">
        <v>8</v>
      </c>
      <c r="O31" s="365" t="s">
        <v>8</v>
      </c>
      <c r="P31" s="365" t="s">
        <v>8</v>
      </c>
      <c r="Q31" s="739" t="s">
        <v>8</v>
      </c>
      <c r="R31" s="739" t="s">
        <v>8</v>
      </c>
      <c r="S31" s="946" t="s">
        <v>8</v>
      </c>
      <c r="T31" s="946" t="s">
        <v>8</v>
      </c>
      <c r="U31" s="946" t="s">
        <v>8</v>
      </c>
      <c r="V31" s="946" t="s">
        <v>8</v>
      </c>
      <c r="W31" s="465" t="s">
        <v>8</v>
      </c>
      <c r="X31" s="365" t="s">
        <v>8</v>
      </c>
      <c r="Y31" s="365" t="s">
        <v>8</v>
      </c>
      <c r="Z31" s="954" t="s">
        <v>8</v>
      </c>
      <c r="AA31" s="954" t="s">
        <v>8</v>
      </c>
      <c r="AB31" s="954" t="s">
        <v>8</v>
      </c>
      <c r="AC31" s="465" t="s">
        <v>8</v>
      </c>
      <c r="AD31" s="365" t="s">
        <v>8</v>
      </c>
      <c r="AE31" s="365" t="s">
        <v>8</v>
      </c>
      <c r="AF31" s="365" t="s">
        <v>8</v>
      </c>
      <c r="AG31" s="365" t="s">
        <v>8</v>
      </c>
      <c r="AH31" s="365" t="s">
        <v>8</v>
      </c>
      <c r="AI31" s="365" t="s">
        <v>8</v>
      </c>
      <c r="AJ31" s="365" t="s">
        <v>8</v>
      </c>
      <c r="AK31" s="365" t="s">
        <v>8</v>
      </c>
      <c r="AL31" s="365" t="s">
        <v>8</v>
      </c>
      <c r="AM31" s="954" t="s">
        <v>8</v>
      </c>
      <c r="AN31" s="954" t="s">
        <v>8</v>
      </c>
      <c r="AO31" s="954" t="s">
        <v>8</v>
      </c>
      <c r="AP31" s="365" t="str">
        <f t="shared" si="1"/>
        <v>×</v>
      </c>
      <c r="AQ31" s="365" t="str">
        <f t="shared" si="2"/>
        <v>×</v>
      </c>
      <c r="AR31" s="365" t="s">
        <v>8</v>
      </c>
      <c r="AS31" s="365" t="s">
        <v>8</v>
      </c>
      <c r="AT31" s="365" t="s">
        <v>8</v>
      </c>
      <c r="AU31" s="365" t="s">
        <v>8</v>
      </c>
      <c r="AV31" s="881" t="s">
        <v>8</v>
      </c>
      <c r="AW31" s="739" t="s">
        <v>8</v>
      </c>
      <c r="AX31" s="739" t="s">
        <v>8</v>
      </c>
      <c r="AY31" s="739" t="s">
        <v>8</v>
      </c>
      <c r="AZ31" s="739" t="s">
        <v>8</v>
      </c>
      <c r="BA31" s="739" t="s">
        <v>8</v>
      </c>
      <c r="BB31" s="739" t="s">
        <v>8</v>
      </c>
      <c r="BC31" s="739" t="s">
        <v>8</v>
      </c>
      <c r="BD31" s="881" t="s">
        <v>8</v>
      </c>
      <c r="BE31" s="739" t="s">
        <v>8</v>
      </c>
      <c r="BF31" s="739" t="str">
        <f t="shared" si="0"/>
        <v>×</v>
      </c>
      <c r="BG31" s="739" t="s">
        <v>8</v>
      </c>
      <c r="BH31" s="881" t="s">
        <v>8</v>
      </c>
      <c r="BI31" s="881" t="s">
        <v>8</v>
      </c>
      <c r="BJ31" s="739" t="s">
        <v>8</v>
      </c>
      <c r="BK31" s="739" t="s">
        <v>8</v>
      </c>
      <c r="BL31" s="739" t="s">
        <v>8</v>
      </c>
      <c r="BM31" s="739" t="s">
        <v>8</v>
      </c>
      <c r="BN31" s="739"/>
      <c r="BO31" s="739" t="s">
        <v>8</v>
      </c>
      <c r="BP31" s="739" t="s">
        <v>8</v>
      </c>
      <c r="BQ31" s="881" t="s">
        <v>8</v>
      </c>
      <c r="BR31" s="881" t="s">
        <v>8</v>
      </c>
      <c r="BS31" s="881" t="s">
        <v>8</v>
      </c>
      <c r="BT31" s="881" t="s">
        <v>8</v>
      </c>
      <c r="BU31" s="739" t="s">
        <v>8</v>
      </c>
      <c r="BV31" s="739" t="s">
        <v>8</v>
      </c>
      <c r="BW31" s="739" t="s">
        <v>8</v>
      </c>
      <c r="BX31" s="881" t="s">
        <v>8</v>
      </c>
      <c r="BY31" s="739" t="s">
        <v>8</v>
      </c>
      <c r="BZ31" s="739" t="s">
        <v>8</v>
      </c>
      <c r="CA31" s="739" t="s">
        <v>8</v>
      </c>
      <c r="CB31" s="739" t="s">
        <v>8</v>
      </c>
      <c r="CC31" s="739" t="s">
        <v>8</v>
      </c>
      <c r="CD31" s="739" t="s">
        <v>8</v>
      </c>
      <c r="CE31" s="365" t="s">
        <v>8</v>
      </c>
      <c r="CF31" s="365" t="s">
        <v>8</v>
      </c>
      <c r="CG31" s="365" t="s">
        <v>8</v>
      </c>
      <c r="CH31" s="466"/>
      <c r="CI31" s="2"/>
      <c r="CJ31" s="2"/>
      <c r="CK31" s="2"/>
      <c r="CL31" s="2"/>
      <c r="CM31" s="323"/>
      <c r="CN31" s="2"/>
      <c r="CO31" s="2"/>
      <c r="CP31" s="2"/>
      <c r="CQ31" s="467" t="s">
        <v>8</v>
      </c>
      <c r="CR31" s="365" t="s">
        <v>8</v>
      </c>
      <c r="CS31" s="365" t="s">
        <v>8</v>
      </c>
      <c r="CT31" s="468" t="s">
        <v>8</v>
      </c>
      <c r="CU31" s="465" t="s">
        <v>8</v>
      </c>
      <c r="CV31" s="365" t="s">
        <v>8</v>
      </c>
      <c r="CW31" s="469" t="s">
        <v>8</v>
      </c>
      <c r="CX31" s="468" t="s">
        <v>8</v>
      </c>
    </row>
    <row r="32" spans="1:102">
      <c r="A32" s="1076"/>
      <c r="B32" s="1079"/>
      <c r="C32" s="1055"/>
      <c r="D32" s="1055"/>
      <c r="E32" s="84" t="s">
        <v>9</v>
      </c>
      <c r="F32" s="51" t="s">
        <v>8</v>
      </c>
      <c r="G32" s="34" t="s">
        <v>8</v>
      </c>
      <c r="H32" s="34" t="s">
        <v>8</v>
      </c>
      <c r="I32" s="1003" t="s">
        <v>8</v>
      </c>
      <c r="J32" s="997" t="s">
        <v>8</v>
      </c>
      <c r="K32" s="997" t="s">
        <v>8</v>
      </c>
      <c r="L32" s="34" t="s">
        <v>8</v>
      </c>
      <c r="M32" s="34" t="s">
        <v>8</v>
      </c>
      <c r="N32" s="34" t="s">
        <v>8</v>
      </c>
      <c r="O32" s="34" t="s">
        <v>8</v>
      </c>
      <c r="P32" s="34" t="s">
        <v>8</v>
      </c>
      <c r="Q32" s="34" t="s">
        <v>8</v>
      </c>
      <c r="R32" s="34" t="s">
        <v>8</v>
      </c>
      <c r="S32" s="709" t="s">
        <v>8</v>
      </c>
      <c r="T32" s="709" t="s">
        <v>8</v>
      </c>
      <c r="U32" s="709" t="s">
        <v>8</v>
      </c>
      <c r="V32" s="709" t="s">
        <v>8</v>
      </c>
      <c r="W32" s="51" t="s">
        <v>8</v>
      </c>
      <c r="X32" s="34" t="s">
        <v>8</v>
      </c>
      <c r="Y32" s="34" t="s">
        <v>8</v>
      </c>
      <c r="Z32" s="710" t="s">
        <v>8</v>
      </c>
      <c r="AA32" s="710" t="s">
        <v>8</v>
      </c>
      <c r="AB32" s="710" t="s">
        <v>8</v>
      </c>
      <c r="AC32" s="51" t="s">
        <v>8</v>
      </c>
      <c r="AD32" s="34" t="s">
        <v>8</v>
      </c>
      <c r="AE32" s="34" t="s">
        <v>8</v>
      </c>
      <c r="AF32" s="34" t="s">
        <v>8</v>
      </c>
      <c r="AG32" s="34" t="s">
        <v>8</v>
      </c>
      <c r="AH32" s="33" t="s">
        <v>10</v>
      </c>
      <c r="AI32" s="33" t="s">
        <v>10</v>
      </c>
      <c r="AJ32" s="34" t="s">
        <v>8</v>
      </c>
      <c r="AK32" s="34" t="s">
        <v>8</v>
      </c>
      <c r="AL32" s="34" t="s">
        <v>8</v>
      </c>
      <c r="AM32" s="710" t="s">
        <v>8</v>
      </c>
      <c r="AN32" s="710" t="s">
        <v>8</v>
      </c>
      <c r="AO32" s="710" t="s">
        <v>8</v>
      </c>
      <c r="AP32" s="34" t="str">
        <f t="shared" si="1"/>
        <v>×</v>
      </c>
      <c r="AQ32" s="34" t="str">
        <f t="shared" si="2"/>
        <v>×</v>
      </c>
      <c r="AR32" s="33" t="s">
        <v>10</v>
      </c>
      <c r="AS32" s="33" t="s">
        <v>10</v>
      </c>
      <c r="AT32" s="33" t="s">
        <v>10</v>
      </c>
      <c r="AU32" s="33" t="s">
        <v>10</v>
      </c>
      <c r="AV32" s="739" t="s">
        <v>8</v>
      </c>
      <c r="AW32" s="33" t="s">
        <v>10</v>
      </c>
      <c r="AX32" s="398" t="s">
        <v>10</v>
      </c>
      <c r="AY32" s="398" t="s">
        <v>10</v>
      </c>
      <c r="AZ32" s="395" t="s">
        <v>8</v>
      </c>
      <c r="BA32" s="395" t="s">
        <v>8</v>
      </c>
      <c r="BB32" s="33" t="s">
        <v>10</v>
      </c>
      <c r="BC32" s="33" t="s">
        <v>10</v>
      </c>
      <c r="BD32" s="739" t="s">
        <v>8</v>
      </c>
      <c r="BE32" s="33" t="s">
        <v>10</v>
      </c>
      <c r="BF32" s="395" t="str">
        <f t="shared" si="0"/>
        <v>○</v>
      </c>
      <c r="BG32" s="997" t="s">
        <v>637</v>
      </c>
      <c r="BH32" s="739" t="s">
        <v>8</v>
      </c>
      <c r="BI32" s="739" t="s">
        <v>8</v>
      </c>
      <c r="BJ32" s="34" t="s">
        <v>637</v>
      </c>
      <c r="BK32" s="34" t="s">
        <v>637</v>
      </c>
      <c r="BL32" s="34" t="s">
        <v>8</v>
      </c>
      <c r="BM32" s="395" t="s">
        <v>637</v>
      </c>
      <c r="BN32" s="395"/>
      <c r="BO32" s="360" t="s">
        <v>8</v>
      </c>
      <c r="BP32" s="395" t="str">
        <f t="shared" ref="BP32:BP63" si="7">$AZ:$AZ</f>
        <v>×</v>
      </c>
      <c r="BQ32" s="739" t="s">
        <v>8</v>
      </c>
      <c r="BR32" s="739" t="s">
        <v>8</v>
      </c>
      <c r="BS32" s="739" t="s">
        <v>8</v>
      </c>
      <c r="BT32" s="739" t="s">
        <v>8</v>
      </c>
      <c r="BU32" s="34" t="s">
        <v>637</v>
      </c>
      <c r="BV32" s="34" t="s">
        <v>637</v>
      </c>
      <c r="BW32" s="34" t="s">
        <v>637</v>
      </c>
      <c r="BX32" s="360" t="s">
        <v>8</v>
      </c>
      <c r="BY32" s="34" t="s">
        <v>637</v>
      </c>
      <c r="BZ32" s="34" t="s">
        <v>637</v>
      </c>
      <c r="CA32" s="34" t="s">
        <v>637</v>
      </c>
      <c r="CB32" s="34" t="s">
        <v>637</v>
      </c>
      <c r="CC32" s="739" t="s">
        <v>8</v>
      </c>
      <c r="CD32" s="34" t="s">
        <v>8</v>
      </c>
      <c r="CE32" s="49" t="str">
        <f t="shared" ref="CE32:CE63" si="8">$AZ:$AZ</f>
        <v>×</v>
      </c>
      <c r="CF32" s="395" t="s">
        <v>8</v>
      </c>
      <c r="CG32" s="397" t="str">
        <f t="shared" ref="CG32:CG63" si="9">$BA:$BA</f>
        <v>×</v>
      </c>
      <c r="CH32" s="105"/>
      <c r="CI32" s="2"/>
      <c r="CJ32" s="2"/>
      <c r="CK32" s="2"/>
      <c r="CL32" s="2"/>
      <c r="CM32" s="323"/>
      <c r="CN32" s="2"/>
      <c r="CO32" s="2"/>
      <c r="CP32" s="2"/>
      <c r="CQ32" s="187" t="s">
        <v>8</v>
      </c>
      <c r="CR32" s="34" t="s">
        <v>8</v>
      </c>
      <c r="CS32" s="34" t="s">
        <v>8</v>
      </c>
      <c r="CT32" s="249" t="s">
        <v>8</v>
      </c>
      <c r="CU32" s="51" t="s">
        <v>8</v>
      </c>
      <c r="CV32" s="34" t="s">
        <v>8</v>
      </c>
      <c r="CW32" s="36" t="s">
        <v>8</v>
      </c>
      <c r="CX32" s="249" t="s">
        <v>8</v>
      </c>
    </row>
    <row r="33" spans="1:102">
      <c r="A33" s="1076"/>
      <c r="B33" s="91" t="s">
        <v>106</v>
      </c>
      <c r="C33" s="20">
        <v>223</v>
      </c>
      <c r="D33" s="20">
        <v>297</v>
      </c>
      <c r="E33" s="88" t="s">
        <v>9</v>
      </c>
      <c r="F33" s="40" t="s">
        <v>8</v>
      </c>
      <c r="G33" s="31" t="s">
        <v>8</v>
      </c>
      <c r="H33" s="31" t="s">
        <v>8</v>
      </c>
      <c r="I33" s="708" t="s">
        <v>8</v>
      </c>
      <c r="J33" s="706" t="s">
        <v>8</v>
      </c>
      <c r="K33" s="706" t="s">
        <v>8</v>
      </c>
      <c r="L33" s="360" t="s">
        <v>8</v>
      </c>
      <c r="M33" s="360" t="s">
        <v>8</v>
      </c>
      <c r="N33" s="360" t="s">
        <v>8</v>
      </c>
      <c r="O33" s="360" t="s">
        <v>8</v>
      </c>
      <c r="P33" s="360" t="s">
        <v>8</v>
      </c>
      <c r="Q33" s="706" t="s">
        <v>8</v>
      </c>
      <c r="R33" s="706" t="s">
        <v>8</v>
      </c>
      <c r="S33" s="709" t="s">
        <v>8</v>
      </c>
      <c r="T33" s="709" t="s">
        <v>8</v>
      </c>
      <c r="U33" s="709" t="s">
        <v>8</v>
      </c>
      <c r="V33" s="709" t="s">
        <v>8</v>
      </c>
      <c r="W33" s="40" t="s">
        <v>8</v>
      </c>
      <c r="X33" s="31" t="s">
        <v>8</v>
      </c>
      <c r="Y33" s="31" t="s">
        <v>8</v>
      </c>
      <c r="Z33" s="710" t="s">
        <v>8</v>
      </c>
      <c r="AA33" s="710" t="s">
        <v>8</v>
      </c>
      <c r="AB33" s="710" t="s">
        <v>8</v>
      </c>
      <c r="AC33" s="40" t="s">
        <v>8</v>
      </c>
      <c r="AD33" s="31" t="s">
        <v>8</v>
      </c>
      <c r="AE33" s="31" t="s">
        <v>8</v>
      </c>
      <c r="AF33" s="31" t="s">
        <v>8</v>
      </c>
      <c r="AG33" s="31" t="s">
        <v>8</v>
      </c>
      <c r="AH33" s="31" t="s">
        <v>8</v>
      </c>
      <c r="AI33" s="31" t="s">
        <v>8</v>
      </c>
      <c r="AJ33" s="31" t="s">
        <v>8</v>
      </c>
      <c r="AK33" s="31" t="s">
        <v>8</v>
      </c>
      <c r="AL33" s="31" t="s">
        <v>8</v>
      </c>
      <c r="AM33" s="710" t="s">
        <v>8</v>
      </c>
      <c r="AN33" s="710" t="s">
        <v>8</v>
      </c>
      <c r="AO33" s="710" t="s">
        <v>8</v>
      </c>
      <c r="AP33" s="31" t="str">
        <f t="shared" si="1"/>
        <v>×</v>
      </c>
      <c r="AQ33" s="31" t="str">
        <f t="shared" si="2"/>
        <v>×</v>
      </c>
      <c r="AR33" s="360" t="s">
        <v>8</v>
      </c>
      <c r="AS33" s="360" t="s">
        <v>8</v>
      </c>
      <c r="AT33" s="360" t="s">
        <v>8</v>
      </c>
      <c r="AU33" s="360" t="s">
        <v>8</v>
      </c>
      <c r="AV33" s="739" t="s">
        <v>8</v>
      </c>
      <c r="AW33" s="706" t="s">
        <v>8</v>
      </c>
      <c r="AX33" s="706" t="s">
        <v>8</v>
      </c>
      <c r="AY33" s="706" t="s">
        <v>8</v>
      </c>
      <c r="AZ33" s="706" t="s">
        <v>8</v>
      </c>
      <c r="BA33" s="706" t="s">
        <v>8</v>
      </c>
      <c r="BB33" s="706" t="s">
        <v>8</v>
      </c>
      <c r="BC33" s="706" t="s">
        <v>8</v>
      </c>
      <c r="BD33" s="739" t="s">
        <v>8</v>
      </c>
      <c r="BE33" s="706" t="s">
        <v>8</v>
      </c>
      <c r="BF33" s="706" t="str">
        <f t="shared" si="0"/>
        <v>×</v>
      </c>
      <c r="BG33" s="706" t="s">
        <v>8</v>
      </c>
      <c r="BH33" s="739" t="s">
        <v>8</v>
      </c>
      <c r="BI33" s="739" t="s">
        <v>8</v>
      </c>
      <c r="BJ33" s="706" t="s">
        <v>8</v>
      </c>
      <c r="BK33" s="706" t="s">
        <v>8</v>
      </c>
      <c r="BL33" s="706" t="s">
        <v>8</v>
      </c>
      <c r="BM33" s="706" t="s">
        <v>8</v>
      </c>
      <c r="BN33" s="706"/>
      <c r="BO33" s="706" t="s">
        <v>8</v>
      </c>
      <c r="BP33" s="706" t="str">
        <f t="shared" si="7"/>
        <v>×</v>
      </c>
      <c r="BQ33" s="739" t="s">
        <v>8</v>
      </c>
      <c r="BR33" s="739" t="s">
        <v>8</v>
      </c>
      <c r="BS33" s="739" t="s">
        <v>8</v>
      </c>
      <c r="BT33" s="739" t="s">
        <v>8</v>
      </c>
      <c r="BU33" s="706" t="s">
        <v>8</v>
      </c>
      <c r="BV33" s="706" t="s">
        <v>8</v>
      </c>
      <c r="BW33" s="706" t="s">
        <v>8</v>
      </c>
      <c r="BX33" s="706" t="s">
        <v>8</v>
      </c>
      <c r="BY33" s="706" t="s">
        <v>8</v>
      </c>
      <c r="BZ33" s="706" t="s">
        <v>8</v>
      </c>
      <c r="CA33" s="706" t="s">
        <v>8</v>
      </c>
      <c r="CB33" s="706" t="s">
        <v>8</v>
      </c>
      <c r="CC33" s="739" t="s">
        <v>8</v>
      </c>
      <c r="CD33" s="706" t="s">
        <v>8</v>
      </c>
      <c r="CE33" s="370" t="str">
        <f t="shared" si="8"/>
        <v>×</v>
      </c>
      <c r="CF33" s="360" t="s">
        <v>8</v>
      </c>
      <c r="CG33" s="373" t="str">
        <f t="shared" si="9"/>
        <v>×</v>
      </c>
      <c r="CH33" s="104"/>
      <c r="CI33" s="2"/>
      <c r="CJ33" s="2"/>
      <c r="CK33" s="2"/>
      <c r="CL33" s="2"/>
      <c r="CM33" s="323"/>
      <c r="CN33" s="2"/>
      <c r="CO33" s="2"/>
      <c r="CP33" s="2"/>
      <c r="CQ33" s="271" t="s">
        <v>8</v>
      </c>
      <c r="CR33" s="31" t="s">
        <v>8</v>
      </c>
      <c r="CS33" s="31" t="s">
        <v>8</v>
      </c>
      <c r="CT33" s="247" t="s">
        <v>8</v>
      </c>
      <c r="CU33" s="40" t="s">
        <v>8</v>
      </c>
      <c r="CV33" s="31" t="s">
        <v>8</v>
      </c>
      <c r="CW33" s="41" t="s">
        <v>8</v>
      </c>
      <c r="CX33" s="247" t="s">
        <v>8</v>
      </c>
    </row>
    <row r="34" spans="1:102">
      <c r="A34" s="1076"/>
      <c r="B34" s="1078" t="s">
        <v>105</v>
      </c>
      <c r="C34" s="1054">
        <v>228.6</v>
      </c>
      <c r="D34" s="1054">
        <v>279.39999999999998</v>
      </c>
      <c r="E34" s="460" t="s">
        <v>7</v>
      </c>
      <c r="F34" s="362" t="s">
        <v>8</v>
      </c>
      <c r="G34" s="360" t="s">
        <v>8</v>
      </c>
      <c r="H34" s="360" t="s">
        <v>8</v>
      </c>
      <c r="I34" s="708" t="s">
        <v>8</v>
      </c>
      <c r="J34" s="706" t="s">
        <v>8</v>
      </c>
      <c r="K34" s="706" t="s">
        <v>8</v>
      </c>
      <c r="L34" s="360" t="s">
        <v>8</v>
      </c>
      <c r="M34" s="360" t="s">
        <v>8</v>
      </c>
      <c r="N34" s="360" t="s">
        <v>8</v>
      </c>
      <c r="O34" s="360" t="s">
        <v>8</v>
      </c>
      <c r="P34" s="360" t="s">
        <v>8</v>
      </c>
      <c r="Q34" s="706" t="s">
        <v>8</v>
      </c>
      <c r="R34" s="706" t="s">
        <v>8</v>
      </c>
      <c r="S34" s="709" t="s">
        <v>8</v>
      </c>
      <c r="T34" s="709" t="s">
        <v>8</v>
      </c>
      <c r="U34" s="709" t="s">
        <v>8</v>
      </c>
      <c r="V34" s="709" t="s">
        <v>8</v>
      </c>
      <c r="W34" s="362" t="s">
        <v>8</v>
      </c>
      <c r="X34" s="360" t="s">
        <v>8</v>
      </c>
      <c r="Y34" s="360" t="s">
        <v>8</v>
      </c>
      <c r="Z34" s="710" t="s">
        <v>8</v>
      </c>
      <c r="AA34" s="710" t="s">
        <v>8</v>
      </c>
      <c r="AB34" s="710" t="s">
        <v>8</v>
      </c>
      <c r="AC34" s="362" t="s">
        <v>8</v>
      </c>
      <c r="AD34" s="360" t="s">
        <v>8</v>
      </c>
      <c r="AE34" s="360" t="s">
        <v>8</v>
      </c>
      <c r="AF34" s="360" t="s">
        <v>8</v>
      </c>
      <c r="AG34" s="360" t="s">
        <v>8</v>
      </c>
      <c r="AH34" s="360" t="s">
        <v>8</v>
      </c>
      <c r="AI34" s="360" t="s">
        <v>8</v>
      </c>
      <c r="AJ34" s="360" t="s">
        <v>8</v>
      </c>
      <c r="AK34" s="360" t="s">
        <v>8</v>
      </c>
      <c r="AL34" s="360" t="s">
        <v>8</v>
      </c>
      <c r="AM34" s="710" t="s">
        <v>8</v>
      </c>
      <c r="AN34" s="710" t="s">
        <v>8</v>
      </c>
      <c r="AO34" s="710" t="s">
        <v>8</v>
      </c>
      <c r="AP34" s="360" t="str">
        <f t="shared" si="1"/>
        <v>×</v>
      </c>
      <c r="AQ34" s="360" t="str">
        <f t="shared" si="2"/>
        <v>×</v>
      </c>
      <c r="AR34" s="360" t="s">
        <v>8</v>
      </c>
      <c r="AS34" s="360" t="s">
        <v>8</v>
      </c>
      <c r="AT34" s="360" t="s">
        <v>8</v>
      </c>
      <c r="AU34" s="360" t="s">
        <v>8</v>
      </c>
      <c r="AV34" s="739" t="s">
        <v>8</v>
      </c>
      <c r="AW34" s="706" t="s">
        <v>8</v>
      </c>
      <c r="AX34" s="706" t="s">
        <v>8</v>
      </c>
      <c r="AY34" s="706" t="s">
        <v>8</v>
      </c>
      <c r="AZ34" s="706" t="s">
        <v>8</v>
      </c>
      <c r="BA34" s="706" t="s">
        <v>8</v>
      </c>
      <c r="BB34" s="706" t="s">
        <v>8</v>
      </c>
      <c r="BC34" s="706" t="s">
        <v>8</v>
      </c>
      <c r="BD34" s="739" t="s">
        <v>8</v>
      </c>
      <c r="BE34" s="706" t="s">
        <v>8</v>
      </c>
      <c r="BF34" s="706" t="str">
        <f t="shared" si="0"/>
        <v>×</v>
      </c>
      <c r="BG34" s="706" t="s">
        <v>8</v>
      </c>
      <c r="BH34" s="739" t="s">
        <v>8</v>
      </c>
      <c r="BI34" s="739" t="s">
        <v>8</v>
      </c>
      <c r="BJ34" s="706" t="s">
        <v>8</v>
      </c>
      <c r="BK34" s="706" t="s">
        <v>8</v>
      </c>
      <c r="BL34" s="706" t="s">
        <v>8</v>
      </c>
      <c r="BM34" s="706" t="s">
        <v>8</v>
      </c>
      <c r="BN34" s="706"/>
      <c r="BO34" s="706" t="s">
        <v>8</v>
      </c>
      <c r="BP34" s="706" t="str">
        <f t="shared" si="7"/>
        <v>×</v>
      </c>
      <c r="BQ34" s="739" t="s">
        <v>8</v>
      </c>
      <c r="BR34" s="739" t="s">
        <v>8</v>
      </c>
      <c r="BS34" s="739" t="s">
        <v>8</v>
      </c>
      <c r="BT34" s="739" t="s">
        <v>8</v>
      </c>
      <c r="BU34" s="706" t="s">
        <v>8</v>
      </c>
      <c r="BV34" s="706" t="s">
        <v>8</v>
      </c>
      <c r="BW34" s="706" t="s">
        <v>8</v>
      </c>
      <c r="BX34" s="706" t="s">
        <v>8</v>
      </c>
      <c r="BY34" s="706" t="s">
        <v>8</v>
      </c>
      <c r="BZ34" s="706" t="s">
        <v>8</v>
      </c>
      <c r="CA34" s="706" t="s">
        <v>8</v>
      </c>
      <c r="CB34" s="706" t="s">
        <v>8</v>
      </c>
      <c r="CC34" s="739" t="s">
        <v>8</v>
      </c>
      <c r="CD34" s="706" t="s">
        <v>8</v>
      </c>
      <c r="CE34" s="370" t="str">
        <f t="shared" si="8"/>
        <v>×</v>
      </c>
      <c r="CF34" s="360" t="s">
        <v>8</v>
      </c>
      <c r="CG34" s="373" t="str">
        <f t="shared" si="9"/>
        <v>×</v>
      </c>
      <c r="CH34" s="461"/>
      <c r="CI34" s="2"/>
      <c r="CJ34" s="2"/>
      <c r="CK34" s="2"/>
      <c r="CL34" s="2"/>
      <c r="CM34" s="323"/>
      <c r="CN34" s="2"/>
      <c r="CO34" s="2"/>
      <c r="CP34" s="2"/>
      <c r="CQ34" s="462" t="s">
        <v>8</v>
      </c>
      <c r="CR34" s="360" t="s">
        <v>8</v>
      </c>
      <c r="CS34" s="360" t="s">
        <v>8</v>
      </c>
      <c r="CT34" s="463" t="s">
        <v>8</v>
      </c>
      <c r="CU34" s="362" t="s">
        <v>8</v>
      </c>
      <c r="CV34" s="360" t="s">
        <v>8</v>
      </c>
      <c r="CW34" s="363" t="s">
        <v>8</v>
      </c>
      <c r="CX34" s="463" t="s">
        <v>8</v>
      </c>
    </row>
    <row r="35" spans="1:102">
      <c r="A35" s="1076"/>
      <c r="B35" s="1079"/>
      <c r="C35" s="1055"/>
      <c r="D35" s="1055"/>
      <c r="E35" s="84" t="s">
        <v>9</v>
      </c>
      <c r="F35" s="51" t="s">
        <v>8</v>
      </c>
      <c r="G35" s="34" t="s">
        <v>8</v>
      </c>
      <c r="H35" s="34" t="s">
        <v>8</v>
      </c>
      <c r="I35" s="1003" t="s">
        <v>8</v>
      </c>
      <c r="J35" s="997" t="s">
        <v>8</v>
      </c>
      <c r="K35" s="997" t="s">
        <v>8</v>
      </c>
      <c r="L35" s="34" t="s">
        <v>8</v>
      </c>
      <c r="M35" s="34" t="s">
        <v>8</v>
      </c>
      <c r="N35" s="34" t="s">
        <v>8</v>
      </c>
      <c r="O35" s="34" t="s">
        <v>8</v>
      </c>
      <c r="P35" s="34" t="s">
        <v>8</v>
      </c>
      <c r="Q35" s="34" t="s">
        <v>8</v>
      </c>
      <c r="R35" s="34" t="s">
        <v>8</v>
      </c>
      <c r="S35" s="709" t="s">
        <v>8</v>
      </c>
      <c r="T35" s="709" t="s">
        <v>8</v>
      </c>
      <c r="U35" s="709" t="s">
        <v>8</v>
      </c>
      <c r="V35" s="709" t="s">
        <v>8</v>
      </c>
      <c r="W35" s="51" t="s">
        <v>8</v>
      </c>
      <c r="X35" s="34" t="s">
        <v>8</v>
      </c>
      <c r="Y35" s="34" t="s">
        <v>8</v>
      </c>
      <c r="Z35" s="710" t="s">
        <v>8</v>
      </c>
      <c r="AA35" s="710" t="s">
        <v>8</v>
      </c>
      <c r="AB35" s="710" t="s">
        <v>8</v>
      </c>
      <c r="AC35" s="51" t="s">
        <v>8</v>
      </c>
      <c r="AD35" s="34" t="s">
        <v>8</v>
      </c>
      <c r="AE35" s="34" t="s">
        <v>8</v>
      </c>
      <c r="AF35" s="34" t="s">
        <v>8</v>
      </c>
      <c r="AG35" s="34" t="s">
        <v>8</v>
      </c>
      <c r="AH35" s="33" t="s">
        <v>10</v>
      </c>
      <c r="AI35" s="33" t="s">
        <v>10</v>
      </c>
      <c r="AJ35" s="34" t="s">
        <v>8</v>
      </c>
      <c r="AK35" s="34" t="s">
        <v>8</v>
      </c>
      <c r="AL35" s="34" t="s">
        <v>8</v>
      </c>
      <c r="AM35" s="710" t="s">
        <v>8</v>
      </c>
      <c r="AN35" s="710" t="s">
        <v>8</v>
      </c>
      <c r="AO35" s="710" t="s">
        <v>8</v>
      </c>
      <c r="AP35" s="34" t="str">
        <f t="shared" si="1"/>
        <v>×</v>
      </c>
      <c r="AQ35" s="34" t="str">
        <f t="shared" si="2"/>
        <v>×</v>
      </c>
      <c r="AR35" s="33" t="s">
        <v>10</v>
      </c>
      <c r="AS35" s="33" t="s">
        <v>10</v>
      </c>
      <c r="AT35" s="33" t="s">
        <v>10</v>
      </c>
      <c r="AU35" s="33" t="s">
        <v>10</v>
      </c>
      <c r="AV35" s="739" t="s">
        <v>8</v>
      </c>
      <c r="AW35" s="33" t="s">
        <v>10</v>
      </c>
      <c r="AX35" s="398" t="s">
        <v>10</v>
      </c>
      <c r="AY35" s="398" t="s">
        <v>10</v>
      </c>
      <c r="AZ35" s="395" t="s">
        <v>8</v>
      </c>
      <c r="BA35" s="395" t="s">
        <v>8</v>
      </c>
      <c r="BB35" s="33" t="s">
        <v>10</v>
      </c>
      <c r="BC35" s="33" t="s">
        <v>10</v>
      </c>
      <c r="BD35" s="739" t="s">
        <v>8</v>
      </c>
      <c r="BE35" s="33" t="s">
        <v>10</v>
      </c>
      <c r="BF35" s="395" t="str">
        <f t="shared" si="0"/>
        <v>○</v>
      </c>
      <c r="BG35" s="997" t="s">
        <v>637</v>
      </c>
      <c r="BH35" s="739" t="s">
        <v>8</v>
      </c>
      <c r="BI35" s="739" t="s">
        <v>8</v>
      </c>
      <c r="BJ35" s="34" t="s">
        <v>637</v>
      </c>
      <c r="BK35" s="34" t="s">
        <v>637</v>
      </c>
      <c r="BL35" s="34" t="s">
        <v>8</v>
      </c>
      <c r="BM35" s="395" t="s">
        <v>637</v>
      </c>
      <c r="BN35" s="395"/>
      <c r="BO35" s="360" t="s">
        <v>8</v>
      </c>
      <c r="BP35" s="395" t="str">
        <f t="shared" si="7"/>
        <v>×</v>
      </c>
      <c r="BQ35" s="739" t="s">
        <v>8</v>
      </c>
      <c r="BR35" s="739" t="s">
        <v>8</v>
      </c>
      <c r="BS35" s="739" t="s">
        <v>8</v>
      </c>
      <c r="BT35" s="739" t="s">
        <v>8</v>
      </c>
      <c r="BU35" s="34" t="s">
        <v>637</v>
      </c>
      <c r="BV35" s="34" t="s">
        <v>637</v>
      </c>
      <c r="BW35" s="34" t="s">
        <v>637</v>
      </c>
      <c r="BX35" s="360" t="s">
        <v>8</v>
      </c>
      <c r="BY35" s="34" t="s">
        <v>637</v>
      </c>
      <c r="BZ35" s="34" t="s">
        <v>637</v>
      </c>
      <c r="CA35" s="34" t="s">
        <v>637</v>
      </c>
      <c r="CB35" s="34" t="s">
        <v>637</v>
      </c>
      <c r="CC35" s="739" t="s">
        <v>8</v>
      </c>
      <c r="CD35" s="34" t="s">
        <v>8</v>
      </c>
      <c r="CE35" s="396" t="str">
        <f t="shared" si="8"/>
        <v>×</v>
      </c>
      <c r="CF35" s="395" t="s">
        <v>8</v>
      </c>
      <c r="CG35" s="397" t="str">
        <f t="shared" si="9"/>
        <v>×</v>
      </c>
      <c r="CH35" s="105"/>
      <c r="CI35" s="2"/>
      <c r="CJ35" s="2"/>
      <c r="CK35" s="2"/>
      <c r="CL35" s="2"/>
      <c r="CM35" s="323"/>
      <c r="CN35" s="2"/>
      <c r="CO35" s="2"/>
      <c r="CP35" s="2"/>
      <c r="CQ35" s="187" t="s">
        <v>8</v>
      </c>
      <c r="CR35" s="34" t="s">
        <v>8</v>
      </c>
      <c r="CS35" s="34" t="s">
        <v>8</v>
      </c>
      <c r="CT35" s="249" t="s">
        <v>8</v>
      </c>
      <c r="CU35" s="51" t="s">
        <v>8</v>
      </c>
      <c r="CV35" s="34" t="s">
        <v>8</v>
      </c>
      <c r="CW35" s="36" t="s">
        <v>8</v>
      </c>
      <c r="CX35" s="249" t="s">
        <v>8</v>
      </c>
    </row>
    <row r="36" spans="1:102" ht="27">
      <c r="A36" s="1076"/>
      <c r="B36" s="91" t="s">
        <v>107</v>
      </c>
      <c r="C36" s="20">
        <v>228.6</v>
      </c>
      <c r="D36" s="20">
        <v>279.39999999999998</v>
      </c>
      <c r="E36" s="88" t="s">
        <v>9</v>
      </c>
      <c r="F36" s="40" t="s">
        <v>8</v>
      </c>
      <c r="G36" s="31" t="s">
        <v>8</v>
      </c>
      <c r="H36" s="31" t="s">
        <v>8</v>
      </c>
      <c r="I36" s="708" t="s">
        <v>8</v>
      </c>
      <c r="J36" s="706" t="s">
        <v>8</v>
      </c>
      <c r="K36" s="706" t="s">
        <v>8</v>
      </c>
      <c r="L36" s="360" t="s">
        <v>8</v>
      </c>
      <c r="M36" s="360" t="s">
        <v>8</v>
      </c>
      <c r="N36" s="360" t="s">
        <v>8</v>
      </c>
      <c r="O36" s="360" t="s">
        <v>8</v>
      </c>
      <c r="P36" s="360" t="s">
        <v>8</v>
      </c>
      <c r="Q36" s="706" t="s">
        <v>8</v>
      </c>
      <c r="R36" s="706" t="s">
        <v>8</v>
      </c>
      <c r="S36" s="709" t="s">
        <v>8</v>
      </c>
      <c r="T36" s="709" t="s">
        <v>8</v>
      </c>
      <c r="U36" s="709" t="s">
        <v>8</v>
      </c>
      <c r="V36" s="709" t="s">
        <v>8</v>
      </c>
      <c r="W36" s="40" t="s">
        <v>8</v>
      </c>
      <c r="X36" s="31" t="s">
        <v>8</v>
      </c>
      <c r="Y36" s="31" t="s">
        <v>8</v>
      </c>
      <c r="Z36" s="710" t="s">
        <v>8</v>
      </c>
      <c r="AA36" s="710" t="s">
        <v>8</v>
      </c>
      <c r="AB36" s="710" t="s">
        <v>8</v>
      </c>
      <c r="AC36" s="40" t="s">
        <v>8</v>
      </c>
      <c r="AD36" s="31" t="s">
        <v>8</v>
      </c>
      <c r="AE36" s="31" t="s">
        <v>8</v>
      </c>
      <c r="AF36" s="31" t="s">
        <v>8</v>
      </c>
      <c r="AG36" s="31" t="s">
        <v>8</v>
      </c>
      <c r="AH36" s="31" t="s">
        <v>8</v>
      </c>
      <c r="AI36" s="31" t="s">
        <v>8</v>
      </c>
      <c r="AJ36" s="31" t="s">
        <v>8</v>
      </c>
      <c r="AK36" s="31" t="s">
        <v>8</v>
      </c>
      <c r="AL36" s="31" t="s">
        <v>8</v>
      </c>
      <c r="AM36" s="710" t="s">
        <v>8</v>
      </c>
      <c r="AN36" s="710" t="s">
        <v>8</v>
      </c>
      <c r="AO36" s="710" t="s">
        <v>8</v>
      </c>
      <c r="AP36" s="31" t="str">
        <f t="shared" si="1"/>
        <v>×</v>
      </c>
      <c r="AQ36" s="31" t="str">
        <f t="shared" si="2"/>
        <v>×</v>
      </c>
      <c r="AR36" s="31" t="s">
        <v>8</v>
      </c>
      <c r="AS36" s="31" t="s">
        <v>8</v>
      </c>
      <c r="AT36" s="31" t="s">
        <v>8</v>
      </c>
      <c r="AU36" s="31" t="s">
        <v>8</v>
      </c>
      <c r="AV36" s="739" t="s">
        <v>8</v>
      </c>
      <c r="AW36" s="706" t="s">
        <v>8</v>
      </c>
      <c r="AX36" s="706" t="s">
        <v>8</v>
      </c>
      <c r="AY36" s="706" t="s">
        <v>8</v>
      </c>
      <c r="AZ36" s="706" t="s">
        <v>8</v>
      </c>
      <c r="BA36" s="706" t="s">
        <v>8</v>
      </c>
      <c r="BB36" s="706" t="s">
        <v>8</v>
      </c>
      <c r="BC36" s="706" t="s">
        <v>8</v>
      </c>
      <c r="BD36" s="739" t="s">
        <v>8</v>
      </c>
      <c r="BE36" s="706" t="s">
        <v>8</v>
      </c>
      <c r="BF36" s="706" t="str">
        <f t="shared" si="0"/>
        <v>×</v>
      </c>
      <c r="BG36" s="706" t="s">
        <v>8</v>
      </c>
      <c r="BH36" s="739" t="s">
        <v>8</v>
      </c>
      <c r="BI36" s="739" t="s">
        <v>8</v>
      </c>
      <c r="BJ36" s="706" t="s">
        <v>8</v>
      </c>
      <c r="BK36" s="706" t="s">
        <v>8</v>
      </c>
      <c r="BL36" s="706" t="s">
        <v>8</v>
      </c>
      <c r="BM36" s="706" t="s">
        <v>8</v>
      </c>
      <c r="BN36" s="706"/>
      <c r="BO36" s="706" t="s">
        <v>8</v>
      </c>
      <c r="BP36" s="706" t="str">
        <f t="shared" si="7"/>
        <v>×</v>
      </c>
      <c r="BQ36" s="739" t="s">
        <v>8</v>
      </c>
      <c r="BR36" s="739" t="s">
        <v>8</v>
      </c>
      <c r="BS36" s="739" t="s">
        <v>8</v>
      </c>
      <c r="BT36" s="739" t="s">
        <v>8</v>
      </c>
      <c r="BU36" s="706" t="s">
        <v>8</v>
      </c>
      <c r="BV36" s="706" t="s">
        <v>8</v>
      </c>
      <c r="BW36" s="706" t="s">
        <v>8</v>
      </c>
      <c r="BX36" s="706" t="s">
        <v>8</v>
      </c>
      <c r="BY36" s="706" t="s">
        <v>8</v>
      </c>
      <c r="BZ36" s="706" t="s">
        <v>8</v>
      </c>
      <c r="CA36" s="706" t="s">
        <v>8</v>
      </c>
      <c r="CB36" s="706" t="s">
        <v>8</v>
      </c>
      <c r="CC36" s="739" t="s">
        <v>8</v>
      </c>
      <c r="CD36" s="706" t="s">
        <v>8</v>
      </c>
      <c r="CE36" s="370" t="str">
        <f t="shared" si="8"/>
        <v>×</v>
      </c>
      <c r="CF36" s="360" t="s">
        <v>8</v>
      </c>
      <c r="CG36" s="373" t="str">
        <f t="shared" si="9"/>
        <v>×</v>
      </c>
      <c r="CH36" s="104"/>
      <c r="CI36" s="2"/>
      <c r="CJ36" s="2"/>
      <c r="CK36" s="2"/>
      <c r="CL36" s="2"/>
      <c r="CM36" s="323"/>
      <c r="CN36" s="2"/>
      <c r="CO36" s="2"/>
      <c r="CP36" s="2"/>
      <c r="CQ36" s="271" t="s">
        <v>8</v>
      </c>
      <c r="CR36" s="31" t="s">
        <v>8</v>
      </c>
      <c r="CS36" s="31" t="s">
        <v>8</v>
      </c>
      <c r="CT36" s="247" t="s">
        <v>8</v>
      </c>
      <c r="CU36" s="40" t="s">
        <v>8</v>
      </c>
      <c r="CV36" s="31" t="s">
        <v>8</v>
      </c>
      <c r="CW36" s="41" t="s">
        <v>8</v>
      </c>
      <c r="CX36" s="247" t="s">
        <v>8</v>
      </c>
    </row>
    <row r="37" spans="1:102">
      <c r="A37" s="1076"/>
      <c r="B37" s="1089" t="s">
        <v>655</v>
      </c>
      <c r="C37" s="1056">
        <v>226</v>
      </c>
      <c r="D37" s="1056">
        <v>310</v>
      </c>
      <c r="E37" s="94" t="s">
        <v>7</v>
      </c>
      <c r="F37" s="40" t="s">
        <v>8</v>
      </c>
      <c r="G37" s="31" t="s">
        <v>8</v>
      </c>
      <c r="H37" s="31" t="s">
        <v>8</v>
      </c>
      <c r="I37" s="708" t="s">
        <v>8</v>
      </c>
      <c r="J37" s="706" t="s">
        <v>8</v>
      </c>
      <c r="K37" s="706" t="s">
        <v>8</v>
      </c>
      <c r="L37" s="360" t="s">
        <v>8</v>
      </c>
      <c r="M37" s="360" t="s">
        <v>8</v>
      </c>
      <c r="N37" s="360" t="s">
        <v>8</v>
      </c>
      <c r="O37" s="360" t="s">
        <v>8</v>
      </c>
      <c r="P37" s="360" t="s">
        <v>8</v>
      </c>
      <c r="Q37" s="706" t="s">
        <v>8</v>
      </c>
      <c r="R37" s="706" t="s">
        <v>8</v>
      </c>
      <c r="S37" s="709" t="s">
        <v>8</v>
      </c>
      <c r="T37" s="709" t="s">
        <v>8</v>
      </c>
      <c r="U37" s="709" t="s">
        <v>8</v>
      </c>
      <c r="V37" s="709" t="s">
        <v>8</v>
      </c>
      <c r="W37" s="40" t="s">
        <v>8</v>
      </c>
      <c r="X37" s="31" t="s">
        <v>8</v>
      </c>
      <c r="Y37" s="31" t="s">
        <v>8</v>
      </c>
      <c r="Z37" s="710" t="s">
        <v>8</v>
      </c>
      <c r="AA37" s="710" t="s">
        <v>8</v>
      </c>
      <c r="AB37" s="710" t="s">
        <v>8</v>
      </c>
      <c r="AC37" s="40" t="s">
        <v>8</v>
      </c>
      <c r="AD37" s="31" t="s">
        <v>8</v>
      </c>
      <c r="AE37" s="31" t="s">
        <v>8</v>
      </c>
      <c r="AF37" s="31" t="s">
        <v>8</v>
      </c>
      <c r="AG37" s="31" t="s">
        <v>8</v>
      </c>
      <c r="AH37" s="31" t="s">
        <v>8</v>
      </c>
      <c r="AI37" s="31" t="s">
        <v>8</v>
      </c>
      <c r="AJ37" s="31" t="s">
        <v>8</v>
      </c>
      <c r="AK37" s="31" t="s">
        <v>8</v>
      </c>
      <c r="AL37" s="31" t="s">
        <v>8</v>
      </c>
      <c r="AM37" s="710" t="s">
        <v>8</v>
      </c>
      <c r="AN37" s="710" t="s">
        <v>8</v>
      </c>
      <c r="AO37" s="710" t="s">
        <v>8</v>
      </c>
      <c r="AP37" s="31" t="str">
        <f t="shared" si="1"/>
        <v>×</v>
      </c>
      <c r="AQ37" s="31" t="str">
        <f t="shared" si="2"/>
        <v>×</v>
      </c>
      <c r="AR37" s="31" t="s">
        <v>8</v>
      </c>
      <c r="AS37" s="31" t="s">
        <v>8</v>
      </c>
      <c r="AT37" s="31" t="s">
        <v>8</v>
      </c>
      <c r="AU37" s="31" t="s">
        <v>8</v>
      </c>
      <c r="AV37" s="739" t="s">
        <v>8</v>
      </c>
      <c r="AW37" s="706" t="s">
        <v>8</v>
      </c>
      <c r="AX37" s="706" t="s">
        <v>8</v>
      </c>
      <c r="AY37" s="706" t="s">
        <v>8</v>
      </c>
      <c r="AZ37" s="706" t="s">
        <v>8</v>
      </c>
      <c r="BA37" s="706" t="s">
        <v>8</v>
      </c>
      <c r="BB37" s="706" t="s">
        <v>8</v>
      </c>
      <c r="BC37" s="706" t="s">
        <v>8</v>
      </c>
      <c r="BD37" s="739" t="s">
        <v>8</v>
      </c>
      <c r="BE37" s="706" t="s">
        <v>8</v>
      </c>
      <c r="BF37" s="706" t="str">
        <f t="shared" ref="BF37:BF68" si="10">$AY:$AY</f>
        <v>×</v>
      </c>
      <c r="BG37" s="706" t="s">
        <v>8</v>
      </c>
      <c r="BH37" s="739" t="s">
        <v>8</v>
      </c>
      <c r="BI37" s="739" t="s">
        <v>8</v>
      </c>
      <c r="BJ37" s="706" t="s">
        <v>8</v>
      </c>
      <c r="BK37" s="706" t="s">
        <v>8</v>
      </c>
      <c r="BL37" s="706" t="s">
        <v>8</v>
      </c>
      <c r="BM37" s="706" t="s">
        <v>8</v>
      </c>
      <c r="BN37" s="706"/>
      <c r="BO37" s="706" t="s">
        <v>8</v>
      </c>
      <c r="BP37" s="706" t="str">
        <f t="shared" si="7"/>
        <v>×</v>
      </c>
      <c r="BQ37" s="739" t="s">
        <v>8</v>
      </c>
      <c r="BR37" s="739" t="s">
        <v>8</v>
      </c>
      <c r="BS37" s="739" t="s">
        <v>8</v>
      </c>
      <c r="BT37" s="739" t="s">
        <v>8</v>
      </c>
      <c r="BU37" s="706" t="s">
        <v>8</v>
      </c>
      <c r="BV37" s="706" t="s">
        <v>8</v>
      </c>
      <c r="BW37" s="706" t="s">
        <v>8</v>
      </c>
      <c r="BX37" s="706" t="s">
        <v>8</v>
      </c>
      <c r="BY37" s="706" t="s">
        <v>8</v>
      </c>
      <c r="BZ37" s="706" t="s">
        <v>8</v>
      </c>
      <c r="CA37" s="706" t="s">
        <v>8</v>
      </c>
      <c r="CB37" s="706" t="s">
        <v>8</v>
      </c>
      <c r="CC37" s="739" t="s">
        <v>8</v>
      </c>
      <c r="CD37" s="706" t="s">
        <v>8</v>
      </c>
      <c r="CE37" s="370" t="str">
        <f t="shared" si="8"/>
        <v>×</v>
      </c>
      <c r="CF37" s="360" t="s">
        <v>8</v>
      </c>
      <c r="CG37" s="377" t="str">
        <f t="shared" si="9"/>
        <v>×</v>
      </c>
      <c r="CH37" s="155"/>
      <c r="CI37" s="2"/>
      <c r="CJ37" s="2"/>
      <c r="CK37" s="2"/>
      <c r="CL37" s="2"/>
      <c r="CM37" s="323"/>
      <c r="CN37" s="2"/>
      <c r="CO37" s="2"/>
      <c r="CP37" s="2"/>
      <c r="CQ37" s="271" t="s">
        <v>8</v>
      </c>
      <c r="CR37" s="31" t="s">
        <v>8</v>
      </c>
      <c r="CS37" s="31" t="s">
        <v>8</v>
      </c>
      <c r="CT37" s="247" t="s">
        <v>8</v>
      </c>
      <c r="CU37" s="40" t="s">
        <v>8</v>
      </c>
      <c r="CV37" s="31" t="s">
        <v>8</v>
      </c>
      <c r="CW37" s="41" t="s">
        <v>8</v>
      </c>
      <c r="CX37" s="247" t="s">
        <v>8</v>
      </c>
    </row>
    <row r="38" spans="1:102" ht="14.25" thickBot="1">
      <c r="A38" s="1077"/>
      <c r="B38" s="1090"/>
      <c r="C38" s="1071"/>
      <c r="D38" s="1071"/>
      <c r="E38" s="92" t="s">
        <v>9</v>
      </c>
      <c r="F38" s="72" t="s">
        <v>8</v>
      </c>
      <c r="G38" s="71" t="s">
        <v>8</v>
      </c>
      <c r="H38" s="71" t="s">
        <v>8</v>
      </c>
      <c r="I38" s="1022" t="s">
        <v>8</v>
      </c>
      <c r="J38" s="740" t="s">
        <v>8</v>
      </c>
      <c r="K38" s="740" t="s">
        <v>8</v>
      </c>
      <c r="L38" s="366" t="s">
        <v>8</v>
      </c>
      <c r="M38" s="366" t="s">
        <v>8</v>
      </c>
      <c r="N38" s="366" t="s">
        <v>8</v>
      </c>
      <c r="O38" s="366" t="s">
        <v>8</v>
      </c>
      <c r="P38" s="366" t="s">
        <v>8</v>
      </c>
      <c r="Q38" s="740" t="s">
        <v>8</v>
      </c>
      <c r="R38" s="740" t="s">
        <v>8</v>
      </c>
      <c r="S38" s="947" t="s">
        <v>8</v>
      </c>
      <c r="T38" s="947" t="s">
        <v>8</v>
      </c>
      <c r="U38" s="947" t="s">
        <v>8</v>
      </c>
      <c r="V38" s="947" t="s">
        <v>8</v>
      </c>
      <c r="W38" s="72" t="s">
        <v>8</v>
      </c>
      <c r="X38" s="71" t="s">
        <v>8</v>
      </c>
      <c r="Y38" s="71" t="s">
        <v>8</v>
      </c>
      <c r="Z38" s="955" t="s">
        <v>8</v>
      </c>
      <c r="AA38" s="955" t="s">
        <v>8</v>
      </c>
      <c r="AB38" s="955" t="s">
        <v>8</v>
      </c>
      <c r="AC38" s="72" t="s">
        <v>8</v>
      </c>
      <c r="AD38" s="71" t="s">
        <v>8</v>
      </c>
      <c r="AE38" s="71" t="s">
        <v>8</v>
      </c>
      <c r="AF38" s="71" t="s">
        <v>8</v>
      </c>
      <c r="AG38" s="71" t="s">
        <v>8</v>
      </c>
      <c r="AH38" s="71" t="s">
        <v>8</v>
      </c>
      <c r="AI38" s="71" t="s">
        <v>8</v>
      </c>
      <c r="AJ38" s="71" t="s">
        <v>8</v>
      </c>
      <c r="AK38" s="71" t="s">
        <v>8</v>
      </c>
      <c r="AL38" s="71" t="s">
        <v>8</v>
      </c>
      <c r="AM38" s="955" t="s">
        <v>8</v>
      </c>
      <c r="AN38" s="955" t="s">
        <v>8</v>
      </c>
      <c r="AO38" s="955" t="s">
        <v>8</v>
      </c>
      <c r="AP38" s="71" t="str">
        <f t="shared" si="1"/>
        <v>×</v>
      </c>
      <c r="AQ38" s="71" t="str">
        <f t="shared" si="2"/>
        <v>×</v>
      </c>
      <c r="AR38" s="71" t="s">
        <v>8</v>
      </c>
      <c r="AS38" s="71" t="s">
        <v>8</v>
      </c>
      <c r="AT38" s="71" t="s">
        <v>8</v>
      </c>
      <c r="AU38" s="71" t="s">
        <v>8</v>
      </c>
      <c r="AV38" s="915" t="s">
        <v>8</v>
      </c>
      <c r="AW38" s="740" t="s">
        <v>8</v>
      </c>
      <c r="AX38" s="740" t="s">
        <v>8</v>
      </c>
      <c r="AY38" s="740" t="s">
        <v>8</v>
      </c>
      <c r="AZ38" s="740" t="s">
        <v>8</v>
      </c>
      <c r="BA38" s="740" t="s">
        <v>8</v>
      </c>
      <c r="BB38" s="740" t="s">
        <v>8</v>
      </c>
      <c r="BC38" s="740" t="s">
        <v>8</v>
      </c>
      <c r="BD38" s="915" t="s">
        <v>8</v>
      </c>
      <c r="BE38" s="740" t="s">
        <v>8</v>
      </c>
      <c r="BF38" s="740" t="str">
        <f t="shared" si="10"/>
        <v>×</v>
      </c>
      <c r="BG38" s="740" t="s">
        <v>8</v>
      </c>
      <c r="BH38" s="915" t="s">
        <v>8</v>
      </c>
      <c r="BI38" s="915" t="s">
        <v>8</v>
      </c>
      <c r="BJ38" s="740" t="s">
        <v>8</v>
      </c>
      <c r="BK38" s="740" t="s">
        <v>8</v>
      </c>
      <c r="BL38" s="740" t="s">
        <v>8</v>
      </c>
      <c r="BM38" s="740" t="s">
        <v>8</v>
      </c>
      <c r="BN38" s="740"/>
      <c r="BO38" s="740" t="s">
        <v>8</v>
      </c>
      <c r="BP38" s="740" t="str">
        <f t="shared" si="7"/>
        <v>×</v>
      </c>
      <c r="BQ38" s="915" t="s">
        <v>8</v>
      </c>
      <c r="BR38" s="915" t="s">
        <v>8</v>
      </c>
      <c r="BS38" s="915" t="s">
        <v>8</v>
      </c>
      <c r="BT38" s="915" t="s">
        <v>8</v>
      </c>
      <c r="BU38" s="740" t="s">
        <v>8</v>
      </c>
      <c r="BV38" s="740" t="s">
        <v>8</v>
      </c>
      <c r="BW38" s="740" t="s">
        <v>8</v>
      </c>
      <c r="BX38" s="740" t="s">
        <v>8</v>
      </c>
      <c r="BY38" s="740" t="s">
        <v>8</v>
      </c>
      <c r="BZ38" s="740" t="s">
        <v>8</v>
      </c>
      <c r="CA38" s="740" t="s">
        <v>8</v>
      </c>
      <c r="CB38" s="740" t="s">
        <v>8</v>
      </c>
      <c r="CC38" s="739" t="s">
        <v>8</v>
      </c>
      <c r="CD38" s="740" t="s">
        <v>8</v>
      </c>
      <c r="CE38" s="371" t="str">
        <f t="shared" si="8"/>
        <v>×</v>
      </c>
      <c r="CF38" s="366" t="s">
        <v>8</v>
      </c>
      <c r="CG38" s="374" t="str">
        <f t="shared" si="9"/>
        <v>×</v>
      </c>
      <c r="CH38" s="106"/>
      <c r="CI38" s="521"/>
      <c r="CJ38" s="521"/>
      <c r="CK38" s="521"/>
      <c r="CL38" s="521"/>
      <c r="CM38" s="528"/>
      <c r="CN38" s="521"/>
      <c r="CO38" s="521"/>
      <c r="CP38" s="521"/>
      <c r="CQ38" s="273" t="s">
        <v>8</v>
      </c>
      <c r="CR38" s="71" t="s">
        <v>8</v>
      </c>
      <c r="CS38" s="71" t="s">
        <v>8</v>
      </c>
      <c r="CT38" s="250" t="s">
        <v>8</v>
      </c>
      <c r="CU38" s="72" t="s">
        <v>8</v>
      </c>
      <c r="CV38" s="71" t="s">
        <v>8</v>
      </c>
      <c r="CW38" s="288" t="s">
        <v>8</v>
      </c>
      <c r="CX38" s="250" t="s">
        <v>8</v>
      </c>
    </row>
    <row r="39" spans="1:102">
      <c r="A39" s="1075" t="s">
        <v>234</v>
      </c>
      <c r="B39" s="90" t="s">
        <v>131</v>
      </c>
      <c r="C39" s="19">
        <v>310</v>
      </c>
      <c r="D39" s="19">
        <v>432</v>
      </c>
      <c r="E39" s="83" t="s">
        <v>7</v>
      </c>
      <c r="F39" s="69" t="s">
        <v>8</v>
      </c>
      <c r="G39" s="56" t="s">
        <v>8</v>
      </c>
      <c r="H39" s="56" t="s">
        <v>8</v>
      </c>
      <c r="I39" s="1023" t="s">
        <v>8</v>
      </c>
      <c r="J39" s="739" t="s">
        <v>8</v>
      </c>
      <c r="K39" s="739" t="s">
        <v>8</v>
      </c>
      <c r="L39" s="365" t="s">
        <v>8</v>
      </c>
      <c r="M39" s="365" t="s">
        <v>8</v>
      </c>
      <c r="N39" s="365" t="s">
        <v>8</v>
      </c>
      <c r="O39" s="365" t="s">
        <v>8</v>
      </c>
      <c r="P39" s="365" t="s">
        <v>8</v>
      </c>
      <c r="Q39" s="739" t="s">
        <v>8</v>
      </c>
      <c r="R39" s="739" t="s">
        <v>8</v>
      </c>
      <c r="S39" s="709" t="s">
        <v>8</v>
      </c>
      <c r="T39" s="709" t="s">
        <v>8</v>
      </c>
      <c r="U39" s="709" t="s">
        <v>8</v>
      </c>
      <c r="V39" s="709" t="s">
        <v>8</v>
      </c>
      <c r="W39" s="69" t="s">
        <v>8</v>
      </c>
      <c r="X39" s="56" t="s">
        <v>8</v>
      </c>
      <c r="Y39" s="56" t="s">
        <v>8</v>
      </c>
      <c r="Z39" s="951" t="s">
        <v>8</v>
      </c>
      <c r="AA39" s="710" t="s">
        <v>8</v>
      </c>
      <c r="AB39" s="710" t="s">
        <v>8</v>
      </c>
      <c r="AC39" s="69" t="s">
        <v>8</v>
      </c>
      <c r="AD39" s="56" t="s">
        <v>8</v>
      </c>
      <c r="AE39" s="56" t="s">
        <v>8</v>
      </c>
      <c r="AF39" s="56" t="s">
        <v>8</v>
      </c>
      <c r="AG39" s="56" t="s">
        <v>8</v>
      </c>
      <c r="AH39" s="56" t="s">
        <v>8</v>
      </c>
      <c r="AI39" s="56" t="s">
        <v>8</v>
      </c>
      <c r="AJ39" s="56" t="s">
        <v>8</v>
      </c>
      <c r="AK39" s="56" t="s">
        <v>8</v>
      </c>
      <c r="AL39" s="56" t="s">
        <v>8</v>
      </c>
      <c r="AM39" s="710" t="s">
        <v>8</v>
      </c>
      <c r="AN39" s="710" t="s">
        <v>8</v>
      </c>
      <c r="AO39" s="710" t="s">
        <v>8</v>
      </c>
      <c r="AP39" s="56" t="str">
        <f t="shared" si="1"/>
        <v>×</v>
      </c>
      <c r="AQ39" s="56" t="str">
        <f t="shared" si="2"/>
        <v>×</v>
      </c>
      <c r="AR39" s="56" t="s">
        <v>8</v>
      </c>
      <c r="AS39" s="56" t="s">
        <v>8</v>
      </c>
      <c r="AT39" s="56" t="s">
        <v>8</v>
      </c>
      <c r="AU39" s="56" t="s">
        <v>8</v>
      </c>
      <c r="AV39" s="739" t="s">
        <v>8</v>
      </c>
      <c r="AW39" s="739" t="s">
        <v>8</v>
      </c>
      <c r="AX39" s="739" t="s">
        <v>8</v>
      </c>
      <c r="AY39" s="739" t="s">
        <v>8</v>
      </c>
      <c r="AZ39" s="739" t="s">
        <v>8</v>
      </c>
      <c r="BA39" s="739" t="s">
        <v>8</v>
      </c>
      <c r="BB39" s="739" t="s">
        <v>8</v>
      </c>
      <c r="BC39" s="739" t="s">
        <v>8</v>
      </c>
      <c r="BD39" s="739" t="s">
        <v>8</v>
      </c>
      <c r="BE39" s="739" t="s">
        <v>8</v>
      </c>
      <c r="BF39" s="739" t="str">
        <f t="shared" si="10"/>
        <v>×</v>
      </c>
      <c r="BG39" s="739" t="s">
        <v>8</v>
      </c>
      <c r="BH39" s="739" t="s">
        <v>8</v>
      </c>
      <c r="BI39" s="739" t="s">
        <v>8</v>
      </c>
      <c r="BJ39" s="739" t="s">
        <v>8</v>
      </c>
      <c r="BK39" s="739" t="s">
        <v>8</v>
      </c>
      <c r="BL39" s="739" t="s">
        <v>8</v>
      </c>
      <c r="BM39" s="739" t="s">
        <v>8</v>
      </c>
      <c r="BN39" s="739"/>
      <c r="BO39" s="739" t="s">
        <v>8</v>
      </c>
      <c r="BP39" s="739" t="str">
        <f t="shared" si="7"/>
        <v>×</v>
      </c>
      <c r="BQ39" s="739" t="s">
        <v>8</v>
      </c>
      <c r="BR39" s="739" t="s">
        <v>8</v>
      </c>
      <c r="BS39" s="739" t="s">
        <v>8</v>
      </c>
      <c r="BT39" s="739" t="s">
        <v>8</v>
      </c>
      <c r="BU39" s="739" t="s">
        <v>8</v>
      </c>
      <c r="BV39" s="739" t="s">
        <v>8</v>
      </c>
      <c r="BW39" s="739" t="s">
        <v>8</v>
      </c>
      <c r="BX39" s="739" t="s">
        <v>8</v>
      </c>
      <c r="BY39" s="739" t="s">
        <v>8</v>
      </c>
      <c r="BZ39" s="739" t="s">
        <v>8</v>
      </c>
      <c r="CA39" s="739" t="s">
        <v>8</v>
      </c>
      <c r="CB39" s="739" t="s">
        <v>8</v>
      </c>
      <c r="CC39" s="739" t="s">
        <v>8</v>
      </c>
      <c r="CD39" s="739" t="s">
        <v>8</v>
      </c>
      <c r="CE39" s="369" t="str">
        <f t="shared" si="8"/>
        <v>×</v>
      </c>
      <c r="CF39" s="365" t="s">
        <v>8</v>
      </c>
      <c r="CG39" s="378" t="str">
        <f t="shared" si="9"/>
        <v>×</v>
      </c>
      <c r="CH39" s="1042" t="s">
        <v>305</v>
      </c>
      <c r="CI39" s="2"/>
      <c r="CJ39" s="2"/>
      <c r="CK39" s="2"/>
      <c r="CL39" s="2"/>
      <c r="CM39" s="323"/>
      <c r="CN39" s="2"/>
      <c r="CO39" s="2"/>
      <c r="CP39" s="2"/>
      <c r="CQ39" s="266" t="s">
        <v>8</v>
      </c>
      <c r="CR39" s="56" t="s">
        <v>8</v>
      </c>
      <c r="CS39" s="56" t="s">
        <v>8</v>
      </c>
      <c r="CT39" s="242" t="s">
        <v>8</v>
      </c>
      <c r="CU39" s="69" t="s">
        <v>8</v>
      </c>
      <c r="CV39" s="56" t="s">
        <v>8</v>
      </c>
      <c r="CW39" s="283" t="s">
        <v>8</v>
      </c>
      <c r="CX39" s="242" t="s">
        <v>8</v>
      </c>
    </row>
    <row r="40" spans="1:102" ht="13.5" customHeight="1">
      <c r="A40" s="1076"/>
      <c r="B40" s="91" t="s">
        <v>656</v>
      </c>
      <c r="C40" s="20">
        <v>328</v>
      </c>
      <c r="D40" s="20">
        <v>453</v>
      </c>
      <c r="E40" s="88" t="s">
        <v>7</v>
      </c>
      <c r="F40" s="40" t="s">
        <v>8</v>
      </c>
      <c r="G40" s="31" t="s">
        <v>8</v>
      </c>
      <c r="H40" s="31" t="s">
        <v>8</v>
      </c>
      <c r="I40" s="708" t="s">
        <v>8</v>
      </c>
      <c r="J40" s="706" t="s">
        <v>8</v>
      </c>
      <c r="K40" s="706" t="s">
        <v>8</v>
      </c>
      <c r="L40" s="360" t="s">
        <v>8</v>
      </c>
      <c r="M40" s="360" t="s">
        <v>8</v>
      </c>
      <c r="N40" s="360" t="s">
        <v>8</v>
      </c>
      <c r="O40" s="360" t="s">
        <v>8</v>
      </c>
      <c r="P40" s="360" t="s">
        <v>8</v>
      </c>
      <c r="Q40" s="706" t="s">
        <v>8</v>
      </c>
      <c r="R40" s="706" t="s">
        <v>8</v>
      </c>
      <c r="S40" s="709" t="s">
        <v>8</v>
      </c>
      <c r="T40" s="709" t="s">
        <v>8</v>
      </c>
      <c r="U40" s="709" t="s">
        <v>8</v>
      </c>
      <c r="V40" s="709" t="s">
        <v>8</v>
      </c>
      <c r="W40" s="40" t="s">
        <v>8</v>
      </c>
      <c r="X40" s="31" t="s">
        <v>8</v>
      </c>
      <c r="Y40" s="31" t="s">
        <v>8</v>
      </c>
      <c r="Z40" s="951" t="s">
        <v>8</v>
      </c>
      <c r="AA40" s="710" t="s">
        <v>8</v>
      </c>
      <c r="AB40" s="710" t="s">
        <v>8</v>
      </c>
      <c r="AC40" s="40" t="s">
        <v>8</v>
      </c>
      <c r="AD40" s="31" t="s">
        <v>8</v>
      </c>
      <c r="AE40" s="31" t="s">
        <v>8</v>
      </c>
      <c r="AF40" s="31" t="s">
        <v>8</v>
      </c>
      <c r="AG40" s="31" t="s">
        <v>8</v>
      </c>
      <c r="AH40" s="31" t="s">
        <v>8</v>
      </c>
      <c r="AI40" s="31" t="s">
        <v>8</v>
      </c>
      <c r="AJ40" s="31" t="s">
        <v>8</v>
      </c>
      <c r="AK40" s="31" t="s">
        <v>8</v>
      </c>
      <c r="AL40" s="31" t="s">
        <v>8</v>
      </c>
      <c r="AM40" s="710" t="s">
        <v>8</v>
      </c>
      <c r="AN40" s="710" t="s">
        <v>8</v>
      </c>
      <c r="AO40" s="710" t="s">
        <v>8</v>
      </c>
      <c r="AP40" s="31" t="str">
        <f t="shared" si="1"/>
        <v>×</v>
      </c>
      <c r="AQ40" s="31" t="str">
        <f t="shared" si="2"/>
        <v>×</v>
      </c>
      <c r="AR40" s="31" t="s">
        <v>8</v>
      </c>
      <c r="AS40" s="31" t="s">
        <v>8</v>
      </c>
      <c r="AT40" s="31" t="s">
        <v>8</v>
      </c>
      <c r="AU40" s="31" t="s">
        <v>8</v>
      </c>
      <c r="AV40" s="739" t="s">
        <v>8</v>
      </c>
      <c r="AW40" s="706" t="s">
        <v>8</v>
      </c>
      <c r="AX40" s="706" t="s">
        <v>8</v>
      </c>
      <c r="AY40" s="706" t="s">
        <v>8</v>
      </c>
      <c r="AZ40" s="706" t="s">
        <v>8</v>
      </c>
      <c r="BA40" s="706" t="s">
        <v>8</v>
      </c>
      <c r="BB40" s="706" t="s">
        <v>161</v>
      </c>
      <c r="BC40" s="706" t="s">
        <v>8</v>
      </c>
      <c r="BD40" s="739" t="s">
        <v>8</v>
      </c>
      <c r="BE40" s="706" t="s">
        <v>8</v>
      </c>
      <c r="BF40" s="706" t="str">
        <f t="shared" si="10"/>
        <v>×</v>
      </c>
      <c r="BG40" s="706" t="s">
        <v>8</v>
      </c>
      <c r="BH40" s="739" t="s">
        <v>8</v>
      </c>
      <c r="BI40" s="739" t="s">
        <v>8</v>
      </c>
      <c r="BJ40" s="706" t="s">
        <v>8</v>
      </c>
      <c r="BK40" s="706" t="s">
        <v>8</v>
      </c>
      <c r="BL40" s="706" t="s">
        <v>8</v>
      </c>
      <c r="BM40" s="706" t="s">
        <v>8</v>
      </c>
      <c r="BN40" s="706"/>
      <c r="BO40" s="706" t="s">
        <v>8</v>
      </c>
      <c r="BP40" s="706" t="str">
        <f t="shared" si="7"/>
        <v>×</v>
      </c>
      <c r="BQ40" s="739" t="s">
        <v>8</v>
      </c>
      <c r="BR40" s="739" t="s">
        <v>8</v>
      </c>
      <c r="BS40" s="739" t="s">
        <v>8</v>
      </c>
      <c r="BT40" s="739" t="s">
        <v>8</v>
      </c>
      <c r="BU40" s="706" t="s">
        <v>8</v>
      </c>
      <c r="BV40" s="706" t="s">
        <v>8</v>
      </c>
      <c r="BW40" s="706" t="s">
        <v>8</v>
      </c>
      <c r="BX40" s="706" t="s">
        <v>8</v>
      </c>
      <c r="BY40" s="706" t="s">
        <v>8</v>
      </c>
      <c r="BZ40" s="706" t="s">
        <v>8</v>
      </c>
      <c r="CA40" s="706" t="s">
        <v>8</v>
      </c>
      <c r="CB40" s="706" t="s">
        <v>8</v>
      </c>
      <c r="CC40" s="739" t="s">
        <v>8</v>
      </c>
      <c r="CD40" s="706" t="s">
        <v>8</v>
      </c>
      <c r="CE40" s="370" t="str">
        <f t="shared" si="8"/>
        <v>×</v>
      </c>
      <c r="CF40" s="360" t="s">
        <v>8</v>
      </c>
      <c r="CG40" s="373" t="str">
        <f t="shared" si="9"/>
        <v>×</v>
      </c>
      <c r="CH40" s="1043"/>
      <c r="CI40" s="2"/>
      <c r="CJ40" s="2"/>
      <c r="CK40" s="2"/>
      <c r="CL40" s="2"/>
      <c r="CM40" s="323"/>
      <c r="CN40" s="2"/>
      <c r="CO40" s="2"/>
      <c r="CP40" s="2"/>
      <c r="CQ40" s="271" t="s">
        <v>8</v>
      </c>
      <c r="CR40" s="31" t="s">
        <v>8</v>
      </c>
      <c r="CS40" s="31" t="s">
        <v>8</v>
      </c>
      <c r="CT40" s="247" t="s">
        <v>8</v>
      </c>
      <c r="CU40" s="40" t="s">
        <v>8</v>
      </c>
      <c r="CV40" s="31" t="s">
        <v>8</v>
      </c>
      <c r="CW40" s="41" t="s">
        <v>8</v>
      </c>
      <c r="CX40" s="247" t="s">
        <v>8</v>
      </c>
    </row>
    <row r="41" spans="1:102">
      <c r="A41" s="1076"/>
      <c r="B41" s="89" t="s">
        <v>119</v>
      </c>
      <c r="C41" s="18">
        <v>304.8</v>
      </c>
      <c r="D41" s="18">
        <v>457.2</v>
      </c>
      <c r="E41" s="84" t="s">
        <v>7</v>
      </c>
      <c r="F41" s="51" t="s">
        <v>8</v>
      </c>
      <c r="G41" s="51" t="s">
        <v>8</v>
      </c>
      <c r="H41" s="34" t="s">
        <v>8</v>
      </c>
      <c r="I41" s="1003" t="s">
        <v>8</v>
      </c>
      <c r="J41" s="1003" t="s">
        <v>8</v>
      </c>
      <c r="K41" s="997" t="s">
        <v>8</v>
      </c>
      <c r="L41" s="34" t="s">
        <v>8</v>
      </c>
      <c r="M41" s="34" t="s">
        <v>8</v>
      </c>
      <c r="N41" s="34" t="s">
        <v>8</v>
      </c>
      <c r="O41" s="34" t="s">
        <v>8</v>
      </c>
      <c r="P41" s="34" t="s">
        <v>8</v>
      </c>
      <c r="Q41" s="34" t="s">
        <v>8</v>
      </c>
      <c r="R41" s="34" t="s">
        <v>8</v>
      </c>
      <c r="S41" s="709" t="s">
        <v>8</v>
      </c>
      <c r="T41" s="709" t="s">
        <v>8</v>
      </c>
      <c r="U41" s="709" t="s">
        <v>8</v>
      </c>
      <c r="V41" s="709" t="s">
        <v>8</v>
      </c>
      <c r="W41" s="47" t="s">
        <v>308</v>
      </c>
      <c r="X41" s="47" t="s">
        <v>308</v>
      </c>
      <c r="Y41" s="33" t="s">
        <v>307</v>
      </c>
      <c r="Z41" s="951" t="s">
        <v>8</v>
      </c>
      <c r="AA41" s="710" t="s">
        <v>8</v>
      </c>
      <c r="AB41" s="710" t="s">
        <v>8</v>
      </c>
      <c r="AC41" s="47" t="s">
        <v>308</v>
      </c>
      <c r="AD41" s="47" t="s">
        <v>308</v>
      </c>
      <c r="AE41" s="33" t="s">
        <v>307</v>
      </c>
      <c r="AF41" s="34" t="s">
        <v>8</v>
      </c>
      <c r="AG41" s="34" t="s">
        <v>8</v>
      </c>
      <c r="AH41" s="33" t="s">
        <v>10</v>
      </c>
      <c r="AI41" s="33" t="s">
        <v>10</v>
      </c>
      <c r="AJ41" s="34" t="s">
        <v>8</v>
      </c>
      <c r="AK41" s="34" t="s">
        <v>8</v>
      </c>
      <c r="AL41" s="34" t="s">
        <v>8</v>
      </c>
      <c r="AM41" s="710" t="s">
        <v>8</v>
      </c>
      <c r="AN41" s="710" t="s">
        <v>8</v>
      </c>
      <c r="AO41" s="710" t="s">
        <v>8</v>
      </c>
      <c r="AP41" s="34" t="str">
        <f t="shared" si="1"/>
        <v>×</v>
      </c>
      <c r="AQ41" s="34" t="str">
        <f t="shared" si="2"/>
        <v>×</v>
      </c>
      <c r="AR41" s="190" t="s">
        <v>1</v>
      </c>
      <c r="AS41" s="33" t="s">
        <v>10</v>
      </c>
      <c r="AT41" s="33" t="s">
        <v>10</v>
      </c>
      <c r="AU41" s="34" t="s">
        <v>8</v>
      </c>
      <c r="AV41" s="739" t="s">
        <v>8</v>
      </c>
      <c r="AW41" s="34" t="s">
        <v>8</v>
      </c>
      <c r="AX41" s="398" t="s">
        <v>10</v>
      </c>
      <c r="AY41" s="398" t="s">
        <v>10</v>
      </c>
      <c r="AZ41" s="398" t="s">
        <v>10</v>
      </c>
      <c r="BA41" s="395" t="s">
        <v>8</v>
      </c>
      <c r="BB41" s="34" t="s">
        <v>8</v>
      </c>
      <c r="BC41" s="34" t="s">
        <v>8</v>
      </c>
      <c r="BD41" s="739" t="s">
        <v>8</v>
      </c>
      <c r="BE41" s="34" t="s">
        <v>8</v>
      </c>
      <c r="BF41" s="34" t="s">
        <v>8</v>
      </c>
      <c r="BG41" s="34" t="s">
        <v>8</v>
      </c>
      <c r="BH41" s="739" t="s">
        <v>8</v>
      </c>
      <c r="BI41" s="739" t="s">
        <v>8</v>
      </c>
      <c r="BJ41" s="34" t="s">
        <v>8</v>
      </c>
      <c r="BK41" s="34" t="s">
        <v>8</v>
      </c>
      <c r="BL41" s="34" t="s">
        <v>8</v>
      </c>
      <c r="BM41" s="395" t="s">
        <v>8</v>
      </c>
      <c r="BN41" s="395"/>
      <c r="BO41" s="360" t="s">
        <v>8</v>
      </c>
      <c r="BP41" s="395" t="str">
        <f t="shared" si="7"/>
        <v>○</v>
      </c>
      <c r="BQ41" s="739" t="s">
        <v>8</v>
      </c>
      <c r="BR41" s="739" t="s">
        <v>8</v>
      </c>
      <c r="BS41" s="739" t="s">
        <v>8</v>
      </c>
      <c r="BT41" s="739" t="s">
        <v>8</v>
      </c>
      <c r="BU41" s="34" t="s">
        <v>8</v>
      </c>
      <c r="BV41" s="34" t="s">
        <v>8</v>
      </c>
      <c r="BW41" s="34" t="s">
        <v>8</v>
      </c>
      <c r="BX41" s="360" t="s">
        <v>8</v>
      </c>
      <c r="BY41" s="395" t="s">
        <v>8</v>
      </c>
      <c r="BZ41" s="395" t="s">
        <v>8</v>
      </c>
      <c r="CA41" s="395" t="s">
        <v>8</v>
      </c>
      <c r="CB41" s="395" t="s">
        <v>8</v>
      </c>
      <c r="CC41" s="739" t="s">
        <v>8</v>
      </c>
      <c r="CD41" s="34" t="s">
        <v>8</v>
      </c>
      <c r="CE41" s="396" t="str">
        <f t="shared" si="8"/>
        <v>○</v>
      </c>
      <c r="CF41" s="395" t="s">
        <v>8</v>
      </c>
      <c r="CG41" s="397" t="str">
        <f t="shared" si="9"/>
        <v>×</v>
      </c>
      <c r="CH41" s="1043"/>
      <c r="CI41" s="2"/>
      <c r="CJ41" s="2"/>
      <c r="CK41" s="2"/>
      <c r="CL41" s="2"/>
      <c r="CM41" s="323"/>
      <c r="CN41" s="2"/>
      <c r="CO41" s="2"/>
      <c r="CP41" s="2"/>
      <c r="CQ41" s="187" t="s">
        <v>8</v>
      </c>
      <c r="CR41" s="34" t="s">
        <v>8</v>
      </c>
      <c r="CS41" s="34" t="s">
        <v>8</v>
      </c>
      <c r="CT41" s="249" t="s">
        <v>8</v>
      </c>
      <c r="CU41" s="51" t="s">
        <v>8</v>
      </c>
      <c r="CV41" s="34" t="s">
        <v>8</v>
      </c>
      <c r="CW41" s="36" t="s">
        <v>8</v>
      </c>
      <c r="CX41" s="249" t="s">
        <v>8</v>
      </c>
    </row>
    <row r="42" spans="1:102">
      <c r="A42" s="1076"/>
      <c r="B42" s="470" t="s">
        <v>132</v>
      </c>
      <c r="C42" s="471">
        <v>304.8</v>
      </c>
      <c r="D42" s="471">
        <v>482.6</v>
      </c>
      <c r="E42" s="460" t="s">
        <v>7</v>
      </c>
      <c r="F42" s="362" t="s">
        <v>8</v>
      </c>
      <c r="G42" s="360" t="s">
        <v>8</v>
      </c>
      <c r="H42" s="360" t="s">
        <v>8</v>
      </c>
      <c r="I42" s="708" t="s">
        <v>8</v>
      </c>
      <c r="J42" s="706" t="s">
        <v>8</v>
      </c>
      <c r="K42" s="706" t="s">
        <v>8</v>
      </c>
      <c r="L42" s="360" t="s">
        <v>8</v>
      </c>
      <c r="M42" s="360" t="s">
        <v>8</v>
      </c>
      <c r="N42" s="360" t="s">
        <v>8</v>
      </c>
      <c r="O42" s="360" t="s">
        <v>8</v>
      </c>
      <c r="P42" s="360" t="s">
        <v>8</v>
      </c>
      <c r="Q42" s="706" t="s">
        <v>8</v>
      </c>
      <c r="R42" s="706" t="s">
        <v>8</v>
      </c>
      <c r="S42" s="709" t="s">
        <v>8</v>
      </c>
      <c r="T42" s="709" t="s">
        <v>8</v>
      </c>
      <c r="U42" s="709" t="s">
        <v>8</v>
      </c>
      <c r="V42" s="709" t="s">
        <v>8</v>
      </c>
      <c r="W42" s="362" t="s">
        <v>8</v>
      </c>
      <c r="X42" s="360" t="s">
        <v>8</v>
      </c>
      <c r="Y42" s="360" t="s">
        <v>8</v>
      </c>
      <c r="Z42" s="951" t="s">
        <v>8</v>
      </c>
      <c r="AA42" s="710" t="s">
        <v>8</v>
      </c>
      <c r="AB42" s="710" t="s">
        <v>8</v>
      </c>
      <c r="AC42" s="362" t="s">
        <v>8</v>
      </c>
      <c r="AD42" s="360" t="s">
        <v>8</v>
      </c>
      <c r="AE42" s="360" t="s">
        <v>8</v>
      </c>
      <c r="AF42" s="360" t="s">
        <v>8</v>
      </c>
      <c r="AG42" s="360" t="s">
        <v>8</v>
      </c>
      <c r="AH42" s="360" t="s">
        <v>8</v>
      </c>
      <c r="AI42" s="360" t="s">
        <v>8</v>
      </c>
      <c r="AJ42" s="360" t="s">
        <v>8</v>
      </c>
      <c r="AK42" s="360" t="s">
        <v>8</v>
      </c>
      <c r="AL42" s="360" t="s">
        <v>8</v>
      </c>
      <c r="AM42" s="710" t="s">
        <v>8</v>
      </c>
      <c r="AN42" s="710" t="s">
        <v>8</v>
      </c>
      <c r="AO42" s="710" t="s">
        <v>8</v>
      </c>
      <c r="AP42" s="360" t="str">
        <f t="shared" si="1"/>
        <v>×</v>
      </c>
      <c r="AQ42" s="360" t="str">
        <f t="shared" si="2"/>
        <v>×</v>
      </c>
      <c r="AR42" s="360" t="s">
        <v>8</v>
      </c>
      <c r="AS42" s="360" t="s">
        <v>8</v>
      </c>
      <c r="AT42" s="360" t="s">
        <v>8</v>
      </c>
      <c r="AU42" s="360" t="s">
        <v>8</v>
      </c>
      <c r="AV42" s="739" t="s">
        <v>8</v>
      </c>
      <c r="AW42" s="706" t="s">
        <v>8</v>
      </c>
      <c r="AX42" s="706" t="s">
        <v>8</v>
      </c>
      <c r="AY42" s="706" t="s">
        <v>8</v>
      </c>
      <c r="AZ42" s="706" t="s">
        <v>8</v>
      </c>
      <c r="BA42" s="706" t="s">
        <v>8</v>
      </c>
      <c r="BB42" s="706" t="s">
        <v>8</v>
      </c>
      <c r="BC42" s="706" t="s">
        <v>8</v>
      </c>
      <c r="BD42" s="739" t="s">
        <v>8</v>
      </c>
      <c r="BE42" s="706" t="s">
        <v>8</v>
      </c>
      <c r="BF42" s="706" t="str">
        <f t="shared" si="10"/>
        <v>×</v>
      </c>
      <c r="BG42" s="706" t="s">
        <v>8</v>
      </c>
      <c r="BH42" s="739" t="s">
        <v>8</v>
      </c>
      <c r="BI42" s="739" t="s">
        <v>8</v>
      </c>
      <c r="BJ42" s="706" t="s">
        <v>8</v>
      </c>
      <c r="BK42" s="706" t="s">
        <v>8</v>
      </c>
      <c r="BL42" s="706" t="s">
        <v>8</v>
      </c>
      <c r="BM42" s="706" t="s">
        <v>8</v>
      </c>
      <c r="BN42" s="706"/>
      <c r="BO42" s="706" t="s">
        <v>8</v>
      </c>
      <c r="BP42" s="706" t="str">
        <f t="shared" si="7"/>
        <v>×</v>
      </c>
      <c r="BQ42" s="739" t="s">
        <v>8</v>
      </c>
      <c r="BR42" s="739" t="s">
        <v>8</v>
      </c>
      <c r="BS42" s="739" t="s">
        <v>8</v>
      </c>
      <c r="BT42" s="739" t="s">
        <v>8</v>
      </c>
      <c r="BU42" s="706" t="s">
        <v>8</v>
      </c>
      <c r="BV42" s="706" t="s">
        <v>8</v>
      </c>
      <c r="BW42" s="706" t="s">
        <v>8</v>
      </c>
      <c r="BX42" s="706" t="s">
        <v>8</v>
      </c>
      <c r="BY42" s="706" t="s">
        <v>8</v>
      </c>
      <c r="BZ42" s="706" t="s">
        <v>8</v>
      </c>
      <c r="CA42" s="706" t="s">
        <v>8</v>
      </c>
      <c r="CB42" s="706" t="s">
        <v>8</v>
      </c>
      <c r="CC42" s="739" t="s">
        <v>8</v>
      </c>
      <c r="CD42" s="706" t="s">
        <v>8</v>
      </c>
      <c r="CE42" s="370" t="str">
        <f t="shared" si="8"/>
        <v>×</v>
      </c>
      <c r="CF42" s="360" t="s">
        <v>8</v>
      </c>
      <c r="CG42" s="373" t="str">
        <f t="shared" si="9"/>
        <v>×</v>
      </c>
      <c r="CH42" s="1043"/>
      <c r="CI42" s="2"/>
      <c r="CJ42" s="2"/>
      <c r="CK42" s="2"/>
      <c r="CL42" s="2"/>
      <c r="CM42" s="323"/>
      <c r="CN42" s="2"/>
      <c r="CO42" s="2"/>
      <c r="CP42" s="2"/>
      <c r="CQ42" s="462" t="s">
        <v>8</v>
      </c>
      <c r="CR42" s="360" t="s">
        <v>8</v>
      </c>
      <c r="CS42" s="360" t="s">
        <v>8</v>
      </c>
      <c r="CT42" s="463" t="s">
        <v>8</v>
      </c>
      <c r="CU42" s="362" t="s">
        <v>8</v>
      </c>
      <c r="CV42" s="360" t="s">
        <v>8</v>
      </c>
      <c r="CW42" s="363" t="s">
        <v>8</v>
      </c>
      <c r="CX42" s="463" t="s">
        <v>8</v>
      </c>
    </row>
    <row r="43" spans="1:102">
      <c r="A43" s="1076"/>
      <c r="B43" s="89" t="s">
        <v>120</v>
      </c>
      <c r="C43" s="18">
        <v>320</v>
      </c>
      <c r="D43" s="459">
        <v>450</v>
      </c>
      <c r="E43" s="84" t="s">
        <v>7</v>
      </c>
      <c r="F43" s="51" t="s">
        <v>8</v>
      </c>
      <c r="G43" s="51" t="s">
        <v>8</v>
      </c>
      <c r="H43" s="34" t="s">
        <v>8</v>
      </c>
      <c r="I43" s="1003" t="s">
        <v>8</v>
      </c>
      <c r="J43" s="1003" t="s">
        <v>8</v>
      </c>
      <c r="K43" s="997" t="s">
        <v>8</v>
      </c>
      <c r="L43" s="34" t="s">
        <v>8</v>
      </c>
      <c r="M43" s="34" t="s">
        <v>8</v>
      </c>
      <c r="N43" s="34" t="s">
        <v>8</v>
      </c>
      <c r="O43" s="34" t="s">
        <v>8</v>
      </c>
      <c r="P43" s="34" t="s">
        <v>8</v>
      </c>
      <c r="Q43" s="34" t="s">
        <v>8</v>
      </c>
      <c r="R43" s="34" t="s">
        <v>8</v>
      </c>
      <c r="S43" s="709" t="s">
        <v>8</v>
      </c>
      <c r="T43" s="709" t="s">
        <v>8</v>
      </c>
      <c r="U43" s="709" t="s">
        <v>8</v>
      </c>
      <c r="V43" s="709" t="s">
        <v>8</v>
      </c>
      <c r="W43" s="47" t="s">
        <v>307</v>
      </c>
      <c r="X43" s="47" t="s">
        <v>307</v>
      </c>
      <c r="Y43" s="33" t="s">
        <v>308</v>
      </c>
      <c r="Z43" s="951" t="s">
        <v>8</v>
      </c>
      <c r="AA43" s="710" t="s">
        <v>8</v>
      </c>
      <c r="AB43" s="710" t="s">
        <v>8</v>
      </c>
      <c r="AC43" s="47" t="s">
        <v>307</v>
      </c>
      <c r="AD43" s="47" t="s">
        <v>307</v>
      </c>
      <c r="AE43" s="33" t="s">
        <v>308</v>
      </c>
      <c r="AF43" s="34" t="s">
        <v>8</v>
      </c>
      <c r="AG43" s="34" t="s">
        <v>8</v>
      </c>
      <c r="AH43" s="33" t="s">
        <v>10</v>
      </c>
      <c r="AI43" s="33" t="s">
        <v>10</v>
      </c>
      <c r="AJ43" s="34" t="s">
        <v>8</v>
      </c>
      <c r="AK43" s="34" t="s">
        <v>8</v>
      </c>
      <c r="AL43" s="34" t="s">
        <v>8</v>
      </c>
      <c r="AM43" s="710" t="s">
        <v>8</v>
      </c>
      <c r="AN43" s="710" t="s">
        <v>8</v>
      </c>
      <c r="AO43" s="710" t="s">
        <v>8</v>
      </c>
      <c r="AP43" s="34" t="str">
        <f t="shared" si="1"/>
        <v>×</v>
      </c>
      <c r="AQ43" s="34" t="str">
        <f t="shared" si="2"/>
        <v>×</v>
      </c>
      <c r="AR43" s="33" t="s">
        <v>10</v>
      </c>
      <c r="AS43" s="33" t="s">
        <v>10</v>
      </c>
      <c r="AT43" s="33" t="s">
        <v>10</v>
      </c>
      <c r="AU43" s="34" t="s">
        <v>8</v>
      </c>
      <c r="AV43" s="739" t="s">
        <v>8</v>
      </c>
      <c r="AW43" s="34" t="s">
        <v>8</v>
      </c>
      <c r="AX43" s="398" t="s">
        <v>57</v>
      </c>
      <c r="AY43" s="398" t="s">
        <v>57</v>
      </c>
      <c r="AZ43" s="398" t="s">
        <v>57</v>
      </c>
      <c r="BA43" s="395" t="s">
        <v>8</v>
      </c>
      <c r="BB43" s="34" t="s">
        <v>8</v>
      </c>
      <c r="BC43" s="34" t="s">
        <v>8</v>
      </c>
      <c r="BD43" s="739" t="s">
        <v>8</v>
      </c>
      <c r="BE43" s="34" t="s">
        <v>8</v>
      </c>
      <c r="BF43" s="34" t="s">
        <v>8</v>
      </c>
      <c r="BG43" s="34" t="s">
        <v>8</v>
      </c>
      <c r="BH43" s="739" t="s">
        <v>8</v>
      </c>
      <c r="BI43" s="739" t="s">
        <v>8</v>
      </c>
      <c r="BJ43" s="34" t="s">
        <v>8</v>
      </c>
      <c r="BK43" s="34" t="s">
        <v>8</v>
      </c>
      <c r="BL43" s="34" t="s">
        <v>8</v>
      </c>
      <c r="BM43" s="395" t="s">
        <v>8</v>
      </c>
      <c r="BN43" s="395"/>
      <c r="BO43" s="360" t="s">
        <v>8</v>
      </c>
      <c r="BP43" s="395" t="str">
        <f t="shared" si="7"/>
        <v>○</v>
      </c>
      <c r="BQ43" s="739" t="s">
        <v>8</v>
      </c>
      <c r="BR43" s="739" t="s">
        <v>8</v>
      </c>
      <c r="BS43" s="739" t="s">
        <v>8</v>
      </c>
      <c r="BT43" s="739" t="s">
        <v>8</v>
      </c>
      <c r="BU43" s="34" t="s">
        <v>8</v>
      </c>
      <c r="BV43" s="34" t="s">
        <v>8</v>
      </c>
      <c r="BW43" s="34" t="s">
        <v>8</v>
      </c>
      <c r="BX43" s="360" t="s">
        <v>8</v>
      </c>
      <c r="BY43" s="395" t="s">
        <v>8</v>
      </c>
      <c r="BZ43" s="395" t="s">
        <v>8</v>
      </c>
      <c r="CA43" s="395" t="s">
        <v>8</v>
      </c>
      <c r="CB43" s="395" t="s">
        <v>8</v>
      </c>
      <c r="CC43" s="739" t="s">
        <v>8</v>
      </c>
      <c r="CD43" s="34" t="s">
        <v>8</v>
      </c>
      <c r="CE43" s="396" t="str">
        <f t="shared" si="8"/>
        <v>○</v>
      </c>
      <c r="CF43" s="395" t="s">
        <v>8</v>
      </c>
      <c r="CG43" s="397" t="str">
        <f t="shared" si="9"/>
        <v>×</v>
      </c>
      <c r="CH43" s="1043"/>
      <c r="CI43" s="2"/>
      <c r="CJ43" s="2"/>
      <c r="CK43" s="2"/>
      <c r="CL43" s="2"/>
      <c r="CM43" s="323"/>
      <c r="CN43" s="2"/>
      <c r="CO43" s="2"/>
      <c r="CP43" s="2"/>
      <c r="CQ43" s="187" t="s">
        <v>8</v>
      </c>
      <c r="CR43" s="34" t="s">
        <v>8</v>
      </c>
      <c r="CS43" s="34" t="s">
        <v>8</v>
      </c>
      <c r="CT43" s="249" t="s">
        <v>8</v>
      </c>
      <c r="CU43" s="51" t="s">
        <v>8</v>
      </c>
      <c r="CV43" s="34" t="s">
        <v>8</v>
      </c>
      <c r="CW43" s="36" t="s">
        <v>8</v>
      </c>
      <c r="CX43" s="249" t="s">
        <v>8</v>
      </c>
    </row>
    <row r="44" spans="1:102">
      <c r="A44" s="1076"/>
      <c r="B44" s="91" t="s">
        <v>121</v>
      </c>
      <c r="C44" s="20">
        <v>320</v>
      </c>
      <c r="D44" s="20">
        <v>488</v>
      </c>
      <c r="E44" s="88" t="s">
        <v>7</v>
      </c>
      <c r="F44" s="40" t="s">
        <v>8</v>
      </c>
      <c r="G44" s="31" t="s">
        <v>8</v>
      </c>
      <c r="H44" s="31" t="s">
        <v>8</v>
      </c>
      <c r="I44" s="708" t="s">
        <v>8</v>
      </c>
      <c r="J44" s="706" t="s">
        <v>8</v>
      </c>
      <c r="K44" s="706" t="s">
        <v>8</v>
      </c>
      <c r="L44" s="360" t="s">
        <v>8</v>
      </c>
      <c r="M44" s="360" t="s">
        <v>8</v>
      </c>
      <c r="N44" s="360" t="s">
        <v>8</v>
      </c>
      <c r="O44" s="360" t="s">
        <v>8</v>
      </c>
      <c r="P44" s="360" t="s">
        <v>8</v>
      </c>
      <c r="Q44" s="706" t="s">
        <v>8</v>
      </c>
      <c r="R44" s="706" t="s">
        <v>8</v>
      </c>
      <c r="S44" s="709" t="s">
        <v>8</v>
      </c>
      <c r="T44" s="709" t="s">
        <v>8</v>
      </c>
      <c r="U44" s="709" t="s">
        <v>8</v>
      </c>
      <c r="V44" s="709" t="s">
        <v>8</v>
      </c>
      <c r="W44" s="40" t="s">
        <v>8</v>
      </c>
      <c r="X44" s="31" t="s">
        <v>8</v>
      </c>
      <c r="Y44" s="31" t="s">
        <v>8</v>
      </c>
      <c r="Z44" s="951" t="s">
        <v>8</v>
      </c>
      <c r="AA44" s="710" t="s">
        <v>8</v>
      </c>
      <c r="AB44" s="710" t="s">
        <v>8</v>
      </c>
      <c r="AC44" s="40" t="s">
        <v>8</v>
      </c>
      <c r="AD44" s="31" t="s">
        <v>8</v>
      </c>
      <c r="AE44" s="31" t="s">
        <v>8</v>
      </c>
      <c r="AF44" s="31" t="s">
        <v>8</v>
      </c>
      <c r="AG44" s="31" t="s">
        <v>8</v>
      </c>
      <c r="AH44" s="31" t="s">
        <v>8</v>
      </c>
      <c r="AI44" s="31" t="s">
        <v>8</v>
      </c>
      <c r="AJ44" s="31" t="s">
        <v>8</v>
      </c>
      <c r="AK44" s="31" t="s">
        <v>8</v>
      </c>
      <c r="AL44" s="31" t="s">
        <v>8</v>
      </c>
      <c r="AM44" s="710" t="s">
        <v>8</v>
      </c>
      <c r="AN44" s="710" t="s">
        <v>8</v>
      </c>
      <c r="AO44" s="710" t="s">
        <v>8</v>
      </c>
      <c r="AP44" s="31" t="str">
        <f t="shared" si="1"/>
        <v>×</v>
      </c>
      <c r="AQ44" s="31" t="str">
        <f t="shared" si="2"/>
        <v>×</v>
      </c>
      <c r="AR44" s="31" t="s">
        <v>8</v>
      </c>
      <c r="AS44" s="31" t="s">
        <v>8</v>
      </c>
      <c r="AT44" s="31" t="s">
        <v>8</v>
      </c>
      <c r="AU44" s="31" t="s">
        <v>8</v>
      </c>
      <c r="AV44" s="739" t="s">
        <v>8</v>
      </c>
      <c r="AW44" s="706" t="s">
        <v>8</v>
      </c>
      <c r="AX44" s="706" t="s">
        <v>8</v>
      </c>
      <c r="AY44" s="706" t="s">
        <v>8</v>
      </c>
      <c r="AZ44" s="706" t="s">
        <v>8</v>
      </c>
      <c r="BA44" s="706" t="s">
        <v>8</v>
      </c>
      <c r="BB44" s="706" t="s">
        <v>8</v>
      </c>
      <c r="BC44" s="706" t="s">
        <v>8</v>
      </c>
      <c r="BD44" s="739" t="s">
        <v>8</v>
      </c>
      <c r="BE44" s="706" t="s">
        <v>8</v>
      </c>
      <c r="BF44" s="706" t="str">
        <f t="shared" si="10"/>
        <v>×</v>
      </c>
      <c r="BG44" s="706" t="s">
        <v>8</v>
      </c>
      <c r="BH44" s="739" t="s">
        <v>8</v>
      </c>
      <c r="BI44" s="739" t="s">
        <v>8</v>
      </c>
      <c r="BJ44" s="706" t="s">
        <v>8</v>
      </c>
      <c r="BK44" s="706" t="s">
        <v>8</v>
      </c>
      <c r="BL44" s="706" t="s">
        <v>8</v>
      </c>
      <c r="BM44" s="706" t="s">
        <v>8</v>
      </c>
      <c r="BN44" s="706"/>
      <c r="BO44" s="706" t="s">
        <v>8</v>
      </c>
      <c r="BP44" s="706" t="str">
        <f t="shared" si="7"/>
        <v>×</v>
      </c>
      <c r="BQ44" s="739" t="s">
        <v>8</v>
      </c>
      <c r="BR44" s="739" t="s">
        <v>8</v>
      </c>
      <c r="BS44" s="739" t="s">
        <v>8</v>
      </c>
      <c r="BT44" s="739" t="s">
        <v>8</v>
      </c>
      <c r="BU44" s="706" t="s">
        <v>8</v>
      </c>
      <c r="BV44" s="706" t="s">
        <v>8</v>
      </c>
      <c r="BW44" s="706" t="s">
        <v>8</v>
      </c>
      <c r="BX44" s="706" t="s">
        <v>8</v>
      </c>
      <c r="BY44" s="706" t="s">
        <v>8</v>
      </c>
      <c r="BZ44" s="706" t="s">
        <v>8</v>
      </c>
      <c r="CA44" s="706" t="s">
        <v>8</v>
      </c>
      <c r="CB44" s="706" t="s">
        <v>8</v>
      </c>
      <c r="CC44" s="739" t="s">
        <v>8</v>
      </c>
      <c r="CD44" s="706" t="s">
        <v>8</v>
      </c>
      <c r="CE44" s="370" t="str">
        <f t="shared" si="8"/>
        <v>×</v>
      </c>
      <c r="CF44" s="360" t="s">
        <v>8</v>
      </c>
      <c r="CG44" s="373" t="str">
        <f t="shared" si="9"/>
        <v>×</v>
      </c>
      <c r="CH44" s="1043"/>
      <c r="CI44" s="2"/>
      <c r="CJ44" s="2"/>
      <c r="CK44" s="2"/>
      <c r="CL44" s="2"/>
      <c r="CM44" s="323"/>
      <c r="CN44" s="2"/>
      <c r="CO44" s="2"/>
      <c r="CP44" s="2"/>
      <c r="CQ44" s="271" t="s">
        <v>8</v>
      </c>
      <c r="CR44" s="31" t="s">
        <v>8</v>
      </c>
      <c r="CS44" s="31" t="s">
        <v>8</v>
      </c>
      <c r="CT44" s="247" t="s">
        <v>8</v>
      </c>
      <c r="CU44" s="40" t="s">
        <v>8</v>
      </c>
      <c r="CV44" s="31" t="s">
        <v>8</v>
      </c>
      <c r="CW44" s="41" t="s">
        <v>8</v>
      </c>
      <c r="CX44" s="247" t="s">
        <v>8</v>
      </c>
    </row>
    <row r="45" spans="1:102">
      <c r="A45" s="1076"/>
      <c r="B45" s="91" t="s">
        <v>122</v>
      </c>
      <c r="C45" s="20">
        <v>330.2</v>
      </c>
      <c r="D45" s="20">
        <v>457.2</v>
      </c>
      <c r="E45" s="88" t="s">
        <v>7</v>
      </c>
      <c r="F45" s="40" t="s">
        <v>8</v>
      </c>
      <c r="G45" s="31" t="s">
        <v>8</v>
      </c>
      <c r="H45" s="31" t="s">
        <v>8</v>
      </c>
      <c r="I45" s="708" t="s">
        <v>8</v>
      </c>
      <c r="J45" s="706" t="s">
        <v>8</v>
      </c>
      <c r="K45" s="706" t="s">
        <v>8</v>
      </c>
      <c r="L45" s="360" t="s">
        <v>8</v>
      </c>
      <c r="M45" s="360" t="s">
        <v>8</v>
      </c>
      <c r="N45" s="360" t="s">
        <v>8</v>
      </c>
      <c r="O45" s="360" t="s">
        <v>8</v>
      </c>
      <c r="P45" s="360" t="s">
        <v>8</v>
      </c>
      <c r="Q45" s="706" t="s">
        <v>8</v>
      </c>
      <c r="R45" s="706" t="s">
        <v>8</v>
      </c>
      <c r="S45" s="709" t="s">
        <v>8</v>
      </c>
      <c r="T45" s="709" t="s">
        <v>8</v>
      </c>
      <c r="U45" s="709" t="s">
        <v>8</v>
      </c>
      <c r="V45" s="709" t="s">
        <v>8</v>
      </c>
      <c r="W45" s="40" t="s">
        <v>8</v>
      </c>
      <c r="X45" s="31" t="s">
        <v>8</v>
      </c>
      <c r="Y45" s="31" t="s">
        <v>8</v>
      </c>
      <c r="Z45" s="951" t="s">
        <v>8</v>
      </c>
      <c r="AA45" s="710" t="s">
        <v>8</v>
      </c>
      <c r="AB45" s="710" t="s">
        <v>8</v>
      </c>
      <c r="AC45" s="40" t="s">
        <v>8</v>
      </c>
      <c r="AD45" s="31" t="s">
        <v>8</v>
      </c>
      <c r="AE45" s="31" t="s">
        <v>8</v>
      </c>
      <c r="AF45" s="31" t="s">
        <v>8</v>
      </c>
      <c r="AG45" s="31" t="s">
        <v>8</v>
      </c>
      <c r="AH45" s="31" t="s">
        <v>8</v>
      </c>
      <c r="AI45" s="31" t="s">
        <v>8</v>
      </c>
      <c r="AJ45" s="31" t="s">
        <v>8</v>
      </c>
      <c r="AK45" s="31" t="s">
        <v>8</v>
      </c>
      <c r="AL45" s="31" t="s">
        <v>8</v>
      </c>
      <c r="AM45" s="710" t="s">
        <v>8</v>
      </c>
      <c r="AN45" s="710" t="s">
        <v>8</v>
      </c>
      <c r="AO45" s="710" t="s">
        <v>8</v>
      </c>
      <c r="AP45" s="31" t="str">
        <f t="shared" si="1"/>
        <v>×</v>
      </c>
      <c r="AQ45" s="31" t="str">
        <f t="shared" si="2"/>
        <v>×</v>
      </c>
      <c r="AR45" s="31" t="s">
        <v>8</v>
      </c>
      <c r="AS45" s="31" t="s">
        <v>8</v>
      </c>
      <c r="AT45" s="31" t="s">
        <v>8</v>
      </c>
      <c r="AU45" s="31" t="s">
        <v>8</v>
      </c>
      <c r="AV45" s="739" t="s">
        <v>8</v>
      </c>
      <c r="AW45" s="706" t="s">
        <v>8</v>
      </c>
      <c r="AX45" s="706" t="s">
        <v>8</v>
      </c>
      <c r="AY45" s="706" t="s">
        <v>8</v>
      </c>
      <c r="AZ45" s="706" t="s">
        <v>8</v>
      </c>
      <c r="BA45" s="706" t="s">
        <v>8</v>
      </c>
      <c r="BB45" s="706" t="s">
        <v>8</v>
      </c>
      <c r="BC45" s="706" t="s">
        <v>8</v>
      </c>
      <c r="BD45" s="739" t="s">
        <v>8</v>
      </c>
      <c r="BE45" s="706" t="s">
        <v>8</v>
      </c>
      <c r="BF45" s="706" t="str">
        <f t="shared" si="10"/>
        <v>×</v>
      </c>
      <c r="BG45" s="706" t="s">
        <v>8</v>
      </c>
      <c r="BH45" s="739" t="s">
        <v>8</v>
      </c>
      <c r="BI45" s="739" t="s">
        <v>8</v>
      </c>
      <c r="BJ45" s="706" t="s">
        <v>8</v>
      </c>
      <c r="BK45" s="706" t="s">
        <v>8</v>
      </c>
      <c r="BL45" s="706" t="s">
        <v>8</v>
      </c>
      <c r="BM45" s="706" t="s">
        <v>8</v>
      </c>
      <c r="BN45" s="706"/>
      <c r="BO45" s="706" t="s">
        <v>8</v>
      </c>
      <c r="BP45" s="706" t="str">
        <f t="shared" si="7"/>
        <v>×</v>
      </c>
      <c r="BQ45" s="739" t="s">
        <v>8</v>
      </c>
      <c r="BR45" s="739" t="s">
        <v>8</v>
      </c>
      <c r="BS45" s="739" t="s">
        <v>8</v>
      </c>
      <c r="BT45" s="739" t="s">
        <v>8</v>
      </c>
      <c r="BU45" s="706" t="s">
        <v>8</v>
      </c>
      <c r="BV45" s="706" t="s">
        <v>8</v>
      </c>
      <c r="BW45" s="706" t="s">
        <v>8</v>
      </c>
      <c r="BX45" s="706" t="s">
        <v>8</v>
      </c>
      <c r="BY45" s="706" t="s">
        <v>8</v>
      </c>
      <c r="BZ45" s="706" t="s">
        <v>8</v>
      </c>
      <c r="CA45" s="706" t="s">
        <v>8</v>
      </c>
      <c r="CB45" s="706" t="s">
        <v>8</v>
      </c>
      <c r="CC45" s="739" t="s">
        <v>8</v>
      </c>
      <c r="CD45" s="706" t="s">
        <v>8</v>
      </c>
      <c r="CE45" s="370" t="str">
        <f t="shared" si="8"/>
        <v>×</v>
      </c>
      <c r="CF45" s="360" t="s">
        <v>8</v>
      </c>
      <c r="CG45" s="373" t="str">
        <f t="shared" si="9"/>
        <v>×</v>
      </c>
      <c r="CH45" s="1043"/>
      <c r="CI45" s="2"/>
      <c r="CJ45" s="2"/>
      <c r="CK45" s="2"/>
      <c r="CL45" s="2"/>
      <c r="CM45" s="323"/>
      <c r="CN45" s="2"/>
      <c r="CO45" s="2"/>
      <c r="CP45" s="2"/>
      <c r="CQ45" s="271" t="s">
        <v>8</v>
      </c>
      <c r="CR45" s="31" t="s">
        <v>8</v>
      </c>
      <c r="CS45" s="31" t="s">
        <v>8</v>
      </c>
      <c r="CT45" s="247" t="s">
        <v>8</v>
      </c>
      <c r="CU45" s="40" t="s">
        <v>8</v>
      </c>
      <c r="CV45" s="31" t="s">
        <v>8</v>
      </c>
      <c r="CW45" s="41" t="s">
        <v>8</v>
      </c>
      <c r="CX45" s="247" t="s">
        <v>8</v>
      </c>
    </row>
    <row r="46" spans="1:102" ht="14.25" thickBot="1">
      <c r="A46" s="1077"/>
      <c r="B46" s="93" t="s">
        <v>123</v>
      </c>
      <c r="C46" s="70">
        <v>330.2</v>
      </c>
      <c r="D46" s="70">
        <v>482.6</v>
      </c>
      <c r="E46" s="92" t="s">
        <v>7</v>
      </c>
      <c r="F46" s="72" t="s">
        <v>8</v>
      </c>
      <c r="G46" s="71" t="s">
        <v>8</v>
      </c>
      <c r="H46" s="71" t="s">
        <v>8</v>
      </c>
      <c r="I46" s="1022" t="s">
        <v>8</v>
      </c>
      <c r="J46" s="740" t="s">
        <v>8</v>
      </c>
      <c r="K46" s="740" t="s">
        <v>8</v>
      </c>
      <c r="L46" s="366" t="s">
        <v>8</v>
      </c>
      <c r="M46" s="366" t="s">
        <v>8</v>
      </c>
      <c r="N46" s="366" t="s">
        <v>8</v>
      </c>
      <c r="O46" s="366" t="s">
        <v>8</v>
      </c>
      <c r="P46" s="366" t="s">
        <v>8</v>
      </c>
      <c r="Q46" s="740" t="s">
        <v>8</v>
      </c>
      <c r="R46" s="740" t="s">
        <v>8</v>
      </c>
      <c r="S46" s="945" t="s">
        <v>8</v>
      </c>
      <c r="T46" s="945" t="s">
        <v>8</v>
      </c>
      <c r="U46" s="945" t="s">
        <v>8</v>
      </c>
      <c r="V46" s="945" t="s">
        <v>8</v>
      </c>
      <c r="W46" s="72" t="s">
        <v>8</v>
      </c>
      <c r="X46" s="71" t="s">
        <v>8</v>
      </c>
      <c r="Y46" s="71" t="s">
        <v>8</v>
      </c>
      <c r="Z46" s="952" t="s">
        <v>8</v>
      </c>
      <c r="AA46" s="953" t="s">
        <v>8</v>
      </c>
      <c r="AB46" s="953" t="s">
        <v>8</v>
      </c>
      <c r="AC46" s="72" t="s">
        <v>8</v>
      </c>
      <c r="AD46" s="71" t="s">
        <v>8</v>
      </c>
      <c r="AE46" s="71" t="s">
        <v>8</v>
      </c>
      <c r="AF46" s="71" t="s">
        <v>8</v>
      </c>
      <c r="AG46" s="71" t="s">
        <v>8</v>
      </c>
      <c r="AH46" s="71" t="s">
        <v>8</v>
      </c>
      <c r="AI46" s="71" t="s">
        <v>8</v>
      </c>
      <c r="AJ46" s="71" t="s">
        <v>8</v>
      </c>
      <c r="AK46" s="71" t="s">
        <v>8</v>
      </c>
      <c r="AL46" s="71" t="s">
        <v>8</v>
      </c>
      <c r="AM46" s="953" t="s">
        <v>8</v>
      </c>
      <c r="AN46" s="953" t="s">
        <v>8</v>
      </c>
      <c r="AO46" s="953" t="s">
        <v>8</v>
      </c>
      <c r="AP46" s="71" t="str">
        <f t="shared" si="1"/>
        <v>×</v>
      </c>
      <c r="AQ46" s="71" t="str">
        <f t="shared" si="2"/>
        <v>×</v>
      </c>
      <c r="AR46" s="71" t="s">
        <v>8</v>
      </c>
      <c r="AS46" s="71" t="s">
        <v>8</v>
      </c>
      <c r="AT46" s="71" t="s">
        <v>8</v>
      </c>
      <c r="AU46" s="71" t="s">
        <v>8</v>
      </c>
      <c r="AV46" s="891" t="s">
        <v>8</v>
      </c>
      <c r="AW46" s="740" t="s">
        <v>8</v>
      </c>
      <c r="AX46" s="740" t="s">
        <v>8</v>
      </c>
      <c r="AY46" s="740" t="s">
        <v>8</v>
      </c>
      <c r="AZ46" s="740" t="s">
        <v>8</v>
      </c>
      <c r="BA46" s="740" t="s">
        <v>8</v>
      </c>
      <c r="BB46" s="740" t="s">
        <v>8</v>
      </c>
      <c r="BC46" s="740" t="s">
        <v>8</v>
      </c>
      <c r="BD46" s="891" t="s">
        <v>8</v>
      </c>
      <c r="BE46" s="740" t="s">
        <v>8</v>
      </c>
      <c r="BF46" s="740" t="str">
        <f t="shared" si="10"/>
        <v>×</v>
      </c>
      <c r="BG46" s="740" t="s">
        <v>8</v>
      </c>
      <c r="BH46" s="891" t="s">
        <v>8</v>
      </c>
      <c r="BI46" s="891" t="s">
        <v>8</v>
      </c>
      <c r="BJ46" s="740" t="s">
        <v>8</v>
      </c>
      <c r="BK46" s="740" t="s">
        <v>8</v>
      </c>
      <c r="BL46" s="740" t="s">
        <v>8</v>
      </c>
      <c r="BM46" s="740" t="s">
        <v>8</v>
      </c>
      <c r="BN46" s="740"/>
      <c r="BO46" s="740" t="s">
        <v>8</v>
      </c>
      <c r="BP46" s="740" t="str">
        <f t="shared" si="7"/>
        <v>×</v>
      </c>
      <c r="BQ46" s="891" t="s">
        <v>8</v>
      </c>
      <c r="BR46" s="891" t="s">
        <v>8</v>
      </c>
      <c r="BS46" s="891" t="s">
        <v>8</v>
      </c>
      <c r="BT46" s="891" t="s">
        <v>8</v>
      </c>
      <c r="BU46" s="740" t="s">
        <v>8</v>
      </c>
      <c r="BV46" s="740" t="s">
        <v>8</v>
      </c>
      <c r="BW46" s="740" t="s">
        <v>8</v>
      </c>
      <c r="BX46" s="741" t="s">
        <v>8</v>
      </c>
      <c r="BY46" s="740" t="s">
        <v>8</v>
      </c>
      <c r="BZ46" s="740" t="s">
        <v>8</v>
      </c>
      <c r="CA46" s="740" t="s">
        <v>8</v>
      </c>
      <c r="CB46" s="740" t="s">
        <v>8</v>
      </c>
      <c r="CC46" s="739" t="s">
        <v>8</v>
      </c>
      <c r="CD46" s="740" t="s">
        <v>8</v>
      </c>
      <c r="CE46" s="371" t="str">
        <f t="shared" si="8"/>
        <v>×</v>
      </c>
      <c r="CF46" s="366" t="s">
        <v>8</v>
      </c>
      <c r="CG46" s="379" t="str">
        <f t="shared" si="9"/>
        <v>×</v>
      </c>
      <c r="CH46" s="1044"/>
      <c r="CI46" s="521"/>
      <c r="CJ46" s="521"/>
      <c r="CK46" s="521"/>
      <c r="CL46" s="521"/>
      <c r="CM46" s="528"/>
      <c r="CN46" s="521"/>
      <c r="CO46" s="521"/>
      <c r="CP46" s="521"/>
      <c r="CQ46" s="273" t="s">
        <v>8</v>
      </c>
      <c r="CR46" s="71" t="s">
        <v>8</v>
      </c>
      <c r="CS46" s="71" t="s">
        <v>8</v>
      </c>
      <c r="CT46" s="250" t="s">
        <v>8</v>
      </c>
      <c r="CU46" s="72" t="s">
        <v>8</v>
      </c>
      <c r="CV46" s="71" t="s">
        <v>8</v>
      </c>
      <c r="CW46" s="288" t="s">
        <v>8</v>
      </c>
      <c r="CX46" s="250" t="s">
        <v>8</v>
      </c>
    </row>
    <row r="47" spans="1:102">
      <c r="A47" s="1075" t="s">
        <v>235</v>
      </c>
      <c r="B47" s="1078" t="s">
        <v>657</v>
      </c>
      <c r="C47" s="1070">
        <v>194</v>
      </c>
      <c r="D47" s="1054">
        <v>267</v>
      </c>
      <c r="E47" s="87" t="s">
        <v>7</v>
      </c>
      <c r="F47" s="63" t="s">
        <v>8</v>
      </c>
      <c r="G47" s="60" t="s">
        <v>8</v>
      </c>
      <c r="H47" s="60" t="s">
        <v>8</v>
      </c>
      <c r="I47" s="1001" t="s">
        <v>8</v>
      </c>
      <c r="J47" s="1002" t="s">
        <v>8</v>
      </c>
      <c r="K47" s="1002" t="s">
        <v>8</v>
      </c>
      <c r="L47" s="62" t="s">
        <v>8</v>
      </c>
      <c r="M47" s="62" t="s">
        <v>8</v>
      </c>
      <c r="N47" s="62" t="s">
        <v>8</v>
      </c>
      <c r="O47" s="62" t="s">
        <v>8</v>
      </c>
      <c r="P47" s="62" t="s">
        <v>8</v>
      </c>
      <c r="Q47" s="62" t="s">
        <v>8</v>
      </c>
      <c r="R47" s="62" t="s">
        <v>8</v>
      </c>
      <c r="S47" s="946" t="s">
        <v>8</v>
      </c>
      <c r="T47" s="946" t="s">
        <v>8</v>
      </c>
      <c r="U47" s="946" t="s">
        <v>8</v>
      </c>
      <c r="V47" s="946" t="s">
        <v>8</v>
      </c>
      <c r="W47" s="296" t="s">
        <v>8</v>
      </c>
      <c r="X47" s="62" t="s">
        <v>8</v>
      </c>
      <c r="Y47" s="62" t="s">
        <v>8</v>
      </c>
      <c r="Z47" s="954" t="s">
        <v>8</v>
      </c>
      <c r="AA47" s="954" t="s">
        <v>8</v>
      </c>
      <c r="AB47" s="954" t="s">
        <v>8</v>
      </c>
      <c r="AC47" s="296" t="s">
        <v>8</v>
      </c>
      <c r="AD47" s="60" t="s">
        <v>8</v>
      </c>
      <c r="AE47" s="60" t="s">
        <v>8</v>
      </c>
      <c r="AF47" s="60" t="s">
        <v>8</v>
      </c>
      <c r="AG47" s="60" t="s">
        <v>8</v>
      </c>
      <c r="AH47" s="61" t="s">
        <v>10</v>
      </c>
      <c r="AI47" s="61" t="s">
        <v>10</v>
      </c>
      <c r="AJ47" s="62" t="s">
        <v>8</v>
      </c>
      <c r="AK47" s="62" t="s">
        <v>8</v>
      </c>
      <c r="AL47" s="62" t="s">
        <v>8</v>
      </c>
      <c r="AM47" s="954" t="s">
        <v>8</v>
      </c>
      <c r="AN47" s="954" t="s">
        <v>8</v>
      </c>
      <c r="AO47" s="954" t="s">
        <v>8</v>
      </c>
      <c r="AP47" s="60" t="str">
        <f t="shared" si="1"/>
        <v>×</v>
      </c>
      <c r="AQ47" s="60" t="str">
        <f t="shared" si="2"/>
        <v>×</v>
      </c>
      <c r="AR47" s="61" t="s">
        <v>10</v>
      </c>
      <c r="AS47" s="61" t="s">
        <v>10</v>
      </c>
      <c r="AT47" s="61" t="s">
        <v>10</v>
      </c>
      <c r="AU47" s="61" t="s">
        <v>10</v>
      </c>
      <c r="AV47" s="881" t="s">
        <v>8</v>
      </c>
      <c r="AW47" s="33" t="s">
        <v>10</v>
      </c>
      <c r="AX47" s="415" t="s">
        <v>10</v>
      </c>
      <c r="AY47" s="392" t="s">
        <v>8</v>
      </c>
      <c r="AZ47" s="439" t="s">
        <v>1</v>
      </c>
      <c r="BA47" s="392" t="s">
        <v>8</v>
      </c>
      <c r="BB47" s="61" t="s">
        <v>10</v>
      </c>
      <c r="BC47" s="61" t="s">
        <v>10</v>
      </c>
      <c r="BD47" s="881" t="s">
        <v>8</v>
      </c>
      <c r="BE47" s="62" t="s">
        <v>8</v>
      </c>
      <c r="BF47" s="392" t="str">
        <f t="shared" si="10"/>
        <v>×</v>
      </c>
      <c r="BG47" s="62" t="s">
        <v>8</v>
      </c>
      <c r="BH47" s="881" t="s">
        <v>8</v>
      </c>
      <c r="BI47" s="881" t="s">
        <v>8</v>
      </c>
      <c r="BJ47" s="34" t="s">
        <v>8</v>
      </c>
      <c r="BK47" s="34" t="s">
        <v>8</v>
      </c>
      <c r="BL47" s="62" t="s">
        <v>8</v>
      </c>
      <c r="BM47" s="392" t="s">
        <v>8</v>
      </c>
      <c r="BN47" s="392"/>
      <c r="BO47" s="365" t="s">
        <v>8</v>
      </c>
      <c r="BP47" s="392" t="str">
        <f t="shared" si="7"/>
        <v>○</v>
      </c>
      <c r="BQ47" s="881" t="s">
        <v>8</v>
      </c>
      <c r="BR47" s="881" t="s">
        <v>8</v>
      </c>
      <c r="BS47" s="881" t="s">
        <v>8</v>
      </c>
      <c r="BT47" s="881" t="s">
        <v>8</v>
      </c>
      <c r="BU47" s="34" t="s">
        <v>8</v>
      </c>
      <c r="BV47" s="34" t="s">
        <v>8</v>
      </c>
      <c r="BW47" s="34" t="s">
        <v>8</v>
      </c>
      <c r="BX47" s="483" t="s">
        <v>8</v>
      </c>
      <c r="BY47" s="392" t="s">
        <v>8</v>
      </c>
      <c r="BZ47" s="392" t="s">
        <v>8</v>
      </c>
      <c r="CA47" s="392" t="s">
        <v>8</v>
      </c>
      <c r="CB47" s="392" t="s">
        <v>8</v>
      </c>
      <c r="CC47" s="739" t="s">
        <v>8</v>
      </c>
      <c r="CD47" s="62" t="s">
        <v>8</v>
      </c>
      <c r="CE47" s="393" t="str">
        <f t="shared" si="8"/>
        <v>○</v>
      </c>
      <c r="CF47" s="392" t="s">
        <v>8</v>
      </c>
      <c r="CG47" s="402" t="str">
        <f t="shared" si="9"/>
        <v>×</v>
      </c>
      <c r="CH47" s="107"/>
      <c r="CI47" s="2"/>
      <c r="CJ47" s="2"/>
      <c r="CK47" s="2"/>
      <c r="CL47" s="2"/>
      <c r="CM47" s="323"/>
      <c r="CN47" s="2"/>
      <c r="CO47" s="2"/>
      <c r="CP47" s="2"/>
      <c r="CQ47" s="270" t="s">
        <v>8</v>
      </c>
      <c r="CR47" s="60" t="s">
        <v>8</v>
      </c>
      <c r="CS47" s="60" t="s">
        <v>8</v>
      </c>
      <c r="CT47" s="246" t="s">
        <v>8</v>
      </c>
      <c r="CU47" s="63" t="s">
        <v>58</v>
      </c>
      <c r="CV47" s="60" t="s">
        <v>8</v>
      </c>
      <c r="CW47" s="287" t="s">
        <v>8</v>
      </c>
      <c r="CX47" s="246" t="s">
        <v>8</v>
      </c>
    </row>
    <row r="48" spans="1:102" ht="13.5" customHeight="1">
      <c r="A48" s="1076"/>
      <c r="B48" s="1079"/>
      <c r="C48" s="1055"/>
      <c r="D48" s="1055"/>
      <c r="E48" s="84" t="s">
        <v>60</v>
      </c>
      <c r="F48" s="47" t="s">
        <v>283</v>
      </c>
      <c r="G48" s="47" t="s">
        <v>284</v>
      </c>
      <c r="H48" s="47" t="s">
        <v>284</v>
      </c>
      <c r="I48" s="1004" t="s">
        <v>283</v>
      </c>
      <c r="J48" s="1004" t="s">
        <v>284</v>
      </c>
      <c r="K48" s="1004" t="s">
        <v>284</v>
      </c>
      <c r="L48" s="34" t="s">
        <v>8</v>
      </c>
      <c r="M48" s="34" t="s">
        <v>8</v>
      </c>
      <c r="N48" s="34" t="s">
        <v>8</v>
      </c>
      <c r="O48" s="34" t="s">
        <v>8</v>
      </c>
      <c r="P48" s="34" t="s">
        <v>8</v>
      </c>
      <c r="Q48" s="34" t="s">
        <v>8</v>
      </c>
      <c r="R48" s="34" t="s">
        <v>8</v>
      </c>
      <c r="S48" s="709" t="s">
        <v>8</v>
      </c>
      <c r="T48" s="709" t="s">
        <v>8</v>
      </c>
      <c r="U48" s="709" t="s">
        <v>8</v>
      </c>
      <c r="V48" s="709" t="s">
        <v>8</v>
      </c>
      <c r="W48" s="47" t="s">
        <v>283</v>
      </c>
      <c r="X48" s="47" t="s">
        <v>284</v>
      </c>
      <c r="Y48" s="47" t="s">
        <v>284</v>
      </c>
      <c r="Z48" s="710" t="s">
        <v>8</v>
      </c>
      <c r="AA48" s="710" t="s">
        <v>8</v>
      </c>
      <c r="AB48" s="710" t="s">
        <v>8</v>
      </c>
      <c r="AC48" s="47" t="s">
        <v>283</v>
      </c>
      <c r="AD48" s="47" t="s">
        <v>284</v>
      </c>
      <c r="AE48" s="47" t="s">
        <v>284</v>
      </c>
      <c r="AF48" s="51" t="s">
        <v>8</v>
      </c>
      <c r="AG48" s="51" t="s">
        <v>8</v>
      </c>
      <c r="AH48" s="33" t="s">
        <v>10</v>
      </c>
      <c r="AI48" s="33" t="s">
        <v>10</v>
      </c>
      <c r="AJ48" s="34" t="s">
        <v>8</v>
      </c>
      <c r="AK48" s="34" t="s">
        <v>8</v>
      </c>
      <c r="AL48" s="34" t="s">
        <v>8</v>
      </c>
      <c r="AM48" s="710" t="s">
        <v>8</v>
      </c>
      <c r="AN48" s="710" t="s">
        <v>8</v>
      </c>
      <c r="AO48" s="710" t="s">
        <v>8</v>
      </c>
      <c r="AP48" s="51" t="str">
        <f t="shared" si="1"/>
        <v>×</v>
      </c>
      <c r="AQ48" s="51" t="str">
        <f t="shared" si="2"/>
        <v>×</v>
      </c>
      <c r="AR48" s="33" t="s">
        <v>10</v>
      </c>
      <c r="AS48" s="33" t="s">
        <v>10</v>
      </c>
      <c r="AT48" s="33" t="s">
        <v>10</v>
      </c>
      <c r="AU48" s="33" t="s">
        <v>10</v>
      </c>
      <c r="AV48" s="739" t="s">
        <v>8</v>
      </c>
      <c r="AW48" s="33" t="s">
        <v>10</v>
      </c>
      <c r="AX48" s="398" t="s">
        <v>10</v>
      </c>
      <c r="AY48" s="398" t="s">
        <v>10</v>
      </c>
      <c r="AZ48" s="34" t="s">
        <v>8</v>
      </c>
      <c r="BA48" s="395" t="s">
        <v>8</v>
      </c>
      <c r="BB48" s="33" t="s">
        <v>10</v>
      </c>
      <c r="BC48" s="33" t="s">
        <v>10</v>
      </c>
      <c r="BD48" s="739" t="s">
        <v>8</v>
      </c>
      <c r="BE48" s="33" t="s">
        <v>10</v>
      </c>
      <c r="BF48" s="395" t="str">
        <f t="shared" si="10"/>
        <v>○</v>
      </c>
      <c r="BG48" s="34" t="s">
        <v>637</v>
      </c>
      <c r="BH48" s="739" t="s">
        <v>8</v>
      </c>
      <c r="BI48" s="739" t="s">
        <v>8</v>
      </c>
      <c r="BJ48" s="34" t="s">
        <v>637</v>
      </c>
      <c r="BK48" s="34" t="s">
        <v>637</v>
      </c>
      <c r="BL48" s="34" t="s">
        <v>8</v>
      </c>
      <c r="BM48" s="395" t="s">
        <v>637</v>
      </c>
      <c r="BN48" s="395"/>
      <c r="BO48" s="360" t="s">
        <v>8</v>
      </c>
      <c r="BP48" s="395" t="str">
        <f t="shared" si="7"/>
        <v>×</v>
      </c>
      <c r="BQ48" s="739" t="s">
        <v>8</v>
      </c>
      <c r="BR48" s="739" t="s">
        <v>8</v>
      </c>
      <c r="BS48" s="739" t="s">
        <v>8</v>
      </c>
      <c r="BT48" s="739" t="s">
        <v>8</v>
      </c>
      <c r="BU48" s="34" t="s">
        <v>637</v>
      </c>
      <c r="BV48" s="34" t="s">
        <v>637</v>
      </c>
      <c r="BW48" s="34" t="s">
        <v>637</v>
      </c>
      <c r="BX48" s="360" t="s">
        <v>8</v>
      </c>
      <c r="BY48" s="34" t="s">
        <v>637</v>
      </c>
      <c r="BZ48" s="34" t="s">
        <v>637</v>
      </c>
      <c r="CA48" s="34" t="s">
        <v>637</v>
      </c>
      <c r="CB48" s="34" t="s">
        <v>8</v>
      </c>
      <c r="CC48" s="739" t="s">
        <v>8</v>
      </c>
      <c r="CD48" s="34" t="s">
        <v>8</v>
      </c>
      <c r="CE48" s="396" t="str">
        <f t="shared" si="8"/>
        <v>×</v>
      </c>
      <c r="CF48" s="395" t="s">
        <v>8</v>
      </c>
      <c r="CG48" s="397" t="str">
        <f t="shared" si="9"/>
        <v>×</v>
      </c>
      <c r="CH48" s="101"/>
      <c r="CI48" s="2"/>
      <c r="CJ48" s="2"/>
      <c r="CK48" s="2"/>
      <c r="CL48" s="2"/>
      <c r="CM48" s="323"/>
      <c r="CN48" s="2"/>
      <c r="CO48" s="2"/>
      <c r="CP48" s="2"/>
      <c r="CQ48" s="268" t="s">
        <v>10</v>
      </c>
      <c r="CR48" s="37" t="s">
        <v>10</v>
      </c>
      <c r="CS48" s="37" t="s">
        <v>10</v>
      </c>
      <c r="CT48" s="243" t="s">
        <v>8</v>
      </c>
      <c r="CU48" s="51" t="s">
        <v>8</v>
      </c>
      <c r="CV48" s="51" t="s">
        <v>8</v>
      </c>
      <c r="CW48" s="36" t="s">
        <v>8</v>
      </c>
      <c r="CX48" s="249" t="s">
        <v>8</v>
      </c>
    </row>
    <row r="49" spans="1:102" ht="14.25" thickBot="1">
      <c r="A49" s="1077"/>
      <c r="B49" s="85" t="s">
        <v>658</v>
      </c>
      <c r="C49" s="64">
        <v>267</v>
      </c>
      <c r="D49" s="64">
        <v>388</v>
      </c>
      <c r="E49" s="86" t="s">
        <v>59</v>
      </c>
      <c r="F49" s="81" t="s">
        <v>286</v>
      </c>
      <c r="G49" s="218" t="s">
        <v>8</v>
      </c>
      <c r="H49" s="218" t="s">
        <v>8</v>
      </c>
      <c r="I49" s="1008" t="s">
        <v>8</v>
      </c>
      <c r="J49" s="1008" t="s">
        <v>8</v>
      </c>
      <c r="K49" s="1008" t="s">
        <v>8</v>
      </c>
      <c r="L49" s="66" t="s">
        <v>8</v>
      </c>
      <c r="M49" s="66" t="s">
        <v>8</v>
      </c>
      <c r="N49" s="66" t="s">
        <v>8</v>
      </c>
      <c r="O49" s="66" t="s">
        <v>8</v>
      </c>
      <c r="P49" s="66" t="s">
        <v>8</v>
      </c>
      <c r="Q49" s="66" t="s">
        <v>8</v>
      </c>
      <c r="R49" s="66" t="s">
        <v>8</v>
      </c>
      <c r="S49" s="947" t="s">
        <v>8</v>
      </c>
      <c r="T49" s="947" t="s">
        <v>8</v>
      </c>
      <c r="U49" s="947" t="s">
        <v>8</v>
      </c>
      <c r="V49" s="947" t="s">
        <v>8</v>
      </c>
      <c r="W49" s="81" t="s">
        <v>286</v>
      </c>
      <c r="X49" s="218" t="s">
        <v>8</v>
      </c>
      <c r="Y49" s="218" t="s">
        <v>8</v>
      </c>
      <c r="Z49" s="955" t="s">
        <v>8</v>
      </c>
      <c r="AA49" s="955" t="s">
        <v>8</v>
      </c>
      <c r="AB49" s="955" t="s">
        <v>8</v>
      </c>
      <c r="AC49" s="81" t="s">
        <v>286</v>
      </c>
      <c r="AD49" s="218" t="s">
        <v>8</v>
      </c>
      <c r="AE49" s="218" t="s">
        <v>8</v>
      </c>
      <c r="AF49" s="218" t="s">
        <v>8</v>
      </c>
      <c r="AG49" s="218" t="s">
        <v>8</v>
      </c>
      <c r="AH49" s="65" t="s">
        <v>10</v>
      </c>
      <c r="AI49" s="65" t="s">
        <v>10</v>
      </c>
      <c r="AJ49" s="66" t="s">
        <v>8</v>
      </c>
      <c r="AK49" s="66" t="s">
        <v>8</v>
      </c>
      <c r="AL49" s="66" t="s">
        <v>8</v>
      </c>
      <c r="AM49" s="955" t="s">
        <v>8</v>
      </c>
      <c r="AN49" s="955" t="s">
        <v>8</v>
      </c>
      <c r="AO49" s="955" t="s">
        <v>8</v>
      </c>
      <c r="AP49" s="218" t="str">
        <f t="shared" si="1"/>
        <v>×</v>
      </c>
      <c r="AQ49" s="218" t="str">
        <f t="shared" si="2"/>
        <v>×</v>
      </c>
      <c r="AR49" s="65" t="s">
        <v>10</v>
      </c>
      <c r="AS49" s="65" t="s">
        <v>10</v>
      </c>
      <c r="AT49" s="65" t="s">
        <v>10</v>
      </c>
      <c r="AU49" s="65" t="s">
        <v>10</v>
      </c>
      <c r="AV49" s="915" t="s">
        <v>8</v>
      </c>
      <c r="AW49" s="65" t="s">
        <v>10</v>
      </c>
      <c r="AX49" s="399" t="s">
        <v>10</v>
      </c>
      <c r="AY49" s="399" t="s">
        <v>10</v>
      </c>
      <c r="AZ49" s="65" t="s">
        <v>10</v>
      </c>
      <c r="BA49" s="403" t="s">
        <v>8</v>
      </c>
      <c r="BB49" s="65" t="s">
        <v>10</v>
      </c>
      <c r="BC49" s="65" t="s">
        <v>10</v>
      </c>
      <c r="BD49" s="915" t="s">
        <v>8</v>
      </c>
      <c r="BE49" s="65" t="s">
        <v>10</v>
      </c>
      <c r="BF49" s="403" t="str">
        <f t="shared" si="10"/>
        <v>○</v>
      </c>
      <c r="BG49" s="66" t="s">
        <v>637</v>
      </c>
      <c r="BH49" s="915" t="s">
        <v>8</v>
      </c>
      <c r="BI49" s="915" t="s">
        <v>8</v>
      </c>
      <c r="BJ49" s="66" t="s">
        <v>637</v>
      </c>
      <c r="BK49" s="66" t="s">
        <v>637</v>
      </c>
      <c r="BL49" s="66" t="s">
        <v>637</v>
      </c>
      <c r="BM49" s="403" t="s">
        <v>637</v>
      </c>
      <c r="BN49" s="403"/>
      <c r="BO49" s="366" t="s">
        <v>8</v>
      </c>
      <c r="BP49" s="403" t="str">
        <f t="shared" si="7"/>
        <v>○</v>
      </c>
      <c r="BQ49" s="915" t="s">
        <v>8</v>
      </c>
      <c r="BR49" s="915" t="s">
        <v>8</v>
      </c>
      <c r="BS49" s="915" t="s">
        <v>8</v>
      </c>
      <c r="BT49" s="915" t="s">
        <v>8</v>
      </c>
      <c r="BU49" s="66" t="s">
        <v>637</v>
      </c>
      <c r="BV49" s="66" t="s">
        <v>637</v>
      </c>
      <c r="BW49" s="66" t="s">
        <v>637</v>
      </c>
      <c r="BX49" s="366" t="s">
        <v>8</v>
      </c>
      <c r="BY49" s="66" t="s">
        <v>637</v>
      </c>
      <c r="BZ49" s="66" t="s">
        <v>637</v>
      </c>
      <c r="CA49" s="66" t="s">
        <v>637</v>
      </c>
      <c r="CB49" s="66" t="s">
        <v>8</v>
      </c>
      <c r="CC49" s="739" t="s">
        <v>8</v>
      </c>
      <c r="CD49" s="66" t="s">
        <v>637</v>
      </c>
      <c r="CE49" s="400" t="str">
        <f t="shared" si="8"/>
        <v>○</v>
      </c>
      <c r="CF49" s="403" t="s">
        <v>637</v>
      </c>
      <c r="CG49" s="401" t="str">
        <f t="shared" si="9"/>
        <v>×</v>
      </c>
      <c r="CH49" s="108"/>
      <c r="CI49" s="521"/>
      <c r="CJ49" s="521"/>
      <c r="CK49" s="521"/>
      <c r="CL49" s="521"/>
      <c r="CM49" s="528"/>
      <c r="CN49" s="521"/>
      <c r="CO49" s="521"/>
      <c r="CP49" s="521"/>
      <c r="CQ49" s="269" t="s">
        <v>10</v>
      </c>
      <c r="CR49" s="216" t="s">
        <v>10</v>
      </c>
      <c r="CS49" s="216" t="s">
        <v>10</v>
      </c>
      <c r="CT49" s="251" t="s">
        <v>8</v>
      </c>
      <c r="CU49" s="218" t="s">
        <v>8</v>
      </c>
      <c r="CV49" s="218" t="s">
        <v>8</v>
      </c>
      <c r="CW49" s="289" t="s">
        <v>8</v>
      </c>
      <c r="CX49" s="280" t="s">
        <v>8</v>
      </c>
    </row>
    <row r="50" spans="1:102">
      <c r="A50" s="1075" t="s">
        <v>236</v>
      </c>
      <c r="B50" s="1078" t="s">
        <v>659</v>
      </c>
      <c r="C50" s="1054">
        <v>195</v>
      </c>
      <c r="D50" s="1054">
        <v>270</v>
      </c>
      <c r="E50" s="87" t="s">
        <v>7</v>
      </c>
      <c r="F50" s="63" t="s">
        <v>8</v>
      </c>
      <c r="G50" s="63" t="s">
        <v>8</v>
      </c>
      <c r="H50" s="63" t="s">
        <v>8</v>
      </c>
      <c r="I50" s="1001" t="s">
        <v>8</v>
      </c>
      <c r="J50" s="1001" t="s">
        <v>8</v>
      </c>
      <c r="K50" s="1001" t="s">
        <v>8</v>
      </c>
      <c r="L50" s="62" t="s">
        <v>8</v>
      </c>
      <c r="M50" s="62" t="s">
        <v>8</v>
      </c>
      <c r="N50" s="62" t="s">
        <v>8</v>
      </c>
      <c r="O50" s="62" t="s">
        <v>8</v>
      </c>
      <c r="P50" s="62" t="s">
        <v>8</v>
      </c>
      <c r="Q50" s="62" t="s">
        <v>8</v>
      </c>
      <c r="R50" s="62" t="s">
        <v>8</v>
      </c>
      <c r="S50" s="709" t="s">
        <v>8</v>
      </c>
      <c r="T50" s="709" t="s">
        <v>8</v>
      </c>
      <c r="U50" s="709" t="s">
        <v>8</v>
      </c>
      <c r="V50" s="709" t="s">
        <v>8</v>
      </c>
      <c r="W50" s="296" t="s">
        <v>8</v>
      </c>
      <c r="X50" s="296" t="s">
        <v>8</v>
      </c>
      <c r="Y50" s="296" t="s">
        <v>8</v>
      </c>
      <c r="Z50" s="951" t="s">
        <v>8</v>
      </c>
      <c r="AA50" s="710" t="s">
        <v>8</v>
      </c>
      <c r="AB50" s="710" t="s">
        <v>8</v>
      </c>
      <c r="AC50" s="296" t="s">
        <v>8</v>
      </c>
      <c r="AD50" s="63" t="s">
        <v>8</v>
      </c>
      <c r="AE50" s="63" t="s">
        <v>8</v>
      </c>
      <c r="AF50" s="63" t="s">
        <v>8</v>
      </c>
      <c r="AG50" s="63" t="s">
        <v>8</v>
      </c>
      <c r="AH50" s="61" t="s">
        <v>10</v>
      </c>
      <c r="AI50" s="61" t="s">
        <v>10</v>
      </c>
      <c r="AJ50" s="62" t="s">
        <v>8</v>
      </c>
      <c r="AK50" s="62" t="s">
        <v>8</v>
      </c>
      <c r="AL50" s="62" t="s">
        <v>8</v>
      </c>
      <c r="AM50" s="710" t="s">
        <v>8</v>
      </c>
      <c r="AN50" s="710" t="s">
        <v>8</v>
      </c>
      <c r="AO50" s="710" t="s">
        <v>8</v>
      </c>
      <c r="AP50" s="63" t="str">
        <f t="shared" si="1"/>
        <v>×</v>
      </c>
      <c r="AQ50" s="63" t="str">
        <f t="shared" si="2"/>
        <v>×</v>
      </c>
      <c r="AR50" s="61" t="s">
        <v>10</v>
      </c>
      <c r="AS50" s="61" t="s">
        <v>10</v>
      </c>
      <c r="AT50" s="61" t="s">
        <v>10</v>
      </c>
      <c r="AU50" s="61" t="s">
        <v>10</v>
      </c>
      <c r="AV50" s="739" t="s">
        <v>8</v>
      </c>
      <c r="AW50" s="33" t="s">
        <v>10</v>
      </c>
      <c r="AX50" s="415" t="s">
        <v>10</v>
      </c>
      <c r="AY50" s="392" t="s">
        <v>8</v>
      </c>
      <c r="AZ50" s="439" t="s">
        <v>1</v>
      </c>
      <c r="BA50" s="392" t="s">
        <v>8</v>
      </c>
      <c r="BB50" s="61" t="s">
        <v>10</v>
      </c>
      <c r="BC50" s="61" t="s">
        <v>10</v>
      </c>
      <c r="BD50" s="739" t="s">
        <v>8</v>
      </c>
      <c r="BE50" s="62" t="s">
        <v>8</v>
      </c>
      <c r="BF50" s="392" t="str">
        <f t="shared" si="10"/>
        <v>×</v>
      </c>
      <c r="BG50" s="62" t="s">
        <v>8</v>
      </c>
      <c r="BH50" s="739" t="s">
        <v>8</v>
      </c>
      <c r="BI50" s="739" t="s">
        <v>8</v>
      </c>
      <c r="BJ50" s="34" t="s">
        <v>8</v>
      </c>
      <c r="BK50" s="34" t="s">
        <v>8</v>
      </c>
      <c r="BL50" s="62" t="s">
        <v>8</v>
      </c>
      <c r="BM50" s="392" t="s">
        <v>58</v>
      </c>
      <c r="BN50" s="392"/>
      <c r="BO50" s="365" t="s">
        <v>8</v>
      </c>
      <c r="BP50" s="392" t="str">
        <f t="shared" si="7"/>
        <v>○</v>
      </c>
      <c r="BQ50" s="739" t="s">
        <v>8</v>
      </c>
      <c r="BR50" s="739" t="s">
        <v>8</v>
      </c>
      <c r="BS50" s="739" t="s">
        <v>8</v>
      </c>
      <c r="BT50" s="739" t="s">
        <v>8</v>
      </c>
      <c r="BU50" s="34" t="s">
        <v>8</v>
      </c>
      <c r="BV50" s="34" t="s">
        <v>8</v>
      </c>
      <c r="BW50" s="34" t="s">
        <v>8</v>
      </c>
      <c r="BX50" s="365" t="s">
        <v>8</v>
      </c>
      <c r="BY50" s="62" t="s">
        <v>8</v>
      </c>
      <c r="BZ50" s="62" t="s">
        <v>8</v>
      </c>
      <c r="CA50" s="62" t="s">
        <v>8</v>
      </c>
      <c r="CB50" s="62" t="s">
        <v>8</v>
      </c>
      <c r="CC50" s="739" t="s">
        <v>8</v>
      </c>
      <c r="CD50" s="62" t="s">
        <v>8</v>
      </c>
      <c r="CE50" s="393" t="str">
        <f t="shared" si="8"/>
        <v>○</v>
      </c>
      <c r="CF50" s="392" t="s">
        <v>8</v>
      </c>
      <c r="CG50" s="402" t="str">
        <f t="shared" si="9"/>
        <v>×</v>
      </c>
      <c r="CH50" s="107"/>
      <c r="CI50" s="2"/>
      <c r="CJ50" s="2"/>
      <c r="CK50" s="2"/>
      <c r="CL50" s="2"/>
      <c r="CM50" s="323"/>
      <c r="CN50" s="2"/>
      <c r="CO50" s="2"/>
      <c r="CP50" s="2"/>
      <c r="CQ50" s="270" t="s">
        <v>8</v>
      </c>
      <c r="CR50" s="60" t="s">
        <v>8</v>
      </c>
      <c r="CS50" s="60" t="s">
        <v>8</v>
      </c>
      <c r="CT50" s="246" t="s">
        <v>8</v>
      </c>
      <c r="CU50" s="63" t="s">
        <v>8</v>
      </c>
      <c r="CV50" s="63" t="s">
        <v>8</v>
      </c>
      <c r="CW50" s="287" t="s">
        <v>8</v>
      </c>
      <c r="CX50" s="246" t="s">
        <v>8</v>
      </c>
    </row>
    <row r="51" spans="1:102" ht="13.5" customHeight="1">
      <c r="A51" s="1076"/>
      <c r="B51" s="1079"/>
      <c r="C51" s="1055"/>
      <c r="D51" s="1055"/>
      <c r="E51" s="84" t="s">
        <v>9</v>
      </c>
      <c r="F51" s="47" t="s">
        <v>283</v>
      </c>
      <c r="G51" s="47" t="s">
        <v>284</v>
      </c>
      <c r="H51" s="47" t="s">
        <v>284</v>
      </c>
      <c r="I51" s="1004" t="s">
        <v>283</v>
      </c>
      <c r="J51" s="1004" t="s">
        <v>284</v>
      </c>
      <c r="K51" s="1004" t="s">
        <v>284</v>
      </c>
      <c r="L51" s="34" t="s">
        <v>8</v>
      </c>
      <c r="M51" s="34" t="s">
        <v>8</v>
      </c>
      <c r="N51" s="34" t="s">
        <v>8</v>
      </c>
      <c r="O51" s="34" t="s">
        <v>8</v>
      </c>
      <c r="P51" s="34" t="s">
        <v>8</v>
      </c>
      <c r="Q51" s="34" t="s">
        <v>8</v>
      </c>
      <c r="R51" s="34" t="s">
        <v>8</v>
      </c>
      <c r="S51" s="709" t="s">
        <v>8</v>
      </c>
      <c r="T51" s="709" t="s">
        <v>8</v>
      </c>
      <c r="U51" s="709" t="s">
        <v>8</v>
      </c>
      <c r="V51" s="709" t="s">
        <v>8</v>
      </c>
      <c r="W51" s="47" t="s">
        <v>283</v>
      </c>
      <c r="X51" s="47" t="s">
        <v>284</v>
      </c>
      <c r="Y51" s="47" t="s">
        <v>284</v>
      </c>
      <c r="Z51" s="951" t="s">
        <v>8</v>
      </c>
      <c r="AA51" s="710" t="s">
        <v>8</v>
      </c>
      <c r="AB51" s="710" t="s">
        <v>8</v>
      </c>
      <c r="AC51" s="47" t="s">
        <v>283</v>
      </c>
      <c r="AD51" s="47" t="s">
        <v>284</v>
      </c>
      <c r="AE51" s="47" t="s">
        <v>284</v>
      </c>
      <c r="AF51" s="51" t="s">
        <v>8</v>
      </c>
      <c r="AG51" s="51" t="s">
        <v>8</v>
      </c>
      <c r="AH51" s="33" t="s">
        <v>10</v>
      </c>
      <c r="AI51" s="33" t="s">
        <v>10</v>
      </c>
      <c r="AJ51" s="34" t="s">
        <v>8</v>
      </c>
      <c r="AK51" s="34" t="s">
        <v>8</v>
      </c>
      <c r="AL51" s="34" t="s">
        <v>8</v>
      </c>
      <c r="AM51" s="710" t="s">
        <v>8</v>
      </c>
      <c r="AN51" s="710" t="s">
        <v>8</v>
      </c>
      <c r="AO51" s="710" t="s">
        <v>8</v>
      </c>
      <c r="AP51" s="51" t="str">
        <f t="shared" si="1"/>
        <v>×</v>
      </c>
      <c r="AQ51" s="51" t="str">
        <f t="shared" si="2"/>
        <v>×</v>
      </c>
      <c r="AR51" s="33" t="s">
        <v>10</v>
      </c>
      <c r="AS51" s="33" t="s">
        <v>10</v>
      </c>
      <c r="AT51" s="33" t="s">
        <v>10</v>
      </c>
      <c r="AU51" s="33" t="s">
        <v>10</v>
      </c>
      <c r="AV51" s="739" t="s">
        <v>8</v>
      </c>
      <c r="AW51" s="33" t="s">
        <v>10</v>
      </c>
      <c r="AX51" s="398" t="s">
        <v>10</v>
      </c>
      <c r="AY51" s="398" t="s">
        <v>10</v>
      </c>
      <c r="AZ51" s="395" t="s">
        <v>8</v>
      </c>
      <c r="BA51" s="395" t="s">
        <v>8</v>
      </c>
      <c r="BB51" s="33" t="s">
        <v>10</v>
      </c>
      <c r="BC51" s="33" t="s">
        <v>10</v>
      </c>
      <c r="BD51" s="739" t="s">
        <v>8</v>
      </c>
      <c r="BE51" s="33" t="s">
        <v>10</v>
      </c>
      <c r="BF51" s="395" t="str">
        <f t="shared" si="10"/>
        <v>○</v>
      </c>
      <c r="BG51" s="34" t="s">
        <v>637</v>
      </c>
      <c r="BH51" s="739" t="s">
        <v>8</v>
      </c>
      <c r="BI51" s="739" t="s">
        <v>8</v>
      </c>
      <c r="BJ51" s="34" t="s">
        <v>637</v>
      </c>
      <c r="BK51" s="34" t="s">
        <v>637</v>
      </c>
      <c r="BL51" s="34" t="s">
        <v>8</v>
      </c>
      <c r="BM51" s="395" t="s">
        <v>637</v>
      </c>
      <c r="BN51" s="395"/>
      <c r="BO51" s="360" t="s">
        <v>8</v>
      </c>
      <c r="BP51" s="395" t="str">
        <f t="shared" si="7"/>
        <v>×</v>
      </c>
      <c r="BQ51" s="739" t="s">
        <v>8</v>
      </c>
      <c r="BR51" s="739" t="s">
        <v>8</v>
      </c>
      <c r="BS51" s="739" t="s">
        <v>8</v>
      </c>
      <c r="BT51" s="739" t="s">
        <v>8</v>
      </c>
      <c r="BU51" s="34" t="s">
        <v>637</v>
      </c>
      <c r="BV51" s="34" t="s">
        <v>637</v>
      </c>
      <c r="BW51" s="34" t="s">
        <v>637</v>
      </c>
      <c r="BX51" s="360" t="s">
        <v>8</v>
      </c>
      <c r="BY51" s="34" t="s">
        <v>637</v>
      </c>
      <c r="BZ51" s="34" t="s">
        <v>637</v>
      </c>
      <c r="CA51" s="34" t="s">
        <v>637</v>
      </c>
      <c r="CB51" s="34" t="s">
        <v>8</v>
      </c>
      <c r="CC51" s="739" t="s">
        <v>8</v>
      </c>
      <c r="CD51" s="34" t="s">
        <v>8</v>
      </c>
      <c r="CE51" s="396" t="str">
        <f t="shared" si="8"/>
        <v>×</v>
      </c>
      <c r="CF51" s="395" t="s">
        <v>8</v>
      </c>
      <c r="CG51" s="397" t="str">
        <f t="shared" si="9"/>
        <v>×</v>
      </c>
      <c r="CH51" s="101"/>
      <c r="CI51" s="2"/>
      <c r="CJ51" s="2"/>
      <c r="CK51" s="2"/>
      <c r="CL51" s="2"/>
      <c r="CM51" s="323"/>
      <c r="CN51" s="2"/>
      <c r="CO51" s="2"/>
      <c r="CP51" s="2"/>
      <c r="CQ51" s="187" t="s">
        <v>8</v>
      </c>
      <c r="CR51" s="34" t="s">
        <v>8</v>
      </c>
      <c r="CS51" s="34" t="s">
        <v>8</v>
      </c>
      <c r="CT51" s="252" t="s">
        <v>10</v>
      </c>
      <c r="CU51" s="51" t="s">
        <v>8</v>
      </c>
      <c r="CV51" s="51" t="s">
        <v>8</v>
      </c>
      <c r="CW51" s="36" t="s">
        <v>8</v>
      </c>
      <c r="CX51" s="249" t="s">
        <v>8</v>
      </c>
    </row>
    <row r="52" spans="1:102" ht="14.25" thickBot="1">
      <c r="A52" s="1077"/>
      <c r="B52" s="85" t="s">
        <v>660</v>
      </c>
      <c r="C52" s="64">
        <v>270</v>
      </c>
      <c r="D52" s="64">
        <v>390</v>
      </c>
      <c r="E52" s="86" t="s">
        <v>7</v>
      </c>
      <c r="F52" s="81" t="s">
        <v>286</v>
      </c>
      <c r="G52" s="218" t="s">
        <v>8</v>
      </c>
      <c r="H52" s="218" t="s">
        <v>8</v>
      </c>
      <c r="I52" s="1008" t="s">
        <v>8</v>
      </c>
      <c r="J52" s="1008" t="s">
        <v>8</v>
      </c>
      <c r="K52" s="1008" t="s">
        <v>8</v>
      </c>
      <c r="L52" s="66" t="s">
        <v>8</v>
      </c>
      <c r="M52" s="66" t="s">
        <v>8</v>
      </c>
      <c r="N52" s="66" t="s">
        <v>8</v>
      </c>
      <c r="O52" s="66" t="s">
        <v>8</v>
      </c>
      <c r="P52" s="66" t="s">
        <v>8</v>
      </c>
      <c r="Q52" s="66" t="s">
        <v>8</v>
      </c>
      <c r="R52" s="66" t="s">
        <v>8</v>
      </c>
      <c r="S52" s="945" t="s">
        <v>8</v>
      </c>
      <c r="T52" s="945" t="s">
        <v>8</v>
      </c>
      <c r="U52" s="945" t="s">
        <v>8</v>
      </c>
      <c r="V52" s="945" t="s">
        <v>8</v>
      </c>
      <c r="W52" s="81" t="s">
        <v>286</v>
      </c>
      <c r="X52" s="218" t="s">
        <v>8</v>
      </c>
      <c r="Y52" s="218" t="s">
        <v>8</v>
      </c>
      <c r="Z52" s="952" t="s">
        <v>8</v>
      </c>
      <c r="AA52" s="953" t="s">
        <v>8</v>
      </c>
      <c r="AB52" s="953" t="s">
        <v>8</v>
      </c>
      <c r="AC52" s="81" t="s">
        <v>286</v>
      </c>
      <c r="AD52" s="218" t="s">
        <v>8</v>
      </c>
      <c r="AE52" s="218" t="s">
        <v>8</v>
      </c>
      <c r="AF52" s="218" t="s">
        <v>8</v>
      </c>
      <c r="AG52" s="218" t="s">
        <v>8</v>
      </c>
      <c r="AH52" s="65" t="s">
        <v>10</v>
      </c>
      <c r="AI52" s="65" t="s">
        <v>10</v>
      </c>
      <c r="AJ52" s="66" t="s">
        <v>8</v>
      </c>
      <c r="AK52" s="66" t="s">
        <v>8</v>
      </c>
      <c r="AL52" s="66" t="s">
        <v>8</v>
      </c>
      <c r="AM52" s="953" t="s">
        <v>8</v>
      </c>
      <c r="AN52" s="953" t="s">
        <v>8</v>
      </c>
      <c r="AO52" s="953" t="s">
        <v>8</v>
      </c>
      <c r="AP52" s="218" t="str">
        <f t="shared" si="1"/>
        <v>×</v>
      </c>
      <c r="AQ52" s="218" t="str">
        <f t="shared" si="2"/>
        <v>×</v>
      </c>
      <c r="AR52" s="65" t="s">
        <v>10</v>
      </c>
      <c r="AS52" s="65" t="s">
        <v>10</v>
      </c>
      <c r="AT52" s="65" t="s">
        <v>10</v>
      </c>
      <c r="AU52" s="65" t="s">
        <v>10</v>
      </c>
      <c r="AV52" s="891" t="s">
        <v>8</v>
      </c>
      <c r="AW52" s="65" t="s">
        <v>10</v>
      </c>
      <c r="AX52" s="399" t="s">
        <v>10</v>
      </c>
      <c r="AY52" s="399" t="s">
        <v>10</v>
      </c>
      <c r="AZ52" s="399" t="s">
        <v>10</v>
      </c>
      <c r="BA52" s="403" t="s">
        <v>8</v>
      </c>
      <c r="BB52" s="65" t="s">
        <v>10</v>
      </c>
      <c r="BC52" s="65" t="s">
        <v>10</v>
      </c>
      <c r="BD52" s="891" t="s">
        <v>8</v>
      </c>
      <c r="BE52" s="65" t="s">
        <v>10</v>
      </c>
      <c r="BF52" s="403" t="str">
        <f t="shared" si="10"/>
        <v>○</v>
      </c>
      <c r="BG52" s="66" t="s">
        <v>637</v>
      </c>
      <c r="BH52" s="891" t="s">
        <v>8</v>
      </c>
      <c r="BI52" s="891" t="s">
        <v>8</v>
      </c>
      <c r="BJ52" s="66" t="s">
        <v>637</v>
      </c>
      <c r="BK52" s="66" t="s">
        <v>637</v>
      </c>
      <c r="BL52" s="66" t="s">
        <v>637</v>
      </c>
      <c r="BM52" s="403" t="s">
        <v>637</v>
      </c>
      <c r="BN52" s="403"/>
      <c r="BO52" s="366" t="s">
        <v>8</v>
      </c>
      <c r="BP52" s="403" t="str">
        <f t="shared" si="7"/>
        <v>○</v>
      </c>
      <c r="BQ52" s="891" t="s">
        <v>8</v>
      </c>
      <c r="BR52" s="891" t="s">
        <v>8</v>
      </c>
      <c r="BS52" s="891" t="s">
        <v>8</v>
      </c>
      <c r="BT52" s="891" t="s">
        <v>8</v>
      </c>
      <c r="BU52" s="66" t="s">
        <v>637</v>
      </c>
      <c r="BV52" s="66" t="s">
        <v>637</v>
      </c>
      <c r="BW52" s="66" t="s">
        <v>637</v>
      </c>
      <c r="BX52" s="361" t="s">
        <v>8</v>
      </c>
      <c r="BY52" s="66" t="s">
        <v>637</v>
      </c>
      <c r="BZ52" s="66" t="s">
        <v>637</v>
      </c>
      <c r="CA52" s="66" t="s">
        <v>637</v>
      </c>
      <c r="CB52" s="66" t="s">
        <v>8</v>
      </c>
      <c r="CC52" s="739" t="s">
        <v>8</v>
      </c>
      <c r="CD52" s="66" t="s">
        <v>637</v>
      </c>
      <c r="CE52" s="400" t="str">
        <f t="shared" si="8"/>
        <v>○</v>
      </c>
      <c r="CF52" s="403" t="s">
        <v>637</v>
      </c>
      <c r="CG52" s="401" t="str">
        <f t="shared" si="9"/>
        <v>×</v>
      </c>
      <c r="CH52" s="102"/>
      <c r="CI52" s="521"/>
      <c r="CJ52" s="521"/>
      <c r="CK52" s="521"/>
      <c r="CL52" s="521"/>
      <c r="CM52" s="528"/>
      <c r="CN52" s="521"/>
      <c r="CO52" s="521"/>
      <c r="CP52" s="521"/>
      <c r="CQ52" s="274" t="s">
        <v>8</v>
      </c>
      <c r="CR52" s="66" t="s">
        <v>8</v>
      </c>
      <c r="CS52" s="66" t="s">
        <v>8</v>
      </c>
      <c r="CT52" s="253" t="s">
        <v>10</v>
      </c>
      <c r="CU52" s="218" t="s">
        <v>8</v>
      </c>
      <c r="CV52" s="218" t="s">
        <v>8</v>
      </c>
      <c r="CW52" s="289" t="s">
        <v>8</v>
      </c>
      <c r="CX52" s="280" t="s">
        <v>8</v>
      </c>
    </row>
    <row r="53" spans="1:102" ht="13.5" customHeight="1">
      <c r="A53" s="1075" t="s">
        <v>237</v>
      </c>
      <c r="B53" s="1078" t="s">
        <v>651</v>
      </c>
      <c r="C53" s="1054">
        <v>100</v>
      </c>
      <c r="D53" s="1054">
        <v>148</v>
      </c>
      <c r="E53" s="458" t="s">
        <v>7</v>
      </c>
      <c r="F53" s="589" t="s">
        <v>1</v>
      </c>
      <c r="G53" s="62" t="s">
        <v>8</v>
      </c>
      <c r="H53" s="62" t="s">
        <v>8</v>
      </c>
      <c r="I53" s="1010" t="s">
        <v>1</v>
      </c>
      <c r="J53" s="1002" t="s">
        <v>8</v>
      </c>
      <c r="K53" s="1002" t="s">
        <v>8</v>
      </c>
      <c r="L53" s="589" t="s">
        <v>1</v>
      </c>
      <c r="M53" s="62" t="s">
        <v>8</v>
      </c>
      <c r="N53" s="62" t="s">
        <v>8</v>
      </c>
      <c r="O53" s="62" t="s">
        <v>8</v>
      </c>
      <c r="P53" s="62" t="s">
        <v>8</v>
      </c>
      <c r="Q53" s="588" t="s">
        <v>990</v>
      </c>
      <c r="R53" s="62" t="s">
        <v>8</v>
      </c>
      <c r="S53" s="946" t="s">
        <v>8</v>
      </c>
      <c r="T53" s="946" t="s">
        <v>8</v>
      </c>
      <c r="U53" s="946" t="s">
        <v>8</v>
      </c>
      <c r="V53" s="946" t="s">
        <v>8</v>
      </c>
      <c r="W53" s="589" t="s">
        <v>1</v>
      </c>
      <c r="X53" s="62" t="s">
        <v>8</v>
      </c>
      <c r="Y53" s="62" t="s">
        <v>8</v>
      </c>
      <c r="Z53" s="954" t="s">
        <v>8</v>
      </c>
      <c r="AA53" s="954" t="s">
        <v>8</v>
      </c>
      <c r="AB53" s="954" t="s">
        <v>8</v>
      </c>
      <c r="AC53" s="589" t="s">
        <v>1</v>
      </c>
      <c r="AD53" s="62" t="s">
        <v>8</v>
      </c>
      <c r="AE53" s="62" t="s">
        <v>8</v>
      </c>
      <c r="AF53" s="574" t="s">
        <v>8</v>
      </c>
      <c r="AG53" s="574" t="s">
        <v>8</v>
      </c>
      <c r="AH53" s="33" t="s">
        <v>10</v>
      </c>
      <c r="AI53" s="33" t="s">
        <v>10</v>
      </c>
      <c r="AJ53" s="33" t="s">
        <v>10</v>
      </c>
      <c r="AK53" s="62" t="s">
        <v>8</v>
      </c>
      <c r="AL53" s="62" t="s">
        <v>8</v>
      </c>
      <c r="AM53" s="954" t="s">
        <v>8</v>
      </c>
      <c r="AN53" s="954" t="s">
        <v>8</v>
      </c>
      <c r="AO53" s="954" t="s">
        <v>8</v>
      </c>
      <c r="AP53" s="574" t="str">
        <f t="shared" si="1"/>
        <v>×</v>
      </c>
      <c r="AQ53" s="574" t="str">
        <f t="shared" si="2"/>
        <v>×</v>
      </c>
      <c r="AR53" s="62" t="s">
        <v>8</v>
      </c>
      <c r="AS53" s="588" t="s">
        <v>1</v>
      </c>
      <c r="AT53" s="588" t="s">
        <v>1</v>
      </c>
      <c r="AU53" s="588" t="s">
        <v>848</v>
      </c>
      <c r="AV53" s="881" t="s">
        <v>8</v>
      </c>
      <c r="AW53" s="809" t="s">
        <v>8</v>
      </c>
      <c r="AX53" s="588" t="s">
        <v>848</v>
      </c>
      <c r="AY53" s="573" t="s">
        <v>8</v>
      </c>
      <c r="AZ53" s="573" t="s">
        <v>8</v>
      </c>
      <c r="BA53" s="573" t="s">
        <v>8</v>
      </c>
      <c r="BB53" s="588" t="s">
        <v>1</v>
      </c>
      <c r="BC53" s="62" t="s">
        <v>8</v>
      </c>
      <c r="BD53" s="881" t="s">
        <v>8</v>
      </c>
      <c r="BE53" s="62" t="s">
        <v>8</v>
      </c>
      <c r="BF53" s="62" t="str">
        <f t="shared" si="10"/>
        <v>×</v>
      </c>
      <c r="BG53" s="62" t="s">
        <v>8</v>
      </c>
      <c r="BH53" s="881" t="s">
        <v>8</v>
      </c>
      <c r="BI53" s="881" t="s">
        <v>8</v>
      </c>
      <c r="BJ53" s="62" t="s">
        <v>8</v>
      </c>
      <c r="BK53" s="62" t="s">
        <v>8</v>
      </c>
      <c r="BL53" s="62" t="s">
        <v>8</v>
      </c>
      <c r="BM53" s="62" t="s">
        <v>8</v>
      </c>
      <c r="BN53" s="62"/>
      <c r="BO53" s="365" t="s">
        <v>8</v>
      </c>
      <c r="BP53" s="62" t="str">
        <f t="shared" si="7"/>
        <v>×</v>
      </c>
      <c r="BQ53" s="881" t="s">
        <v>8</v>
      </c>
      <c r="BR53" s="881" t="s">
        <v>8</v>
      </c>
      <c r="BS53" s="881" t="s">
        <v>8</v>
      </c>
      <c r="BT53" s="881" t="s">
        <v>8</v>
      </c>
      <c r="BU53" s="62" t="s">
        <v>8</v>
      </c>
      <c r="BV53" s="62" t="s">
        <v>8</v>
      </c>
      <c r="BW53" s="62" t="s">
        <v>8</v>
      </c>
      <c r="BX53" s="483" t="s">
        <v>8</v>
      </c>
      <c r="BY53" s="62" t="s">
        <v>8</v>
      </c>
      <c r="BZ53" s="62" t="s">
        <v>8</v>
      </c>
      <c r="CA53" s="62" t="s">
        <v>8</v>
      </c>
      <c r="CB53" s="62" t="s">
        <v>8</v>
      </c>
      <c r="CC53" s="739" t="s">
        <v>8</v>
      </c>
      <c r="CD53" s="62" t="s">
        <v>8</v>
      </c>
      <c r="CE53" s="575" t="str">
        <f t="shared" si="8"/>
        <v>×</v>
      </c>
      <c r="CF53" s="62" t="s">
        <v>8</v>
      </c>
      <c r="CG53" s="576" t="str">
        <f t="shared" si="9"/>
        <v>×</v>
      </c>
      <c r="CH53" s="1137" t="s">
        <v>1042</v>
      </c>
      <c r="CI53" s="2"/>
      <c r="CJ53" s="2"/>
      <c r="CK53" s="2"/>
      <c r="CL53" s="2"/>
      <c r="CM53" s="530"/>
      <c r="CN53" s="2"/>
      <c r="CO53" s="2"/>
      <c r="CP53" s="2"/>
      <c r="CQ53" s="467" t="s">
        <v>8</v>
      </c>
      <c r="CR53" s="365" t="s">
        <v>8</v>
      </c>
      <c r="CS53" s="365" t="s">
        <v>8</v>
      </c>
      <c r="CT53" s="468" t="s">
        <v>8</v>
      </c>
      <c r="CU53" s="465" t="s">
        <v>8</v>
      </c>
      <c r="CV53" s="365" t="s">
        <v>8</v>
      </c>
      <c r="CW53" s="469" t="s">
        <v>8</v>
      </c>
      <c r="CX53" s="468" t="s">
        <v>8</v>
      </c>
    </row>
    <row r="54" spans="1:102" ht="13.5" customHeight="1">
      <c r="A54" s="1076"/>
      <c r="B54" s="1079"/>
      <c r="C54" s="1055"/>
      <c r="D54" s="1055"/>
      <c r="E54" s="460" t="s">
        <v>9</v>
      </c>
      <c r="F54" s="362" t="s">
        <v>8</v>
      </c>
      <c r="G54" s="360" t="s">
        <v>8</v>
      </c>
      <c r="H54" s="360" t="s">
        <v>8</v>
      </c>
      <c r="I54" s="708" t="s">
        <v>8</v>
      </c>
      <c r="J54" s="706" t="s">
        <v>8</v>
      </c>
      <c r="K54" s="706" t="s">
        <v>8</v>
      </c>
      <c r="L54" s="706" t="s">
        <v>8</v>
      </c>
      <c r="M54" s="360" t="s">
        <v>8</v>
      </c>
      <c r="N54" s="360" t="s">
        <v>8</v>
      </c>
      <c r="O54" s="360" t="s">
        <v>8</v>
      </c>
      <c r="P54" s="360" t="s">
        <v>8</v>
      </c>
      <c r="Q54" s="706" t="s">
        <v>8</v>
      </c>
      <c r="R54" s="706" t="s">
        <v>8</v>
      </c>
      <c r="S54" s="709" t="s">
        <v>8</v>
      </c>
      <c r="T54" s="709" t="s">
        <v>8</v>
      </c>
      <c r="U54" s="709" t="s">
        <v>8</v>
      </c>
      <c r="V54" s="709" t="s">
        <v>8</v>
      </c>
      <c r="W54" s="362" t="s">
        <v>8</v>
      </c>
      <c r="X54" s="360" t="s">
        <v>8</v>
      </c>
      <c r="Y54" s="360" t="s">
        <v>8</v>
      </c>
      <c r="Z54" s="710" t="s">
        <v>8</v>
      </c>
      <c r="AA54" s="710" t="s">
        <v>8</v>
      </c>
      <c r="AB54" s="710" t="s">
        <v>8</v>
      </c>
      <c r="AC54" s="362" t="s">
        <v>8</v>
      </c>
      <c r="AD54" s="360" t="s">
        <v>8</v>
      </c>
      <c r="AE54" s="360" t="s">
        <v>8</v>
      </c>
      <c r="AF54" s="360" t="s">
        <v>8</v>
      </c>
      <c r="AG54" s="360" t="s">
        <v>8</v>
      </c>
      <c r="AH54" s="360" t="s">
        <v>8</v>
      </c>
      <c r="AI54" s="360" t="s">
        <v>8</v>
      </c>
      <c r="AJ54" s="360" t="s">
        <v>8</v>
      </c>
      <c r="AK54" s="360" t="s">
        <v>8</v>
      </c>
      <c r="AL54" s="360" t="s">
        <v>8</v>
      </c>
      <c r="AM54" s="710" t="s">
        <v>8</v>
      </c>
      <c r="AN54" s="710" t="s">
        <v>8</v>
      </c>
      <c r="AO54" s="710" t="s">
        <v>8</v>
      </c>
      <c r="AP54" s="360" t="s">
        <v>8</v>
      </c>
      <c r="AQ54" s="360" t="s">
        <v>8</v>
      </c>
      <c r="AR54" s="360" t="s">
        <v>8</v>
      </c>
      <c r="AS54" s="360" t="s">
        <v>8</v>
      </c>
      <c r="AT54" s="360" t="s">
        <v>8</v>
      </c>
      <c r="AU54" s="360" t="s">
        <v>8</v>
      </c>
      <c r="AV54" s="739" t="s">
        <v>8</v>
      </c>
      <c r="AW54" s="706" t="s">
        <v>8</v>
      </c>
      <c r="AX54" s="706" t="s">
        <v>8</v>
      </c>
      <c r="AY54" s="706" t="s">
        <v>8</v>
      </c>
      <c r="AZ54" s="706" t="s">
        <v>8</v>
      </c>
      <c r="BA54" s="706" t="s">
        <v>8</v>
      </c>
      <c r="BB54" s="706" t="s">
        <v>8</v>
      </c>
      <c r="BC54" s="706" t="s">
        <v>8</v>
      </c>
      <c r="BD54" s="739" t="s">
        <v>8</v>
      </c>
      <c r="BE54" s="706" t="s">
        <v>8</v>
      </c>
      <c r="BF54" s="706" t="str">
        <f t="shared" si="10"/>
        <v>×</v>
      </c>
      <c r="BG54" s="706" t="s">
        <v>8</v>
      </c>
      <c r="BH54" s="739" t="s">
        <v>8</v>
      </c>
      <c r="BI54" s="739" t="s">
        <v>8</v>
      </c>
      <c r="BJ54" s="706" t="s">
        <v>8</v>
      </c>
      <c r="BK54" s="706" t="s">
        <v>8</v>
      </c>
      <c r="BL54" s="706" t="s">
        <v>8</v>
      </c>
      <c r="BM54" s="706" t="s">
        <v>8</v>
      </c>
      <c r="BN54" s="706"/>
      <c r="BO54" s="360" t="s">
        <v>8</v>
      </c>
      <c r="BP54" s="706" t="str">
        <f t="shared" si="7"/>
        <v>×</v>
      </c>
      <c r="BQ54" s="739" t="s">
        <v>8</v>
      </c>
      <c r="BR54" s="739" t="s">
        <v>8</v>
      </c>
      <c r="BS54" s="739" t="s">
        <v>8</v>
      </c>
      <c r="BT54" s="739" t="s">
        <v>8</v>
      </c>
      <c r="BU54" s="706" t="s">
        <v>8</v>
      </c>
      <c r="BV54" s="706" t="s">
        <v>8</v>
      </c>
      <c r="BW54" s="706" t="s">
        <v>8</v>
      </c>
      <c r="BX54" s="706" t="s">
        <v>8</v>
      </c>
      <c r="BY54" s="706" t="s">
        <v>8</v>
      </c>
      <c r="BZ54" s="706" t="s">
        <v>8</v>
      </c>
      <c r="CA54" s="706" t="s">
        <v>8</v>
      </c>
      <c r="CB54" s="706" t="s">
        <v>8</v>
      </c>
      <c r="CC54" s="739" t="s">
        <v>8</v>
      </c>
      <c r="CD54" s="706" t="s">
        <v>8</v>
      </c>
      <c r="CE54" s="370" t="str">
        <f t="shared" si="8"/>
        <v>×</v>
      </c>
      <c r="CF54" s="360" t="s">
        <v>8</v>
      </c>
      <c r="CG54" s="373" t="str">
        <f t="shared" si="9"/>
        <v>×</v>
      </c>
      <c r="CH54" s="1138"/>
      <c r="CI54" s="2"/>
      <c r="CJ54" s="2"/>
      <c r="CK54" s="2"/>
      <c r="CL54" s="2"/>
      <c r="CM54" s="323"/>
      <c r="CN54" s="2"/>
      <c r="CO54" s="2"/>
      <c r="CP54" s="2"/>
      <c r="CQ54" s="267" t="s">
        <v>8</v>
      </c>
      <c r="CR54" s="32" t="s">
        <v>8</v>
      </c>
      <c r="CS54" s="32" t="s">
        <v>8</v>
      </c>
      <c r="CT54" s="243" t="s">
        <v>8</v>
      </c>
      <c r="CU54" s="35" t="s">
        <v>8</v>
      </c>
      <c r="CV54" s="32" t="s">
        <v>8</v>
      </c>
      <c r="CW54" s="284" t="s">
        <v>8</v>
      </c>
      <c r="CX54" s="243" t="s">
        <v>8</v>
      </c>
    </row>
    <row r="55" spans="1:102">
      <c r="A55" s="1076"/>
      <c r="B55" s="1078" t="s">
        <v>652</v>
      </c>
      <c r="C55" s="1054">
        <v>148</v>
      </c>
      <c r="D55" s="1058">
        <v>200</v>
      </c>
      <c r="E55" s="707" t="s">
        <v>7</v>
      </c>
      <c r="F55" s="708" t="s">
        <v>8</v>
      </c>
      <c r="G55" s="706" t="s">
        <v>8</v>
      </c>
      <c r="H55" s="706" t="s">
        <v>8</v>
      </c>
      <c r="I55" s="708" t="s">
        <v>8</v>
      </c>
      <c r="J55" s="706" t="s">
        <v>8</v>
      </c>
      <c r="K55" s="706" t="s">
        <v>8</v>
      </c>
      <c r="L55" s="706" t="s">
        <v>8</v>
      </c>
      <c r="M55" s="706" t="s">
        <v>8</v>
      </c>
      <c r="N55" s="706" t="s">
        <v>8</v>
      </c>
      <c r="O55" s="706" t="s">
        <v>8</v>
      </c>
      <c r="P55" s="706" t="s">
        <v>8</v>
      </c>
      <c r="Q55" s="706" t="s">
        <v>8</v>
      </c>
      <c r="R55" s="706" t="s">
        <v>8</v>
      </c>
      <c r="S55" s="709" t="s">
        <v>8</v>
      </c>
      <c r="T55" s="709" t="s">
        <v>8</v>
      </c>
      <c r="U55" s="709" t="s">
        <v>8</v>
      </c>
      <c r="V55" s="709" t="s">
        <v>8</v>
      </c>
      <c r="W55" s="708" t="s">
        <v>8</v>
      </c>
      <c r="X55" s="706" t="s">
        <v>8</v>
      </c>
      <c r="Y55" s="706" t="s">
        <v>8</v>
      </c>
      <c r="Z55" s="710" t="s">
        <v>8</v>
      </c>
      <c r="AA55" s="710" t="s">
        <v>8</v>
      </c>
      <c r="AB55" s="710" t="s">
        <v>8</v>
      </c>
      <c r="AC55" s="708" t="s">
        <v>8</v>
      </c>
      <c r="AD55" s="706" t="s">
        <v>8</v>
      </c>
      <c r="AE55" s="706" t="s">
        <v>8</v>
      </c>
      <c r="AF55" s="706" t="s">
        <v>8</v>
      </c>
      <c r="AG55" s="706" t="s">
        <v>8</v>
      </c>
      <c r="AH55" s="706" t="s">
        <v>8</v>
      </c>
      <c r="AI55" s="706" t="s">
        <v>8</v>
      </c>
      <c r="AJ55" s="706" t="s">
        <v>8</v>
      </c>
      <c r="AK55" s="706" t="s">
        <v>8</v>
      </c>
      <c r="AL55" s="706" t="s">
        <v>8</v>
      </c>
      <c r="AM55" s="710" t="s">
        <v>8</v>
      </c>
      <c r="AN55" s="710" t="s">
        <v>8</v>
      </c>
      <c r="AO55" s="710" t="s">
        <v>8</v>
      </c>
      <c r="AP55" s="706" t="str">
        <f>AF55</f>
        <v>×</v>
      </c>
      <c r="AQ55" s="706" t="str">
        <f>AG55</f>
        <v>×</v>
      </c>
      <c r="AR55" s="706" t="s">
        <v>8</v>
      </c>
      <c r="AS55" s="706" t="s">
        <v>8</v>
      </c>
      <c r="AT55" s="706" t="s">
        <v>8</v>
      </c>
      <c r="AU55" s="360" t="s">
        <v>8</v>
      </c>
      <c r="AV55" s="739" t="s">
        <v>8</v>
      </c>
      <c r="AW55" s="706" t="s">
        <v>8</v>
      </c>
      <c r="AX55" s="706" t="s">
        <v>8</v>
      </c>
      <c r="AY55" s="706" t="s">
        <v>8</v>
      </c>
      <c r="AZ55" s="706" t="s">
        <v>8</v>
      </c>
      <c r="BA55" s="706" t="s">
        <v>8</v>
      </c>
      <c r="BB55" s="706" t="s">
        <v>8</v>
      </c>
      <c r="BC55" s="706" t="s">
        <v>8</v>
      </c>
      <c r="BD55" s="739" t="s">
        <v>8</v>
      </c>
      <c r="BE55" s="706" t="s">
        <v>8</v>
      </c>
      <c r="BF55" s="706" t="str">
        <f t="shared" si="10"/>
        <v>×</v>
      </c>
      <c r="BG55" s="706" t="s">
        <v>8</v>
      </c>
      <c r="BH55" s="739" t="s">
        <v>8</v>
      </c>
      <c r="BI55" s="739" t="s">
        <v>8</v>
      </c>
      <c r="BJ55" s="706" t="s">
        <v>8</v>
      </c>
      <c r="BK55" s="706" t="s">
        <v>8</v>
      </c>
      <c r="BL55" s="706" t="s">
        <v>8</v>
      </c>
      <c r="BM55" s="706" t="s">
        <v>8</v>
      </c>
      <c r="BN55" s="706"/>
      <c r="BO55" s="360" t="s">
        <v>8</v>
      </c>
      <c r="BP55" s="706" t="str">
        <f t="shared" si="7"/>
        <v>×</v>
      </c>
      <c r="BQ55" s="739" t="s">
        <v>8</v>
      </c>
      <c r="BR55" s="739" t="s">
        <v>8</v>
      </c>
      <c r="BS55" s="739" t="s">
        <v>8</v>
      </c>
      <c r="BT55" s="739" t="s">
        <v>8</v>
      </c>
      <c r="BU55" s="706" t="s">
        <v>8</v>
      </c>
      <c r="BV55" s="706" t="s">
        <v>8</v>
      </c>
      <c r="BW55" s="706" t="s">
        <v>8</v>
      </c>
      <c r="BX55" s="706" t="s">
        <v>8</v>
      </c>
      <c r="BY55" s="706" t="s">
        <v>8</v>
      </c>
      <c r="BZ55" s="706" t="s">
        <v>8</v>
      </c>
      <c r="CA55" s="706" t="s">
        <v>8</v>
      </c>
      <c r="CB55" s="706" t="s">
        <v>8</v>
      </c>
      <c r="CC55" s="739" t="s">
        <v>8</v>
      </c>
      <c r="CD55" s="706" t="s">
        <v>8</v>
      </c>
      <c r="CE55" s="711" t="str">
        <f t="shared" si="8"/>
        <v>×</v>
      </c>
      <c r="CF55" s="706" t="s">
        <v>8</v>
      </c>
      <c r="CG55" s="712" t="str">
        <f t="shared" si="9"/>
        <v>×</v>
      </c>
      <c r="CH55" s="1138"/>
      <c r="CI55" s="2"/>
      <c r="CJ55" s="2"/>
      <c r="CK55" s="2"/>
      <c r="CL55" s="2"/>
      <c r="CM55" s="323"/>
      <c r="CN55" s="2"/>
      <c r="CO55" s="2"/>
      <c r="CP55" s="2"/>
      <c r="CQ55" s="267" t="s">
        <v>8</v>
      </c>
      <c r="CR55" s="32" t="s">
        <v>8</v>
      </c>
      <c r="CS55" s="32" t="s">
        <v>8</v>
      </c>
      <c r="CT55" s="243" t="s">
        <v>8</v>
      </c>
      <c r="CU55" s="35" t="s">
        <v>8</v>
      </c>
      <c r="CV55" s="32" t="s">
        <v>8</v>
      </c>
      <c r="CW55" s="284" t="s">
        <v>8</v>
      </c>
      <c r="CX55" s="243" t="s">
        <v>8</v>
      </c>
    </row>
    <row r="56" spans="1:102">
      <c r="A56" s="1076"/>
      <c r="B56" s="1079"/>
      <c r="C56" s="1055"/>
      <c r="D56" s="1059"/>
      <c r="E56" s="713" t="s">
        <v>9</v>
      </c>
      <c r="F56" s="51" t="s">
        <v>8</v>
      </c>
      <c r="G56" s="34" t="s">
        <v>8</v>
      </c>
      <c r="H56" s="34" t="s">
        <v>8</v>
      </c>
      <c r="I56" s="1003" t="s">
        <v>8</v>
      </c>
      <c r="J56" s="997" t="s">
        <v>8</v>
      </c>
      <c r="K56" s="997" t="s">
        <v>8</v>
      </c>
      <c r="L56" s="34" t="s">
        <v>8</v>
      </c>
      <c r="M56" s="34" t="s">
        <v>8</v>
      </c>
      <c r="N56" s="34" t="s">
        <v>8</v>
      </c>
      <c r="O56" s="34" t="s">
        <v>8</v>
      </c>
      <c r="P56" s="34" t="s">
        <v>8</v>
      </c>
      <c r="Q56" s="34" t="s">
        <v>8</v>
      </c>
      <c r="R56" s="34" t="s">
        <v>8</v>
      </c>
      <c r="S56" s="709" t="s">
        <v>8</v>
      </c>
      <c r="T56" s="709" t="s">
        <v>8</v>
      </c>
      <c r="U56" s="709" t="s">
        <v>8</v>
      </c>
      <c r="V56" s="709" t="s">
        <v>8</v>
      </c>
      <c r="W56" s="51" t="s">
        <v>8</v>
      </c>
      <c r="X56" s="34" t="s">
        <v>8</v>
      </c>
      <c r="Y56" s="34" t="s">
        <v>8</v>
      </c>
      <c r="Z56" s="710" t="s">
        <v>8</v>
      </c>
      <c r="AA56" s="710" t="s">
        <v>8</v>
      </c>
      <c r="AB56" s="710" t="s">
        <v>8</v>
      </c>
      <c r="AC56" s="51" t="s">
        <v>8</v>
      </c>
      <c r="AD56" s="34" t="s">
        <v>8</v>
      </c>
      <c r="AE56" s="34" t="s">
        <v>8</v>
      </c>
      <c r="AF56" s="42" t="s">
        <v>8</v>
      </c>
      <c r="AG56" s="42" t="s">
        <v>8</v>
      </c>
      <c r="AH56" s="190" t="s">
        <v>1</v>
      </c>
      <c r="AI56" s="190" t="s">
        <v>1</v>
      </c>
      <c r="AJ56" s="42" t="s">
        <v>8</v>
      </c>
      <c r="AK56" s="42" t="s">
        <v>8</v>
      </c>
      <c r="AL56" s="42" t="s">
        <v>8</v>
      </c>
      <c r="AM56" s="710" t="s">
        <v>8</v>
      </c>
      <c r="AN56" s="710" t="s">
        <v>8</v>
      </c>
      <c r="AO56" s="710" t="s">
        <v>8</v>
      </c>
      <c r="AP56" s="42" t="s">
        <v>8</v>
      </c>
      <c r="AQ56" s="42" t="s">
        <v>8</v>
      </c>
      <c r="AR56" s="42" t="s">
        <v>8</v>
      </c>
      <c r="AS56" s="33" t="s">
        <v>10</v>
      </c>
      <c r="AT56" s="33" t="s">
        <v>10</v>
      </c>
      <c r="AU56" s="33" t="s">
        <v>10</v>
      </c>
      <c r="AV56" s="739" t="s">
        <v>8</v>
      </c>
      <c r="AW56" s="43" t="s">
        <v>8</v>
      </c>
      <c r="AX56" s="43" t="s">
        <v>8</v>
      </c>
      <c r="AY56" s="43" t="s">
        <v>8</v>
      </c>
      <c r="AZ56" s="43" t="s">
        <v>8</v>
      </c>
      <c r="BA56" s="43" t="s">
        <v>8</v>
      </c>
      <c r="BB56" s="33" t="s">
        <v>10</v>
      </c>
      <c r="BC56" s="43" t="s">
        <v>8</v>
      </c>
      <c r="BD56" s="739" t="s">
        <v>8</v>
      </c>
      <c r="BE56" s="43" t="s">
        <v>8</v>
      </c>
      <c r="BF56" s="43" t="str">
        <f t="shared" si="10"/>
        <v>×</v>
      </c>
      <c r="BG56" s="43" t="s">
        <v>8</v>
      </c>
      <c r="BH56" s="739" t="s">
        <v>8</v>
      </c>
      <c r="BI56" s="739" t="s">
        <v>8</v>
      </c>
      <c r="BJ56" s="43" t="s">
        <v>8</v>
      </c>
      <c r="BK56" s="43" t="s">
        <v>8</v>
      </c>
      <c r="BL56" s="43" t="s">
        <v>8</v>
      </c>
      <c r="BM56" s="34" t="s">
        <v>8</v>
      </c>
      <c r="BN56" s="34"/>
      <c r="BO56" s="360" t="s">
        <v>8</v>
      </c>
      <c r="BP56" s="34" t="str">
        <f t="shared" si="7"/>
        <v>×</v>
      </c>
      <c r="BQ56" s="739" t="s">
        <v>8</v>
      </c>
      <c r="BR56" s="739" t="s">
        <v>8</v>
      </c>
      <c r="BS56" s="739" t="s">
        <v>8</v>
      </c>
      <c r="BT56" s="739" t="s">
        <v>8</v>
      </c>
      <c r="BU56" s="43" t="s">
        <v>8</v>
      </c>
      <c r="BV56" s="43" t="s">
        <v>8</v>
      </c>
      <c r="BW56" s="43" t="s">
        <v>8</v>
      </c>
      <c r="BX56" s="360" t="s">
        <v>8</v>
      </c>
      <c r="BY56" s="34" t="s">
        <v>8</v>
      </c>
      <c r="BZ56" s="34" t="s">
        <v>8</v>
      </c>
      <c r="CA56" s="34" t="s">
        <v>8</v>
      </c>
      <c r="CB56" s="34" t="s">
        <v>8</v>
      </c>
      <c r="CC56" s="739" t="s">
        <v>8</v>
      </c>
      <c r="CD56" s="43" t="s">
        <v>8</v>
      </c>
      <c r="CE56" s="49" t="str">
        <f t="shared" si="8"/>
        <v>×</v>
      </c>
      <c r="CF56" s="34" t="s">
        <v>8</v>
      </c>
      <c r="CG56" s="479" t="str">
        <f t="shared" si="9"/>
        <v>×</v>
      </c>
      <c r="CH56" s="1138"/>
      <c r="CI56" s="2"/>
      <c r="CJ56" s="2"/>
      <c r="CK56" s="2"/>
      <c r="CL56" s="2"/>
      <c r="CM56" s="323"/>
      <c r="CN56" s="2"/>
      <c r="CO56" s="2"/>
      <c r="CP56" s="2"/>
      <c r="CQ56" s="462" t="s">
        <v>8</v>
      </c>
      <c r="CR56" s="360" t="s">
        <v>8</v>
      </c>
      <c r="CS56" s="360" t="s">
        <v>8</v>
      </c>
      <c r="CT56" s="463" t="s">
        <v>8</v>
      </c>
      <c r="CU56" s="362" t="s">
        <v>8</v>
      </c>
      <c r="CV56" s="360" t="s">
        <v>8</v>
      </c>
      <c r="CW56" s="363" t="s">
        <v>8</v>
      </c>
      <c r="CX56" s="463" t="s">
        <v>8</v>
      </c>
    </row>
    <row r="57" spans="1:102">
      <c r="A57" s="1076"/>
      <c r="B57" s="1089" t="s">
        <v>124</v>
      </c>
      <c r="C57" s="1056">
        <v>88.9</v>
      </c>
      <c r="D57" s="1056">
        <v>127</v>
      </c>
      <c r="E57" s="460" t="s">
        <v>7</v>
      </c>
      <c r="F57" s="362" t="s">
        <v>8</v>
      </c>
      <c r="G57" s="360" t="s">
        <v>8</v>
      </c>
      <c r="H57" s="360" t="s">
        <v>8</v>
      </c>
      <c r="I57" s="708" t="s">
        <v>8</v>
      </c>
      <c r="J57" s="706" t="s">
        <v>8</v>
      </c>
      <c r="K57" s="706" t="s">
        <v>8</v>
      </c>
      <c r="L57" s="360" t="s">
        <v>8</v>
      </c>
      <c r="M57" s="360" t="s">
        <v>8</v>
      </c>
      <c r="N57" s="360" t="s">
        <v>8</v>
      </c>
      <c r="O57" s="360" t="s">
        <v>8</v>
      </c>
      <c r="P57" s="360" t="s">
        <v>8</v>
      </c>
      <c r="Q57" s="706" t="s">
        <v>8</v>
      </c>
      <c r="R57" s="706" t="s">
        <v>8</v>
      </c>
      <c r="S57" s="709" t="s">
        <v>8</v>
      </c>
      <c r="T57" s="709" t="s">
        <v>8</v>
      </c>
      <c r="U57" s="709" t="s">
        <v>8</v>
      </c>
      <c r="V57" s="709" t="s">
        <v>8</v>
      </c>
      <c r="W57" s="362" t="s">
        <v>8</v>
      </c>
      <c r="X57" s="360" t="s">
        <v>8</v>
      </c>
      <c r="Y57" s="360" t="s">
        <v>8</v>
      </c>
      <c r="Z57" s="710" t="s">
        <v>8</v>
      </c>
      <c r="AA57" s="710" t="s">
        <v>8</v>
      </c>
      <c r="AB57" s="710" t="s">
        <v>8</v>
      </c>
      <c r="AC57" s="362" t="s">
        <v>8</v>
      </c>
      <c r="AD57" s="360" t="s">
        <v>8</v>
      </c>
      <c r="AE57" s="360" t="s">
        <v>8</v>
      </c>
      <c r="AF57" s="364" t="s">
        <v>8</v>
      </c>
      <c r="AG57" s="364" t="s">
        <v>8</v>
      </c>
      <c r="AH57" s="364" t="s">
        <v>8</v>
      </c>
      <c r="AI57" s="364" t="s">
        <v>8</v>
      </c>
      <c r="AJ57" s="364" t="s">
        <v>8</v>
      </c>
      <c r="AK57" s="364" t="s">
        <v>8</v>
      </c>
      <c r="AL57" s="364" t="s">
        <v>8</v>
      </c>
      <c r="AM57" s="710" t="s">
        <v>8</v>
      </c>
      <c r="AN57" s="710" t="s">
        <v>8</v>
      </c>
      <c r="AO57" s="710" t="s">
        <v>8</v>
      </c>
      <c r="AP57" s="364" t="s">
        <v>8</v>
      </c>
      <c r="AQ57" s="364" t="s">
        <v>8</v>
      </c>
      <c r="AR57" s="364" t="s">
        <v>8</v>
      </c>
      <c r="AS57" s="364" t="s">
        <v>8</v>
      </c>
      <c r="AT57" s="364" t="s">
        <v>8</v>
      </c>
      <c r="AU57" s="364" t="s">
        <v>8</v>
      </c>
      <c r="AV57" s="739" t="s">
        <v>8</v>
      </c>
      <c r="AW57" s="706" t="s">
        <v>8</v>
      </c>
      <c r="AX57" s="706" t="s">
        <v>8</v>
      </c>
      <c r="AY57" s="706" t="s">
        <v>8</v>
      </c>
      <c r="AZ57" s="706" t="s">
        <v>8</v>
      </c>
      <c r="BA57" s="706" t="s">
        <v>8</v>
      </c>
      <c r="BB57" s="706" t="s">
        <v>8</v>
      </c>
      <c r="BC57" s="706" t="s">
        <v>8</v>
      </c>
      <c r="BD57" s="739" t="s">
        <v>8</v>
      </c>
      <c r="BE57" s="706" t="s">
        <v>8</v>
      </c>
      <c r="BF57" s="706" t="str">
        <f t="shared" si="10"/>
        <v>×</v>
      </c>
      <c r="BG57" s="706" t="s">
        <v>8</v>
      </c>
      <c r="BH57" s="739" t="s">
        <v>8</v>
      </c>
      <c r="BI57" s="739" t="s">
        <v>8</v>
      </c>
      <c r="BJ57" s="706" t="s">
        <v>8</v>
      </c>
      <c r="BK57" s="706" t="s">
        <v>8</v>
      </c>
      <c r="BL57" s="706" t="s">
        <v>8</v>
      </c>
      <c r="BM57" s="706" t="s">
        <v>8</v>
      </c>
      <c r="BN57" s="706"/>
      <c r="BO57" s="360" t="s">
        <v>8</v>
      </c>
      <c r="BP57" s="706" t="str">
        <f t="shared" si="7"/>
        <v>×</v>
      </c>
      <c r="BQ57" s="739" t="s">
        <v>8</v>
      </c>
      <c r="BR57" s="739" t="s">
        <v>8</v>
      </c>
      <c r="BS57" s="739" t="s">
        <v>8</v>
      </c>
      <c r="BT57" s="739" t="s">
        <v>8</v>
      </c>
      <c r="BU57" s="706" t="s">
        <v>8</v>
      </c>
      <c r="BV57" s="706" t="s">
        <v>8</v>
      </c>
      <c r="BW57" s="706" t="s">
        <v>8</v>
      </c>
      <c r="BX57" s="706" t="s">
        <v>8</v>
      </c>
      <c r="BY57" s="706" t="s">
        <v>8</v>
      </c>
      <c r="BZ57" s="706" t="s">
        <v>8</v>
      </c>
      <c r="CA57" s="706" t="s">
        <v>8</v>
      </c>
      <c r="CB57" s="706" t="s">
        <v>8</v>
      </c>
      <c r="CC57" s="739" t="s">
        <v>8</v>
      </c>
      <c r="CD57" s="706" t="s">
        <v>8</v>
      </c>
      <c r="CE57" s="370" t="str">
        <f t="shared" si="8"/>
        <v>×</v>
      </c>
      <c r="CF57" s="360" t="s">
        <v>8</v>
      </c>
      <c r="CG57" s="373" t="str">
        <f t="shared" si="9"/>
        <v>×</v>
      </c>
      <c r="CH57" s="1138"/>
      <c r="CI57" s="2"/>
      <c r="CJ57" s="2"/>
      <c r="CK57" s="2"/>
      <c r="CL57" s="2"/>
      <c r="CM57" s="323"/>
      <c r="CN57" s="2"/>
      <c r="CO57" s="2"/>
      <c r="CP57" s="2"/>
      <c r="CQ57" s="462" t="s">
        <v>8</v>
      </c>
      <c r="CR57" s="360" t="s">
        <v>8</v>
      </c>
      <c r="CS57" s="360" t="s">
        <v>8</v>
      </c>
      <c r="CT57" s="463" t="s">
        <v>8</v>
      </c>
      <c r="CU57" s="362" t="s">
        <v>8</v>
      </c>
      <c r="CV57" s="360" t="s">
        <v>8</v>
      </c>
      <c r="CW57" s="363" t="s">
        <v>8</v>
      </c>
      <c r="CX57" s="463" t="s">
        <v>8</v>
      </c>
    </row>
    <row r="58" spans="1:102">
      <c r="A58" s="1076"/>
      <c r="B58" s="1100"/>
      <c r="C58" s="1057"/>
      <c r="D58" s="1057"/>
      <c r="E58" s="460" t="s">
        <v>9</v>
      </c>
      <c r="F58" s="362" t="s">
        <v>8</v>
      </c>
      <c r="G58" s="360" t="s">
        <v>8</v>
      </c>
      <c r="H58" s="360" t="s">
        <v>8</v>
      </c>
      <c r="I58" s="708" t="s">
        <v>8</v>
      </c>
      <c r="J58" s="706" t="s">
        <v>8</v>
      </c>
      <c r="K58" s="706" t="s">
        <v>8</v>
      </c>
      <c r="L58" s="360" t="s">
        <v>8</v>
      </c>
      <c r="M58" s="360" t="s">
        <v>8</v>
      </c>
      <c r="N58" s="360" t="s">
        <v>8</v>
      </c>
      <c r="O58" s="360" t="s">
        <v>8</v>
      </c>
      <c r="P58" s="360" t="s">
        <v>8</v>
      </c>
      <c r="Q58" s="706" t="s">
        <v>8</v>
      </c>
      <c r="R58" s="706" t="s">
        <v>8</v>
      </c>
      <c r="S58" s="709" t="s">
        <v>8</v>
      </c>
      <c r="T58" s="709" t="s">
        <v>8</v>
      </c>
      <c r="U58" s="709" t="s">
        <v>8</v>
      </c>
      <c r="V58" s="709" t="s">
        <v>8</v>
      </c>
      <c r="W58" s="362" t="s">
        <v>8</v>
      </c>
      <c r="X58" s="360" t="s">
        <v>8</v>
      </c>
      <c r="Y58" s="360" t="s">
        <v>8</v>
      </c>
      <c r="Z58" s="710" t="s">
        <v>8</v>
      </c>
      <c r="AA58" s="710" t="s">
        <v>8</v>
      </c>
      <c r="AB58" s="710" t="s">
        <v>8</v>
      </c>
      <c r="AC58" s="362" t="s">
        <v>8</v>
      </c>
      <c r="AD58" s="360" t="s">
        <v>8</v>
      </c>
      <c r="AE58" s="360" t="s">
        <v>8</v>
      </c>
      <c r="AF58" s="360" t="s">
        <v>8</v>
      </c>
      <c r="AG58" s="360" t="s">
        <v>8</v>
      </c>
      <c r="AH58" s="360" t="s">
        <v>8</v>
      </c>
      <c r="AI58" s="360" t="s">
        <v>8</v>
      </c>
      <c r="AJ58" s="360" t="s">
        <v>8</v>
      </c>
      <c r="AK58" s="360" t="s">
        <v>8</v>
      </c>
      <c r="AL58" s="360" t="s">
        <v>8</v>
      </c>
      <c r="AM58" s="710" t="s">
        <v>8</v>
      </c>
      <c r="AN58" s="710" t="s">
        <v>8</v>
      </c>
      <c r="AO58" s="710" t="s">
        <v>8</v>
      </c>
      <c r="AP58" s="360" t="s">
        <v>8</v>
      </c>
      <c r="AQ58" s="360" t="s">
        <v>8</v>
      </c>
      <c r="AR58" s="360" t="s">
        <v>8</v>
      </c>
      <c r="AS58" s="360" t="s">
        <v>8</v>
      </c>
      <c r="AT58" s="360" t="s">
        <v>8</v>
      </c>
      <c r="AU58" s="360" t="s">
        <v>8</v>
      </c>
      <c r="AV58" s="739" t="s">
        <v>8</v>
      </c>
      <c r="AW58" s="706" t="s">
        <v>8</v>
      </c>
      <c r="AX58" s="706" t="s">
        <v>8</v>
      </c>
      <c r="AY58" s="706" t="s">
        <v>8</v>
      </c>
      <c r="AZ58" s="706" t="s">
        <v>8</v>
      </c>
      <c r="BA58" s="706" t="s">
        <v>8</v>
      </c>
      <c r="BB58" s="706" t="s">
        <v>8</v>
      </c>
      <c r="BC58" s="706" t="s">
        <v>8</v>
      </c>
      <c r="BD58" s="739" t="s">
        <v>8</v>
      </c>
      <c r="BE58" s="706" t="s">
        <v>8</v>
      </c>
      <c r="BF58" s="706" t="str">
        <f t="shared" si="10"/>
        <v>×</v>
      </c>
      <c r="BG58" s="706" t="s">
        <v>8</v>
      </c>
      <c r="BH58" s="739" t="s">
        <v>8</v>
      </c>
      <c r="BI58" s="739" t="s">
        <v>8</v>
      </c>
      <c r="BJ58" s="706" t="s">
        <v>8</v>
      </c>
      <c r="BK58" s="706" t="s">
        <v>8</v>
      </c>
      <c r="BL58" s="706" t="s">
        <v>8</v>
      </c>
      <c r="BM58" s="706" t="s">
        <v>8</v>
      </c>
      <c r="BN58" s="706"/>
      <c r="BO58" s="360" t="s">
        <v>8</v>
      </c>
      <c r="BP58" s="706" t="str">
        <f t="shared" si="7"/>
        <v>×</v>
      </c>
      <c r="BQ58" s="739" t="s">
        <v>8</v>
      </c>
      <c r="BR58" s="739" t="s">
        <v>8</v>
      </c>
      <c r="BS58" s="739" t="s">
        <v>8</v>
      </c>
      <c r="BT58" s="739" t="s">
        <v>8</v>
      </c>
      <c r="BU58" s="706" t="s">
        <v>8</v>
      </c>
      <c r="BV58" s="706" t="s">
        <v>8</v>
      </c>
      <c r="BW58" s="706" t="s">
        <v>8</v>
      </c>
      <c r="BX58" s="706" t="s">
        <v>8</v>
      </c>
      <c r="BY58" s="706" t="s">
        <v>8</v>
      </c>
      <c r="BZ58" s="706" t="s">
        <v>8</v>
      </c>
      <c r="CA58" s="706" t="s">
        <v>8</v>
      </c>
      <c r="CB58" s="706" t="s">
        <v>8</v>
      </c>
      <c r="CC58" s="739" t="s">
        <v>8</v>
      </c>
      <c r="CD58" s="706" t="s">
        <v>8</v>
      </c>
      <c r="CE58" s="370" t="str">
        <f t="shared" si="8"/>
        <v>×</v>
      </c>
      <c r="CF58" s="360" t="s">
        <v>8</v>
      </c>
      <c r="CG58" s="373" t="str">
        <f t="shared" si="9"/>
        <v>×</v>
      </c>
      <c r="CH58" s="1138"/>
      <c r="CI58" s="2"/>
      <c r="CJ58" s="2"/>
      <c r="CK58" s="2"/>
      <c r="CL58" s="2"/>
      <c r="CM58" s="323"/>
      <c r="CN58" s="2"/>
      <c r="CO58" s="2"/>
      <c r="CP58" s="2"/>
      <c r="CQ58" s="462" t="s">
        <v>8</v>
      </c>
      <c r="CR58" s="360" t="s">
        <v>8</v>
      </c>
      <c r="CS58" s="360" t="s">
        <v>8</v>
      </c>
      <c r="CT58" s="463" t="s">
        <v>8</v>
      </c>
      <c r="CU58" s="362" t="s">
        <v>8</v>
      </c>
      <c r="CV58" s="360" t="s">
        <v>8</v>
      </c>
      <c r="CW58" s="363" t="s">
        <v>8</v>
      </c>
      <c r="CX58" s="463" t="s">
        <v>8</v>
      </c>
    </row>
    <row r="59" spans="1:102">
      <c r="A59" s="1076"/>
      <c r="B59" s="1089" t="s">
        <v>125</v>
      </c>
      <c r="C59" s="1056">
        <v>88.9</v>
      </c>
      <c r="D59" s="1056">
        <v>139.69999999999999</v>
      </c>
      <c r="E59" s="460" t="s">
        <v>7</v>
      </c>
      <c r="F59" s="362" t="s">
        <v>8</v>
      </c>
      <c r="G59" s="360" t="s">
        <v>8</v>
      </c>
      <c r="H59" s="360" t="s">
        <v>8</v>
      </c>
      <c r="I59" s="708" t="s">
        <v>8</v>
      </c>
      <c r="J59" s="706" t="s">
        <v>8</v>
      </c>
      <c r="K59" s="706" t="s">
        <v>8</v>
      </c>
      <c r="L59" s="360" t="s">
        <v>8</v>
      </c>
      <c r="M59" s="360" t="s">
        <v>8</v>
      </c>
      <c r="N59" s="360" t="s">
        <v>8</v>
      </c>
      <c r="O59" s="360" t="s">
        <v>8</v>
      </c>
      <c r="P59" s="360" t="s">
        <v>8</v>
      </c>
      <c r="Q59" s="706" t="s">
        <v>8</v>
      </c>
      <c r="R59" s="706" t="s">
        <v>8</v>
      </c>
      <c r="S59" s="709" t="s">
        <v>8</v>
      </c>
      <c r="T59" s="709" t="s">
        <v>8</v>
      </c>
      <c r="U59" s="709" t="s">
        <v>8</v>
      </c>
      <c r="V59" s="709" t="s">
        <v>8</v>
      </c>
      <c r="W59" s="362" t="s">
        <v>8</v>
      </c>
      <c r="X59" s="360" t="s">
        <v>8</v>
      </c>
      <c r="Y59" s="360" t="s">
        <v>8</v>
      </c>
      <c r="Z59" s="710" t="s">
        <v>8</v>
      </c>
      <c r="AA59" s="710" t="s">
        <v>8</v>
      </c>
      <c r="AB59" s="710" t="s">
        <v>8</v>
      </c>
      <c r="AC59" s="362" t="s">
        <v>8</v>
      </c>
      <c r="AD59" s="360" t="s">
        <v>8</v>
      </c>
      <c r="AE59" s="360" t="s">
        <v>8</v>
      </c>
      <c r="AF59" s="364" t="s">
        <v>8</v>
      </c>
      <c r="AG59" s="364" t="s">
        <v>8</v>
      </c>
      <c r="AH59" s="364" t="s">
        <v>8</v>
      </c>
      <c r="AI59" s="364" t="s">
        <v>8</v>
      </c>
      <c r="AJ59" s="364" t="s">
        <v>8</v>
      </c>
      <c r="AK59" s="364" t="s">
        <v>8</v>
      </c>
      <c r="AL59" s="364" t="s">
        <v>8</v>
      </c>
      <c r="AM59" s="710" t="s">
        <v>8</v>
      </c>
      <c r="AN59" s="710" t="s">
        <v>8</v>
      </c>
      <c r="AO59" s="710" t="s">
        <v>8</v>
      </c>
      <c r="AP59" s="364" t="s">
        <v>8</v>
      </c>
      <c r="AQ59" s="364" t="s">
        <v>8</v>
      </c>
      <c r="AR59" s="364" t="s">
        <v>8</v>
      </c>
      <c r="AS59" s="364" t="s">
        <v>8</v>
      </c>
      <c r="AT59" s="364" t="s">
        <v>8</v>
      </c>
      <c r="AU59" s="364" t="s">
        <v>8</v>
      </c>
      <c r="AV59" s="739" t="s">
        <v>8</v>
      </c>
      <c r="AW59" s="741" t="s">
        <v>8</v>
      </c>
      <c r="AX59" s="741" t="s">
        <v>8</v>
      </c>
      <c r="AY59" s="741" t="s">
        <v>8</v>
      </c>
      <c r="AZ59" s="741" t="s">
        <v>8</v>
      </c>
      <c r="BA59" s="741" t="s">
        <v>8</v>
      </c>
      <c r="BB59" s="741" t="s">
        <v>8</v>
      </c>
      <c r="BC59" s="741" t="s">
        <v>8</v>
      </c>
      <c r="BD59" s="739" t="s">
        <v>8</v>
      </c>
      <c r="BE59" s="741" t="s">
        <v>8</v>
      </c>
      <c r="BF59" s="741" t="str">
        <f t="shared" si="10"/>
        <v>×</v>
      </c>
      <c r="BG59" s="706" t="s">
        <v>8</v>
      </c>
      <c r="BH59" s="739" t="s">
        <v>8</v>
      </c>
      <c r="BI59" s="739" t="s">
        <v>8</v>
      </c>
      <c r="BJ59" s="706" t="s">
        <v>8</v>
      </c>
      <c r="BK59" s="706" t="s">
        <v>8</v>
      </c>
      <c r="BL59" s="706" t="s">
        <v>8</v>
      </c>
      <c r="BM59" s="706" t="s">
        <v>8</v>
      </c>
      <c r="BN59" s="706"/>
      <c r="BO59" s="360" t="s">
        <v>8</v>
      </c>
      <c r="BP59" s="706" t="str">
        <f t="shared" si="7"/>
        <v>×</v>
      </c>
      <c r="BQ59" s="739" t="s">
        <v>8</v>
      </c>
      <c r="BR59" s="739" t="s">
        <v>8</v>
      </c>
      <c r="BS59" s="739" t="s">
        <v>8</v>
      </c>
      <c r="BT59" s="739" t="s">
        <v>8</v>
      </c>
      <c r="BU59" s="706" t="s">
        <v>8</v>
      </c>
      <c r="BV59" s="706" t="s">
        <v>8</v>
      </c>
      <c r="BW59" s="706" t="s">
        <v>8</v>
      </c>
      <c r="BX59" s="706" t="s">
        <v>8</v>
      </c>
      <c r="BY59" s="706" t="s">
        <v>8</v>
      </c>
      <c r="BZ59" s="706" t="s">
        <v>8</v>
      </c>
      <c r="CA59" s="706" t="s">
        <v>8</v>
      </c>
      <c r="CB59" s="706" t="s">
        <v>8</v>
      </c>
      <c r="CC59" s="739" t="s">
        <v>8</v>
      </c>
      <c r="CD59" s="706" t="s">
        <v>8</v>
      </c>
      <c r="CE59" s="370" t="str">
        <f t="shared" si="8"/>
        <v>×</v>
      </c>
      <c r="CF59" s="360" t="s">
        <v>8</v>
      </c>
      <c r="CG59" s="373" t="str">
        <f t="shared" si="9"/>
        <v>×</v>
      </c>
      <c r="CH59" s="1138"/>
      <c r="CI59" s="2"/>
      <c r="CJ59" s="2"/>
      <c r="CK59" s="2"/>
      <c r="CL59" s="2"/>
      <c r="CM59" s="323"/>
      <c r="CN59" s="2"/>
      <c r="CO59" s="2"/>
      <c r="CP59" s="2"/>
      <c r="CQ59" s="462" t="s">
        <v>8</v>
      </c>
      <c r="CR59" s="360" t="s">
        <v>8</v>
      </c>
      <c r="CS59" s="360" t="s">
        <v>8</v>
      </c>
      <c r="CT59" s="463" t="s">
        <v>8</v>
      </c>
      <c r="CU59" s="362" t="s">
        <v>8</v>
      </c>
      <c r="CV59" s="360" t="s">
        <v>8</v>
      </c>
      <c r="CW59" s="363" t="s">
        <v>8</v>
      </c>
      <c r="CX59" s="463" t="s">
        <v>8</v>
      </c>
    </row>
    <row r="60" spans="1:102">
      <c r="A60" s="1076"/>
      <c r="B60" s="1100"/>
      <c r="C60" s="1057"/>
      <c r="D60" s="1057"/>
      <c r="E60" s="460" t="s">
        <v>9</v>
      </c>
      <c r="F60" s="362" t="s">
        <v>8</v>
      </c>
      <c r="G60" s="360" t="s">
        <v>8</v>
      </c>
      <c r="H60" s="360" t="s">
        <v>8</v>
      </c>
      <c r="I60" s="708" t="s">
        <v>8</v>
      </c>
      <c r="J60" s="706" t="s">
        <v>8</v>
      </c>
      <c r="K60" s="706" t="s">
        <v>8</v>
      </c>
      <c r="L60" s="360" t="s">
        <v>8</v>
      </c>
      <c r="M60" s="360" t="s">
        <v>8</v>
      </c>
      <c r="N60" s="360" t="s">
        <v>8</v>
      </c>
      <c r="O60" s="360" t="s">
        <v>8</v>
      </c>
      <c r="P60" s="360" t="s">
        <v>8</v>
      </c>
      <c r="Q60" s="706" t="s">
        <v>8</v>
      </c>
      <c r="R60" s="706" t="s">
        <v>8</v>
      </c>
      <c r="S60" s="709" t="s">
        <v>8</v>
      </c>
      <c r="T60" s="709" t="s">
        <v>8</v>
      </c>
      <c r="U60" s="709" t="s">
        <v>8</v>
      </c>
      <c r="V60" s="709" t="s">
        <v>8</v>
      </c>
      <c r="W60" s="362" t="s">
        <v>8</v>
      </c>
      <c r="X60" s="360" t="s">
        <v>8</v>
      </c>
      <c r="Y60" s="360" t="s">
        <v>8</v>
      </c>
      <c r="Z60" s="710" t="s">
        <v>8</v>
      </c>
      <c r="AA60" s="710" t="s">
        <v>8</v>
      </c>
      <c r="AB60" s="710" t="s">
        <v>8</v>
      </c>
      <c r="AC60" s="362" t="s">
        <v>8</v>
      </c>
      <c r="AD60" s="360" t="s">
        <v>8</v>
      </c>
      <c r="AE60" s="360" t="s">
        <v>8</v>
      </c>
      <c r="AF60" s="360" t="s">
        <v>8</v>
      </c>
      <c r="AG60" s="360" t="s">
        <v>8</v>
      </c>
      <c r="AH60" s="360" t="s">
        <v>8</v>
      </c>
      <c r="AI60" s="360" t="s">
        <v>8</v>
      </c>
      <c r="AJ60" s="360" t="s">
        <v>8</v>
      </c>
      <c r="AK60" s="360" t="s">
        <v>8</v>
      </c>
      <c r="AL60" s="360" t="s">
        <v>8</v>
      </c>
      <c r="AM60" s="710" t="s">
        <v>8</v>
      </c>
      <c r="AN60" s="710" t="s">
        <v>8</v>
      </c>
      <c r="AO60" s="710" t="s">
        <v>8</v>
      </c>
      <c r="AP60" s="360" t="s">
        <v>8</v>
      </c>
      <c r="AQ60" s="360" t="s">
        <v>8</v>
      </c>
      <c r="AR60" s="360" t="s">
        <v>8</v>
      </c>
      <c r="AS60" s="360" t="s">
        <v>8</v>
      </c>
      <c r="AT60" s="360" t="s">
        <v>8</v>
      </c>
      <c r="AU60" s="360" t="s">
        <v>8</v>
      </c>
      <c r="AV60" s="739" t="s">
        <v>8</v>
      </c>
      <c r="AW60" s="706" t="s">
        <v>8</v>
      </c>
      <c r="AX60" s="706" t="s">
        <v>8</v>
      </c>
      <c r="AY60" s="706" t="s">
        <v>8</v>
      </c>
      <c r="AZ60" s="706" t="s">
        <v>8</v>
      </c>
      <c r="BA60" s="706" t="s">
        <v>8</v>
      </c>
      <c r="BB60" s="706" t="s">
        <v>8</v>
      </c>
      <c r="BC60" s="706" t="s">
        <v>8</v>
      </c>
      <c r="BD60" s="739" t="s">
        <v>8</v>
      </c>
      <c r="BE60" s="706" t="s">
        <v>8</v>
      </c>
      <c r="BF60" s="706" t="str">
        <f t="shared" si="10"/>
        <v>×</v>
      </c>
      <c r="BG60" s="706" t="s">
        <v>8</v>
      </c>
      <c r="BH60" s="739" t="s">
        <v>8</v>
      </c>
      <c r="BI60" s="739" t="s">
        <v>8</v>
      </c>
      <c r="BJ60" s="706" t="s">
        <v>8</v>
      </c>
      <c r="BK60" s="706" t="s">
        <v>8</v>
      </c>
      <c r="BL60" s="706" t="s">
        <v>8</v>
      </c>
      <c r="BM60" s="706" t="s">
        <v>8</v>
      </c>
      <c r="BN60" s="706"/>
      <c r="BO60" s="360" t="s">
        <v>8</v>
      </c>
      <c r="BP60" s="706" t="str">
        <f t="shared" si="7"/>
        <v>×</v>
      </c>
      <c r="BQ60" s="739" t="s">
        <v>8</v>
      </c>
      <c r="BR60" s="739" t="s">
        <v>8</v>
      </c>
      <c r="BS60" s="739" t="s">
        <v>8</v>
      </c>
      <c r="BT60" s="739" t="s">
        <v>8</v>
      </c>
      <c r="BU60" s="706" t="s">
        <v>8</v>
      </c>
      <c r="BV60" s="706" t="s">
        <v>8</v>
      </c>
      <c r="BW60" s="706" t="s">
        <v>8</v>
      </c>
      <c r="BX60" s="706" t="s">
        <v>8</v>
      </c>
      <c r="BY60" s="706" t="s">
        <v>8</v>
      </c>
      <c r="BZ60" s="706" t="s">
        <v>8</v>
      </c>
      <c r="CA60" s="706" t="s">
        <v>8</v>
      </c>
      <c r="CB60" s="706" t="s">
        <v>8</v>
      </c>
      <c r="CC60" s="739" t="s">
        <v>8</v>
      </c>
      <c r="CD60" s="706" t="s">
        <v>8</v>
      </c>
      <c r="CE60" s="370" t="str">
        <f t="shared" si="8"/>
        <v>×</v>
      </c>
      <c r="CF60" s="360" t="s">
        <v>8</v>
      </c>
      <c r="CG60" s="373" t="str">
        <f t="shared" si="9"/>
        <v>×</v>
      </c>
      <c r="CH60" s="1138"/>
      <c r="CI60" s="2"/>
      <c r="CJ60" s="2"/>
      <c r="CK60" s="2"/>
      <c r="CL60" s="2"/>
      <c r="CM60" s="323"/>
      <c r="CN60" s="2"/>
      <c r="CO60" s="2"/>
      <c r="CP60" s="2"/>
      <c r="CQ60" s="462" t="s">
        <v>8</v>
      </c>
      <c r="CR60" s="360" t="s">
        <v>8</v>
      </c>
      <c r="CS60" s="360" t="s">
        <v>8</v>
      </c>
      <c r="CT60" s="463" t="s">
        <v>8</v>
      </c>
      <c r="CU60" s="362" t="s">
        <v>8</v>
      </c>
      <c r="CV60" s="360" t="s">
        <v>8</v>
      </c>
      <c r="CW60" s="363" t="s">
        <v>8</v>
      </c>
      <c r="CX60" s="463" t="s">
        <v>8</v>
      </c>
    </row>
    <row r="61" spans="1:102">
      <c r="A61" s="1076"/>
      <c r="B61" s="1078" t="s">
        <v>126</v>
      </c>
      <c r="C61" s="1054">
        <v>101.6</v>
      </c>
      <c r="D61" s="1054">
        <v>152.4</v>
      </c>
      <c r="E61" s="713" t="s">
        <v>7</v>
      </c>
      <c r="F61" s="51" t="s">
        <v>8</v>
      </c>
      <c r="G61" s="34" t="s">
        <v>8</v>
      </c>
      <c r="H61" s="34" t="s">
        <v>8</v>
      </c>
      <c r="I61" s="1003" t="s">
        <v>8</v>
      </c>
      <c r="J61" s="997" t="s">
        <v>8</v>
      </c>
      <c r="K61" s="997" t="s">
        <v>8</v>
      </c>
      <c r="L61" s="34" t="s">
        <v>8</v>
      </c>
      <c r="M61" s="34" t="s">
        <v>8</v>
      </c>
      <c r="N61" s="34" t="s">
        <v>8</v>
      </c>
      <c r="O61" s="34" t="s">
        <v>8</v>
      </c>
      <c r="P61" s="34" t="s">
        <v>8</v>
      </c>
      <c r="Q61" s="34" t="s">
        <v>8</v>
      </c>
      <c r="R61" s="34" t="s">
        <v>8</v>
      </c>
      <c r="S61" s="709" t="s">
        <v>8</v>
      </c>
      <c r="T61" s="709" t="s">
        <v>8</v>
      </c>
      <c r="U61" s="709" t="s">
        <v>8</v>
      </c>
      <c r="V61" s="709" t="s">
        <v>8</v>
      </c>
      <c r="W61" s="51" t="s">
        <v>8</v>
      </c>
      <c r="X61" s="34" t="s">
        <v>8</v>
      </c>
      <c r="Y61" s="34" t="s">
        <v>58</v>
      </c>
      <c r="Z61" s="710" t="s">
        <v>8</v>
      </c>
      <c r="AA61" s="710" t="s">
        <v>8</v>
      </c>
      <c r="AB61" s="710" t="s">
        <v>8</v>
      </c>
      <c r="AC61" s="51" t="s">
        <v>8</v>
      </c>
      <c r="AD61" s="34" t="s">
        <v>8</v>
      </c>
      <c r="AE61" s="34" t="s">
        <v>8</v>
      </c>
      <c r="AF61" s="34" t="s">
        <v>8</v>
      </c>
      <c r="AG61" s="34" t="s">
        <v>8</v>
      </c>
      <c r="AH61" s="33" t="s">
        <v>1</v>
      </c>
      <c r="AI61" s="33" t="s">
        <v>914</v>
      </c>
      <c r="AJ61" s="42" t="s">
        <v>8</v>
      </c>
      <c r="AK61" s="42" t="s">
        <v>8</v>
      </c>
      <c r="AL61" s="33" t="s">
        <v>914</v>
      </c>
      <c r="AM61" s="710" t="s">
        <v>8</v>
      </c>
      <c r="AN61" s="710" t="s">
        <v>8</v>
      </c>
      <c r="AO61" s="710" t="s">
        <v>8</v>
      </c>
      <c r="AP61" s="34" t="s">
        <v>8</v>
      </c>
      <c r="AQ61" s="34" t="s">
        <v>8</v>
      </c>
      <c r="AR61" s="34" t="s">
        <v>8</v>
      </c>
      <c r="AS61" s="190" t="s">
        <v>1</v>
      </c>
      <c r="AT61" s="190" t="s">
        <v>1</v>
      </c>
      <c r="AU61" s="190" t="s">
        <v>1</v>
      </c>
      <c r="AV61" s="739" t="s">
        <v>8</v>
      </c>
      <c r="AW61" s="34" t="s">
        <v>8</v>
      </c>
      <c r="AX61" s="190" t="s">
        <v>1</v>
      </c>
      <c r="AY61" s="34" t="s">
        <v>8</v>
      </c>
      <c r="AZ61" s="34" t="s">
        <v>8</v>
      </c>
      <c r="BA61" s="34" t="s">
        <v>8</v>
      </c>
      <c r="BB61" s="190" t="s">
        <v>1</v>
      </c>
      <c r="BC61" s="34" t="s">
        <v>8</v>
      </c>
      <c r="BD61" s="739" t="s">
        <v>8</v>
      </c>
      <c r="BE61" s="34" t="s">
        <v>8</v>
      </c>
      <c r="BF61" s="34" t="str">
        <f t="shared" si="10"/>
        <v>×</v>
      </c>
      <c r="BG61" s="34" t="s">
        <v>8</v>
      </c>
      <c r="BH61" s="739" t="s">
        <v>8</v>
      </c>
      <c r="BI61" s="739" t="s">
        <v>8</v>
      </c>
      <c r="BJ61" s="34" t="s">
        <v>8</v>
      </c>
      <c r="BK61" s="34" t="s">
        <v>8</v>
      </c>
      <c r="BL61" s="34" t="s">
        <v>8</v>
      </c>
      <c r="BM61" s="34" t="s">
        <v>8</v>
      </c>
      <c r="BN61" s="34"/>
      <c r="BO61" s="360" t="s">
        <v>8</v>
      </c>
      <c r="BP61" s="34" t="str">
        <f t="shared" si="7"/>
        <v>×</v>
      </c>
      <c r="BQ61" s="739" t="s">
        <v>8</v>
      </c>
      <c r="BR61" s="739" t="s">
        <v>8</v>
      </c>
      <c r="BS61" s="739" t="s">
        <v>8</v>
      </c>
      <c r="BT61" s="739" t="s">
        <v>8</v>
      </c>
      <c r="BU61" s="34" t="s">
        <v>8</v>
      </c>
      <c r="BV61" s="34" t="s">
        <v>8</v>
      </c>
      <c r="BW61" s="34" t="s">
        <v>8</v>
      </c>
      <c r="BX61" s="360" t="s">
        <v>8</v>
      </c>
      <c r="BY61" s="34" t="s">
        <v>8</v>
      </c>
      <c r="BZ61" s="34" t="s">
        <v>8</v>
      </c>
      <c r="CA61" s="34" t="s">
        <v>8</v>
      </c>
      <c r="CB61" s="34" t="s">
        <v>8</v>
      </c>
      <c r="CC61" s="739" t="s">
        <v>8</v>
      </c>
      <c r="CD61" s="34" t="s">
        <v>8</v>
      </c>
      <c r="CE61" s="49" t="str">
        <f t="shared" si="8"/>
        <v>×</v>
      </c>
      <c r="CF61" s="34" t="s">
        <v>8</v>
      </c>
      <c r="CG61" s="479" t="str">
        <f t="shared" si="9"/>
        <v>×</v>
      </c>
      <c r="CH61" s="1138"/>
      <c r="CI61" s="2"/>
      <c r="CJ61" s="2"/>
      <c r="CK61" s="2"/>
      <c r="CL61" s="2"/>
      <c r="CM61" s="323"/>
      <c r="CN61" s="2"/>
      <c r="CO61" s="2"/>
      <c r="CP61" s="2"/>
      <c r="CQ61" s="187" t="s">
        <v>8</v>
      </c>
      <c r="CR61" s="34" t="s">
        <v>8</v>
      </c>
      <c r="CS61" s="34" t="s">
        <v>8</v>
      </c>
      <c r="CT61" s="249" t="s">
        <v>8</v>
      </c>
      <c r="CU61" s="51" t="s">
        <v>8</v>
      </c>
      <c r="CV61" s="34" t="s">
        <v>8</v>
      </c>
      <c r="CW61" s="36" t="s">
        <v>8</v>
      </c>
      <c r="CX61" s="249" t="s">
        <v>8</v>
      </c>
    </row>
    <row r="62" spans="1:102">
      <c r="A62" s="1076"/>
      <c r="B62" s="1079"/>
      <c r="C62" s="1055"/>
      <c r="D62" s="1055"/>
      <c r="E62" s="460" t="s">
        <v>9</v>
      </c>
      <c r="F62" s="362" t="s">
        <v>8</v>
      </c>
      <c r="G62" s="360" t="s">
        <v>8</v>
      </c>
      <c r="H62" s="360" t="s">
        <v>8</v>
      </c>
      <c r="I62" s="708" t="s">
        <v>8</v>
      </c>
      <c r="J62" s="706" t="s">
        <v>8</v>
      </c>
      <c r="K62" s="706" t="s">
        <v>8</v>
      </c>
      <c r="L62" s="360" t="s">
        <v>8</v>
      </c>
      <c r="M62" s="360" t="s">
        <v>8</v>
      </c>
      <c r="N62" s="360" t="s">
        <v>8</v>
      </c>
      <c r="O62" s="360" t="s">
        <v>8</v>
      </c>
      <c r="P62" s="360" t="s">
        <v>8</v>
      </c>
      <c r="Q62" s="706" t="s">
        <v>8</v>
      </c>
      <c r="R62" s="706" t="s">
        <v>8</v>
      </c>
      <c r="S62" s="709" t="s">
        <v>8</v>
      </c>
      <c r="T62" s="709" t="s">
        <v>8</v>
      </c>
      <c r="U62" s="709" t="s">
        <v>8</v>
      </c>
      <c r="V62" s="709" t="s">
        <v>8</v>
      </c>
      <c r="W62" s="362" t="s">
        <v>8</v>
      </c>
      <c r="X62" s="360" t="s">
        <v>8</v>
      </c>
      <c r="Y62" s="360" t="s">
        <v>8</v>
      </c>
      <c r="Z62" s="710" t="s">
        <v>8</v>
      </c>
      <c r="AA62" s="710" t="s">
        <v>8</v>
      </c>
      <c r="AB62" s="710" t="s">
        <v>8</v>
      </c>
      <c r="AC62" s="362" t="s">
        <v>8</v>
      </c>
      <c r="AD62" s="360" t="s">
        <v>8</v>
      </c>
      <c r="AE62" s="360" t="s">
        <v>8</v>
      </c>
      <c r="AF62" s="360" t="s">
        <v>8</v>
      </c>
      <c r="AG62" s="360" t="s">
        <v>8</v>
      </c>
      <c r="AH62" s="360" t="s">
        <v>8</v>
      </c>
      <c r="AI62" s="360" t="s">
        <v>8</v>
      </c>
      <c r="AJ62" s="360" t="s">
        <v>8</v>
      </c>
      <c r="AK62" s="360" t="s">
        <v>8</v>
      </c>
      <c r="AL62" s="360" t="s">
        <v>8</v>
      </c>
      <c r="AM62" s="710" t="s">
        <v>8</v>
      </c>
      <c r="AN62" s="710" t="s">
        <v>8</v>
      </c>
      <c r="AO62" s="710" t="s">
        <v>8</v>
      </c>
      <c r="AP62" s="360" t="s">
        <v>8</v>
      </c>
      <c r="AQ62" s="360" t="s">
        <v>8</v>
      </c>
      <c r="AR62" s="360" t="s">
        <v>8</v>
      </c>
      <c r="AS62" s="360" t="s">
        <v>8</v>
      </c>
      <c r="AT62" s="360" t="s">
        <v>8</v>
      </c>
      <c r="AU62" s="360" t="s">
        <v>8</v>
      </c>
      <c r="AV62" s="739" t="s">
        <v>8</v>
      </c>
      <c r="AW62" s="706" t="s">
        <v>8</v>
      </c>
      <c r="AX62" s="706" t="s">
        <v>8</v>
      </c>
      <c r="AY62" s="706" t="s">
        <v>8</v>
      </c>
      <c r="AZ62" s="706" t="s">
        <v>8</v>
      </c>
      <c r="BA62" s="706" t="s">
        <v>8</v>
      </c>
      <c r="BB62" s="706" t="s">
        <v>8</v>
      </c>
      <c r="BC62" s="706" t="s">
        <v>8</v>
      </c>
      <c r="BD62" s="739" t="s">
        <v>8</v>
      </c>
      <c r="BE62" s="706" t="s">
        <v>8</v>
      </c>
      <c r="BF62" s="706" t="str">
        <f t="shared" si="10"/>
        <v>×</v>
      </c>
      <c r="BG62" s="706" t="s">
        <v>8</v>
      </c>
      <c r="BH62" s="739" t="s">
        <v>8</v>
      </c>
      <c r="BI62" s="739" t="s">
        <v>8</v>
      </c>
      <c r="BJ62" s="706" t="s">
        <v>8</v>
      </c>
      <c r="BK62" s="706" t="s">
        <v>8</v>
      </c>
      <c r="BL62" s="706" t="s">
        <v>8</v>
      </c>
      <c r="BM62" s="706" t="s">
        <v>8</v>
      </c>
      <c r="BN62" s="706"/>
      <c r="BO62" s="360" t="s">
        <v>8</v>
      </c>
      <c r="BP62" s="706" t="str">
        <f t="shared" si="7"/>
        <v>×</v>
      </c>
      <c r="BQ62" s="739" t="s">
        <v>8</v>
      </c>
      <c r="BR62" s="739" t="s">
        <v>8</v>
      </c>
      <c r="BS62" s="739" t="s">
        <v>8</v>
      </c>
      <c r="BT62" s="739" t="s">
        <v>8</v>
      </c>
      <c r="BU62" s="706" t="s">
        <v>8</v>
      </c>
      <c r="BV62" s="706" t="s">
        <v>8</v>
      </c>
      <c r="BW62" s="706" t="s">
        <v>8</v>
      </c>
      <c r="BX62" s="706" t="s">
        <v>8</v>
      </c>
      <c r="BY62" s="706" t="s">
        <v>8</v>
      </c>
      <c r="BZ62" s="706" t="s">
        <v>8</v>
      </c>
      <c r="CA62" s="706" t="s">
        <v>8</v>
      </c>
      <c r="CB62" s="706" t="s">
        <v>8</v>
      </c>
      <c r="CC62" s="739" t="s">
        <v>8</v>
      </c>
      <c r="CD62" s="706" t="s">
        <v>8</v>
      </c>
      <c r="CE62" s="370" t="str">
        <f t="shared" si="8"/>
        <v>×</v>
      </c>
      <c r="CF62" s="360" t="s">
        <v>8</v>
      </c>
      <c r="CG62" s="373" t="str">
        <f t="shared" si="9"/>
        <v>×</v>
      </c>
      <c r="CH62" s="1138"/>
      <c r="CI62" s="15"/>
      <c r="CJ62" s="15"/>
      <c r="CK62" s="15"/>
      <c r="CL62" s="15"/>
      <c r="CM62" s="127"/>
      <c r="CN62" s="15"/>
      <c r="CO62" s="15"/>
      <c r="CP62" s="15"/>
      <c r="CQ62" s="462" t="s">
        <v>8</v>
      </c>
      <c r="CR62" s="360" t="s">
        <v>8</v>
      </c>
      <c r="CS62" s="360" t="s">
        <v>8</v>
      </c>
      <c r="CT62" s="463" t="s">
        <v>8</v>
      </c>
      <c r="CU62" s="362" t="s">
        <v>8</v>
      </c>
      <c r="CV62" s="360" t="s">
        <v>8</v>
      </c>
      <c r="CW62" s="363" t="s">
        <v>8</v>
      </c>
      <c r="CX62" s="463" t="s">
        <v>8</v>
      </c>
    </row>
    <row r="63" spans="1:102" ht="14.25" thickBot="1">
      <c r="A63" s="1076"/>
      <c r="B63" s="1078" t="s">
        <v>127</v>
      </c>
      <c r="C63" s="1054">
        <v>127</v>
      </c>
      <c r="D63" s="1054">
        <v>177.8</v>
      </c>
      <c r="E63" s="713" t="s">
        <v>7</v>
      </c>
      <c r="F63" s="35" t="s">
        <v>8</v>
      </c>
      <c r="G63" s="32" t="s">
        <v>8</v>
      </c>
      <c r="H63" s="32" t="s">
        <v>8</v>
      </c>
      <c r="I63" s="1003" t="s">
        <v>8</v>
      </c>
      <c r="J63" s="997" t="s">
        <v>8</v>
      </c>
      <c r="K63" s="997" t="s">
        <v>8</v>
      </c>
      <c r="L63" s="34" t="s">
        <v>638</v>
      </c>
      <c r="M63" s="34" t="s">
        <v>8</v>
      </c>
      <c r="N63" s="34" t="s">
        <v>8</v>
      </c>
      <c r="O63" s="34" t="s">
        <v>8</v>
      </c>
      <c r="P63" s="34" t="s">
        <v>8</v>
      </c>
      <c r="Q63" s="34" t="s">
        <v>637</v>
      </c>
      <c r="R63" s="34" t="s">
        <v>8</v>
      </c>
      <c r="S63" s="709" t="s">
        <v>8</v>
      </c>
      <c r="T63" s="709" t="s">
        <v>8</v>
      </c>
      <c r="U63" s="709" t="s">
        <v>8</v>
      </c>
      <c r="V63" s="709" t="s">
        <v>8</v>
      </c>
      <c r="W63" s="51" t="s">
        <v>8</v>
      </c>
      <c r="X63" s="34" t="s">
        <v>8</v>
      </c>
      <c r="Y63" s="34" t="s">
        <v>8</v>
      </c>
      <c r="Z63" s="710" t="s">
        <v>8</v>
      </c>
      <c r="AA63" s="710" t="s">
        <v>8</v>
      </c>
      <c r="AB63" s="710" t="s">
        <v>8</v>
      </c>
      <c r="AC63" s="35" t="s">
        <v>8</v>
      </c>
      <c r="AD63" s="32" t="s">
        <v>8</v>
      </c>
      <c r="AE63" s="32" t="s">
        <v>8</v>
      </c>
      <c r="AF63" s="32" t="s">
        <v>8</v>
      </c>
      <c r="AG63" s="32" t="s">
        <v>8</v>
      </c>
      <c r="AH63" s="190" t="s">
        <v>1</v>
      </c>
      <c r="AI63" s="190" t="s">
        <v>1</v>
      </c>
      <c r="AJ63" s="34" t="s">
        <v>8</v>
      </c>
      <c r="AK63" s="34" t="s">
        <v>8</v>
      </c>
      <c r="AL63" s="655" t="s">
        <v>10</v>
      </c>
      <c r="AM63" s="710" t="s">
        <v>8</v>
      </c>
      <c r="AN63" s="710" t="s">
        <v>8</v>
      </c>
      <c r="AO63" s="710" t="s">
        <v>8</v>
      </c>
      <c r="AP63" s="32" t="str">
        <f t="shared" ref="AP63:AP79" si="11">AF63</f>
        <v>×</v>
      </c>
      <c r="AQ63" s="32" t="str">
        <f t="shared" ref="AQ63:AQ79" si="12">AG63</f>
        <v>×</v>
      </c>
      <c r="AR63" s="34" t="s">
        <v>8</v>
      </c>
      <c r="AS63" s="33" t="s">
        <v>57</v>
      </c>
      <c r="AT63" s="33" t="s">
        <v>10</v>
      </c>
      <c r="AU63" s="33" t="s">
        <v>10</v>
      </c>
      <c r="AV63" s="739" t="s">
        <v>8</v>
      </c>
      <c r="AW63" s="34" t="s">
        <v>8</v>
      </c>
      <c r="AX63" s="33" t="s">
        <v>10</v>
      </c>
      <c r="AY63" s="395" t="s">
        <v>8</v>
      </c>
      <c r="AZ63" s="395" t="s">
        <v>8</v>
      </c>
      <c r="BA63" s="395" t="s">
        <v>8</v>
      </c>
      <c r="BB63" s="33" t="s">
        <v>10</v>
      </c>
      <c r="BC63" s="34" t="s">
        <v>8</v>
      </c>
      <c r="BD63" s="739" t="s">
        <v>8</v>
      </c>
      <c r="BE63" s="34" t="s">
        <v>8</v>
      </c>
      <c r="BF63" s="395" t="str">
        <f t="shared" si="10"/>
        <v>×</v>
      </c>
      <c r="BG63" s="34" t="s">
        <v>8</v>
      </c>
      <c r="BH63" s="739" t="s">
        <v>8</v>
      </c>
      <c r="BI63" s="739" t="s">
        <v>8</v>
      </c>
      <c r="BJ63" s="34" t="s">
        <v>8</v>
      </c>
      <c r="BK63" s="34" t="s">
        <v>8</v>
      </c>
      <c r="BL63" s="34" t="s">
        <v>8</v>
      </c>
      <c r="BM63" s="395" t="s">
        <v>8</v>
      </c>
      <c r="BN63" s="395"/>
      <c r="BO63" s="360" t="s">
        <v>8</v>
      </c>
      <c r="BP63" s="395" t="str">
        <f t="shared" si="7"/>
        <v>×</v>
      </c>
      <c r="BQ63" s="739" t="s">
        <v>8</v>
      </c>
      <c r="BR63" s="739" t="s">
        <v>8</v>
      </c>
      <c r="BS63" s="739" t="s">
        <v>8</v>
      </c>
      <c r="BT63" s="739" t="s">
        <v>8</v>
      </c>
      <c r="BU63" s="34" t="s">
        <v>8</v>
      </c>
      <c r="BV63" s="34" t="s">
        <v>8</v>
      </c>
      <c r="BW63" s="34" t="s">
        <v>8</v>
      </c>
      <c r="BX63" s="360" t="s">
        <v>8</v>
      </c>
      <c r="BY63" s="395" t="s">
        <v>8</v>
      </c>
      <c r="BZ63" s="395" t="s">
        <v>8</v>
      </c>
      <c r="CA63" s="395" t="s">
        <v>8</v>
      </c>
      <c r="CB63" s="395" t="s">
        <v>8</v>
      </c>
      <c r="CC63" s="739" t="s">
        <v>8</v>
      </c>
      <c r="CD63" s="34" t="s">
        <v>8</v>
      </c>
      <c r="CE63" s="396" t="str">
        <f t="shared" si="8"/>
        <v>×</v>
      </c>
      <c r="CF63" s="395" t="s">
        <v>8</v>
      </c>
      <c r="CG63" s="397" t="str">
        <f t="shared" si="9"/>
        <v>×</v>
      </c>
      <c r="CH63" s="1138"/>
      <c r="CI63" s="15"/>
      <c r="CJ63" s="15"/>
      <c r="CK63" s="15"/>
      <c r="CL63" s="15"/>
      <c r="CM63" s="324"/>
      <c r="CN63" s="15"/>
      <c r="CO63" s="15"/>
      <c r="CP63" s="15"/>
      <c r="CQ63" s="187" t="s">
        <v>8</v>
      </c>
      <c r="CR63" s="34" t="s">
        <v>8</v>
      </c>
      <c r="CS63" s="34" t="s">
        <v>8</v>
      </c>
      <c r="CT63" s="249" t="s">
        <v>8</v>
      </c>
      <c r="CU63" s="51" t="s">
        <v>8</v>
      </c>
      <c r="CV63" s="34" t="s">
        <v>8</v>
      </c>
      <c r="CW63" s="36" t="s">
        <v>8</v>
      </c>
      <c r="CX63" s="249" t="s">
        <v>8</v>
      </c>
    </row>
    <row r="64" spans="1:102" ht="13.5" customHeight="1">
      <c r="A64" s="1076"/>
      <c r="B64" s="1079"/>
      <c r="C64" s="1055"/>
      <c r="D64" s="1055"/>
      <c r="E64" s="460" t="s">
        <v>9</v>
      </c>
      <c r="F64" s="362" t="s">
        <v>8</v>
      </c>
      <c r="G64" s="360" t="s">
        <v>8</v>
      </c>
      <c r="H64" s="360" t="s">
        <v>8</v>
      </c>
      <c r="I64" s="708" t="s">
        <v>8</v>
      </c>
      <c r="J64" s="706" t="s">
        <v>8</v>
      </c>
      <c r="K64" s="706" t="s">
        <v>8</v>
      </c>
      <c r="L64" s="360" t="s">
        <v>8</v>
      </c>
      <c r="M64" s="360" t="s">
        <v>8</v>
      </c>
      <c r="N64" s="360" t="s">
        <v>8</v>
      </c>
      <c r="O64" s="360" t="s">
        <v>8</v>
      </c>
      <c r="P64" s="360" t="s">
        <v>8</v>
      </c>
      <c r="Q64" s="706" t="s">
        <v>8</v>
      </c>
      <c r="R64" s="706" t="s">
        <v>8</v>
      </c>
      <c r="S64" s="709" t="s">
        <v>8</v>
      </c>
      <c r="T64" s="709" t="s">
        <v>8</v>
      </c>
      <c r="U64" s="709" t="s">
        <v>8</v>
      </c>
      <c r="V64" s="709" t="s">
        <v>8</v>
      </c>
      <c r="W64" s="362" t="s">
        <v>8</v>
      </c>
      <c r="X64" s="360" t="s">
        <v>8</v>
      </c>
      <c r="Y64" s="360" t="s">
        <v>8</v>
      </c>
      <c r="Z64" s="710" t="s">
        <v>8</v>
      </c>
      <c r="AA64" s="710" t="s">
        <v>8</v>
      </c>
      <c r="AB64" s="710" t="s">
        <v>8</v>
      </c>
      <c r="AC64" s="362" t="s">
        <v>8</v>
      </c>
      <c r="AD64" s="360" t="s">
        <v>8</v>
      </c>
      <c r="AE64" s="360" t="s">
        <v>8</v>
      </c>
      <c r="AF64" s="360" t="s">
        <v>8</v>
      </c>
      <c r="AG64" s="360" t="s">
        <v>8</v>
      </c>
      <c r="AH64" s="360" t="s">
        <v>8</v>
      </c>
      <c r="AI64" s="360" t="s">
        <v>8</v>
      </c>
      <c r="AJ64" s="360" t="s">
        <v>8</v>
      </c>
      <c r="AK64" s="360" t="s">
        <v>8</v>
      </c>
      <c r="AL64" s="360" t="s">
        <v>8</v>
      </c>
      <c r="AM64" s="710" t="s">
        <v>8</v>
      </c>
      <c r="AN64" s="710" t="s">
        <v>8</v>
      </c>
      <c r="AO64" s="710" t="s">
        <v>8</v>
      </c>
      <c r="AP64" s="360" t="str">
        <f t="shared" si="11"/>
        <v>×</v>
      </c>
      <c r="AQ64" s="360" t="str">
        <f t="shared" si="12"/>
        <v>×</v>
      </c>
      <c r="AR64" s="360" t="s">
        <v>8</v>
      </c>
      <c r="AS64" s="360" t="s">
        <v>8</v>
      </c>
      <c r="AT64" s="360" t="s">
        <v>8</v>
      </c>
      <c r="AU64" s="360" t="s">
        <v>8</v>
      </c>
      <c r="AV64" s="739" t="s">
        <v>8</v>
      </c>
      <c r="AW64" s="706" t="s">
        <v>8</v>
      </c>
      <c r="AX64" s="706" t="s">
        <v>8</v>
      </c>
      <c r="AY64" s="706" t="s">
        <v>8</v>
      </c>
      <c r="AZ64" s="706" t="s">
        <v>8</v>
      </c>
      <c r="BA64" s="706" t="s">
        <v>8</v>
      </c>
      <c r="BB64" s="706" t="s">
        <v>8</v>
      </c>
      <c r="BC64" s="706" t="s">
        <v>8</v>
      </c>
      <c r="BD64" s="739" t="s">
        <v>8</v>
      </c>
      <c r="BE64" s="706" t="s">
        <v>8</v>
      </c>
      <c r="BF64" s="706" t="str">
        <f t="shared" si="10"/>
        <v>×</v>
      </c>
      <c r="BG64" s="706" t="s">
        <v>8</v>
      </c>
      <c r="BH64" s="739" t="s">
        <v>8</v>
      </c>
      <c r="BI64" s="739" t="s">
        <v>8</v>
      </c>
      <c r="BJ64" s="706" t="s">
        <v>8</v>
      </c>
      <c r="BK64" s="706" t="s">
        <v>8</v>
      </c>
      <c r="BL64" s="706" t="s">
        <v>8</v>
      </c>
      <c r="BM64" s="706" t="s">
        <v>8</v>
      </c>
      <c r="BN64" s="706"/>
      <c r="BO64" s="360" t="s">
        <v>8</v>
      </c>
      <c r="BP64" s="706" t="str">
        <f t="shared" ref="BP64:BP87" si="13">$AZ:$AZ</f>
        <v>×</v>
      </c>
      <c r="BQ64" s="739" t="s">
        <v>8</v>
      </c>
      <c r="BR64" s="739" t="s">
        <v>8</v>
      </c>
      <c r="BS64" s="739" t="s">
        <v>8</v>
      </c>
      <c r="BT64" s="739" t="s">
        <v>8</v>
      </c>
      <c r="BU64" s="706" t="s">
        <v>8</v>
      </c>
      <c r="BV64" s="706" t="s">
        <v>8</v>
      </c>
      <c r="BW64" s="706" t="s">
        <v>8</v>
      </c>
      <c r="BX64" s="706" t="s">
        <v>8</v>
      </c>
      <c r="BY64" s="706" t="s">
        <v>8</v>
      </c>
      <c r="BZ64" s="706" t="s">
        <v>8</v>
      </c>
      <c r="CA64" s="706" t="s">
        <v>8</v>
      </c>
      <c r="CB64" s="706" t="s">
        <v>8</v>
      </c>
      <c r="CC64" s="739" t="s">
        <v>8</v>
      </c>
      <c r="CD64" s="706" t="s">
        <v>8</v>
      </c>
      <c r="CE64" s="370" t="str">
        <f t="shared" ref="CE64:CE87" si="14">$AZ:$AZ</f>
        <v>×</v>
      </c>
      <c r="CF64" s="360" t="s">
        <v>8</v>
      </c>
      <c r="CG64" s="373" t="str">
        <f t="shared" ref="CG64:CG84" si="15">$BA:$BA</f>
        <v>×</v>
      </c>
      <c r="CH64" s="1138"/>
      <c r="CI64" s="531"/>
      <c r="CJ64" s="1050" t="s">
        <v>523</v>
      </c>
      <c r="CK64" s="1051"/>
      <c r="CL64" s="1122" t="s">
        <v>524</v>
      </c>
      <c r="CM64" s="1123"/>
      <c r="CN64" s="2"/>
      <c r="CO64" s="2"/>
      <c r="CP64" s="2"/>
      <c r="CQ64" s="462" t="s">
        <v>8</v>
      </c>
      <c r="CR64" s="360" t="s">
        <v>8</v>
      </c>
      <c r="CS64" s="360" t="s">
        <v>8</v>
      </c>
      <c r="CT64" s="463" t="s">
        <v>8</v>
      </c>
      <c r="CU64" s="362" t="s">
        <v>8</v>
      </c>
      <c r="CV64" s="360" t="s">
        <v>8</v>
      </c>
      <c r="CW64" s="363" t="s">
        <v>8</v>
      </c>
      <c r="CX64" s="463" t="s">
        <v>8</v>
      </c>
    </row>
    <row r="65" spans="1:102" ht="14.25" thickBot="1">
      <c r="A65" s="1076"/>
      <c r="B65" s="1089" t="s">
        <v>303</v>
      </c>
      <c r="C65" s="1056">
        <v>152.4</v>
      </c>
      <c r="D65" s="1056">
        <v>228.6</v>
      </c>
      <c r="E65" s="460" t="s">
        <v>586</v>
      </c>
      <c r="F65" s="362" t="s">
        <v>8</v>
      </c>
      <c r="G65" s="360" t="s">
        <v>8</v>
      </c>
      <c r="H65" s="360" t="s">
        <v>8</v>
      </c>
      <c r="I65" s="708" t="s">
        <v>8</v>
      </c>
      <c r="J65" s="706" t="s">
        <v>8</v>
      </c>
      <c r="K65" s="706" t="s">
        <v>8</v>
      </c>
      <c r="L65" s="360" t="s">
        <v>8</v>
      </c>
      <c r="M65" s="360" t="s">
        <v>8</v>
      </c>
      <c r="N65" s="360" t="s">
        <v>8</v>
      </c>
      <c r="O65" s="360" t="s">
        <v>8</v>
      </c>
      <c r="P65" s="360" t="s">
        <v>8</v>
      </c>
      <c r="Q65" s="706" t="s">
        <v>8</v>
      </c>
      <c r="R65" s="706" t="s">
        <v>8</v>
      </c>
      <c r="S65" s="709" t="s">
        <v>8</v>
      </c>
      <c r="T65" s="709" t="s">
        <v>8</v>
      </c>
      <c r="U65" s="709" t="s">
        <v>8</v>
      </c>
      <c r="V65" s="709" t="s">
        <v>8</v>
      </c>
      <c r="W65" s="362" t="s">
        <v>8</v>
      </c>
      <c r="X65" s="360" t="s">
        <v>8</v>
      </c>
      <c r="Y65" s="360" t="s">
        <v>8</v>
      </c>
      <c r="Z65" s="710" t="s">
        <v>8</v>
      </c>
      <c r="AA65" s="710" t="s">
        <v>8</v>
      </c>
      <c r="AB65" s="710" t="s">
        <v>8</v>
      </c>
      <c r="AC65" s="362" t="s">
        <v>8</v>
      </c>
      <c r="AD65" s="360" t="s">
        <v>8</v>
      </c>
      <c r="AE65" s="360" t="s">
        <v>8</v>
      </c>
      <c r="AF65" s="360" t="s">
        <v>8</v>
      </c>
      <c r="AG65" s="360" t="s">
        <v>8</v>
      </c>
      <c r="AH65" s="360" t="s">
        <v>8</v>
      </c>
      <c r="AI65" s="360" t="s">
        <v>8</v>
      </c>
      <c r="AJ65" s="360" t="s">
        <v>8</v>
      </c>
      <c r="AK65" s="360" t="s">
        <v>8</v>
      </c>
      <c r="AL65" s="360" t="s">
        <v>58</v>
      </c>
      <c r="AM65" s="710" t="s">
        <v>8</v>
      </c>
      <c r="AN65" s="710" t="s">
        <v>8</v>
      </c>
      <c r="AO65" s="710" t="s">
        <v>8</v>
      </c>
      <c r="AP65" s="360" t="str">
        <f t="shared" si="11"/>
        <v>×</v>
      </c>
      <c r="AQ65" s="360" t="str">
        <f t="shared" si="12"/>
        <v>×</v>
      </c>
      <c r="AR65" s="360" t="s">
        <v>8</v>
      </c>
      <c r="AS65" s="360" t="s">
        <v>8</v>
      </c>
      <c r="AT65" s="360" t="s">
        <v>8</v>
      </c>
      <c r="AU65" s="360" t="s">
        <v>8</v>
      </c>
      <c r="AV65" s="739" t="s">
        <v>8</v>
      </c>
      <c r="AW65" s="706" t="s">
        <v>8</v>
      </c>
      <c r="AX65" s="706" t="s">
        <v>8</v>
      </c>
      <c r="AY65" s="706" t="s">
        <v>8</v>
      </c>
      <c r="AZ65" s="706" t="s">
        <v>8</v>
      </c>
      <c r="BA65" s="706" t="s">
        <v>8</v>
      </c>
      <c r="BB65" s="706" t="s">
        <v>8</v>
      </c>
      <c r="BC65" s="706" t="s">
        <v>8</v>
      </c>
      <c r="BD65" s="739" t="s">
        <v>8</v>
      </c>
      <c r="BE65" s="706" t="s">
        <v>8</v>
      </c>
      <c r="BF65" s="706" t="str">
        <f t="shared" si="10"/>
        <v>×</v>
      </c>
      <c r="BG65" s="706" t="s">
        <v>8</v>
      </c>
      <c r="BH65" s="739" t="s">
        <v>8</v>
      </c>
      <c r="BI65" s="739" t="s">
        <v>8</v>
      </c>
      <c r="BJ65" s="706" t="s">
        <v>8</v>
      </c>
      <c r="BK65" s="706" t="s">
        <v>8</v>
      </c>
      <c r="BL65" s="706" t="s">
        <v>8</v>
      </c>
      <c r="BM65" s="706" t="s">
        <v>8</v>
      </c>
      <c r="BN65" s="706"/>
      <c r="BO65" s="360" t="s">
        <v>8</v>
      </c>
      <c r="BP65" s="706" t="str">
        <f t="shared" si="13"/>
        <v>×</v>
      </c>
      <c r="BQ65" s="739" t="s">
        <v>8</v>
      </c>
      <c r="BR65" s="739" t="s">
        <v>8</v>
      </c>
      <c r="BS65" s="739" t="s">
        <v>8</v>
      </c>
      <c r="BT65" s="739" t="s">
        <v>8</v>
      </c>
      <c r="BU65" s="706" t="s">
        <v>8</v>
      </c>
      <c r="BV65" s="706" t="s">
        <v>8</v>
      </c>
      <c r="BW65" s="706" t="s">
        <v>8</v>
      </c>
      <c r="BX65" s="706" t="s">
        <v>8</v>
      </c>
      <c r="BY65" s="706" t="s">
        <v>8</v>
      </c>
      <c r="BZ65" s="706" t="s">
        <v>8</v>
      </c>
      <c r="CA65" s="706" t="s">
        <v>8</v>
      </c>
      <c r="CB65" s="706" t="s">
        <v>8</v>
      </c>
      <c r="CC65" s="739" t="s">
        <v>8</v>
      </c>
      <c r="CD65" s="706" t="s">
        <v>8</v>
      </c>
      <c r="CE65" s="370" t="str">
        <f t="shared" si="14"/>
        <v>×</v>
      </c>
      <c r="CF65" s="360" t="s">
        <v>8</v>
      </c>
      <c r="CG65" s="373" t="str">
        <f t="shared" si="15"/>
        <v>×</v>
      </c>
      <c r="CH65" s="1138"/>
      <c r="CI65" s="531"/>
      <c r="CJ65" s="1052"/>
      <c r="CK65" s="1053"/>
      <c r="CL65" s="1124"/>
      <c r="CM65" s="1125"/>
      <c r="CN65" s="2"/>
      <c r="CO65" s="2"/>
      <c r="CP65" s="2"/>
      <c r="CQ65" s="462" t="s">
        <v>8</v>
      </c>
      <c r="CR65" s="360" t="s">
        <v>8</v>
      </c>
      <c r="CS65" s="360" t="s">
        <v>8</v>
      </c>
      <c r="CT65" s="463" t="s">
        <v>8</v>
      </c>
      <c r="CU65" s="362" t="s">
        <v>8</v>
      </c>
      <c r="CV65" s="360" t="s">
        <v>8</v>
      </c>
      <c r="CW65" s="363" t="s">
        <v>8</v>
      </c>
      <c r="CX65" s="463" t="s">
        <v>8</v>
      </c>
    </row>
    <row r="66" spans="1:102" ht="14.25" thickBot="1">
      <c r="A66" s="1077"/>
      <c r="B66" s="1100"/>
      <c r="C66" s="1057"/>
      <c r="D66" s="1057"/>
      <c r="E66" s="472" t="s">
        <v>9</v>
      </c>
      <c r="F66" s="473" t="s">
        <v>8</v>
      </c>
      <c r="G66" s="361" t="s">
        <v>8</v>
      </c>
      <c r="H66" s="361" t="s">
        <v>8</v>
      </c>
      <c r="I66" s="871" t="s">
        <v>8</v>
      </c>
      <c r="J66" s="741" t="s">
        <v>8</v>
      </c>
      <c r="K66" s="741" t="s">
        <v>8</v>
      </c>
      <c r="L66" s="361" t="s">
        <v>8</v>
      </c>
      <c r="M66" s="361" t="s">
        <v>8</v>
      </c>
      <c r="N66" s="361" t="s">
        <v>8</v>
      </c>
      <c r="O66" s="361" t="s">
        <v>8</v>
      </c>
      <c r="P66" s="361" t="s">
        <v>8</v>
      </c>
      <c r="Q66" s="741" t="s">
        <v>8</v>
      </c>
      <c r="R66" s="741" t="s">
        <v>8</v>
      </c>
      <c r="S66" s="947" t="s">
        <v>8</v>
      </c>
      <c r="T66" s="947" t="s">
        <v>8</v>
      </c>
      <c r="U66" s="947" t="s">
        <v>8</v>
      </c>
      <c r="V66" s="947" t="s">
        <v>8</v>
      </c>
      <c r="W66" s="473" t="s">
        <v>8</v>
      </c>
      <c r="X66" s="361" t="s">
        <v>8</v>
      </c>
      <c r="Y66" s="361" t="s">
        <v>8</v>
      </c>
      <c r="Z66" s="955" t="s">
        <v>8</v>
      </c>
      <c r="AA66" s="955" t="s">
        <v>8</v>
      </c>
      <c r="AB66" s="955" t="s">
        <v>8</v>
      </c>
      <c r="AC66" s="473" t="s">
        <v>8</v>
      </c>
      <c r="AD66" s="361" t="s">
        <v>8</v>
      </c>
      <c r="AE66" s="361" t="s">
        <v>8</v>
      </c>
      <c r="AF66" s="364" t="s">
        <v>8</v>
      </c>
      <c r="AG66" s="364" t="s">
        <v>8</v>
      </c>
      <c r="AH66" s="364" t="s">
        <v>8</v>
      </c>
      <c r="AI66" s="364" t="s">
        <v>8</v>
      </c>
      <c r="AJ66" s="364" t="s">
        <v>8</v>
      </c>
      <c r="AK66" s="364" t="s">
        <v>8</v>
      </c>
      <c r="AL66" s="364" t="s">
        <v>8</v>
      </c>
      <c r="AM66" s="955" t="s">
        <v>8</v>
      </c>
      <c r="AN66" s="955" t="s">
        <v>8</v>
      </c>
      <c r="AO66" s="955" t="s">
        <v>8</v>
      </c>
      <c r="AP66" s="364" t="str">
        <f t="shared" si="11"/>
        <v>×</v>
      </c>
      <c r="AQ66" s="364" t="str">
        <f t="shared" si="12"/>
        <v>×</v>
      </c>
      <c r="AR66" s="361" t="s">
        <v>8</v>
      </c>
      <c r="AS66" s="361" t="s">
        <v>8</v>
      </c>
      <c r="AT66" s="361" t="s">
        <v>8</v>
      </c>
      <c r="AU66" s="361" t="s">
        <v>8</v>
      </c>
      <c r="AV66" s="915" t="s">
        <v>8</v>
      </c>
      <c r="AW66" s="741" t="s">
        <v>8</v>
      </c>
      <c r="AX66" s="741" t="s">
        <v>8</v>
      </c>
      <c r="AY66" s="741" t="s">
        <v>8</v>
      </c>
      <c r="AZ66" s="741" t="s">
        <v>8</v>
      </c>
      <c r="BA66" s="741" t="s">
        <v>8</v>
      </c>
      <c r="BB66" s="741" t="s">
        <v>8</v>
      </c>
      <c r="BC66" s="741" t="s">
        <v>8</v>
      </c>
      <c r="BD66" s="915" t="s">
        <v>8</v>
      </c>
      <c r="BE66" s="741" t="s">
        <v>8</v>
      </c>
      <c r="BF66" s="741" t="str">
        <f t="shared" si="10"/>
        <v>×</v>
      </c>
      <c r="BG66" s="741" t="s">
        <v>8</v>
      </c>
      <c r="BH66" s="915" t="s">
        <v>8</v>
      </c>
      <c r="BI66" s="915" t="s">
        <v>8</v>
      </c>
      <c r="BJ66" s="741" t="s">
        <v>8</v>
      </c>
      <c r="BK66" s="741" t="s">
        <v>8</v>
      </c>
      <c r="BL66" s="741" t="s">
        <v>8</v>
      </c>
      <c r="BM66" s="741" t="s">
        <v>8</v>
      </c>
      <c r="BN66" s="741"/>
      <c r="BO66" s="361" t="s">
        <v>8</v>
      </c>
      <c r="BP66" s="741" t="str">
        <f t="shared" si="13"/>
        <v>×</v>
      </c>
      <c r="BQ66" s="915" t="s">
        <v>8</v>
      </c>
      <c r="BR66" s="915" t="s">
        <v>8</v>
      </c>
      <c r="BS66" s="915" t="s">
        <v>8</v>
      </c>
      <c r="BT66" s="915" t="s">
        <v>8</v>
      </c>
      <c r="BU66" s="741" t="s">
        <v>8</v>
      </c>
      <c r="BV66" s="741" t="s">
        <v>8</v>
      </c>
      <c r="BW66" s="741" t="s">
        <v>8</v>
      </c>
      <c r="BX66" s="740" t="s">
        <v>8</v>
      </c>
      <c r="BY66" s="741" t="s">
        <v>8</v>
      </c>
      <c r="BZ66" s="741" t="s">
        <v>8</v>
      </c>
      <c r="CA66" s="741" t="s">
        <v>8</v>
      </c>
      <c r="CB66" s="741" t="s">
        <v>8</v>
      </c>
      <c r="CC66" s="739" t="s">
        <v>8</v>
      </c>
      <c r="CD66" s="741" t="s">
        <v>8</v>
      </c>
      <c r="CE66" s="372" t="str">
        <f t="shared" si="14"/>
        <v>×</v>
      </c>
      <c r="CF66" s="361" t="s">
        <v>8</v>
      </c>
      <c r="CG66" s="378" t="str">
        <f t="shared" si="15"/>
        <v>×</v>
      </c>
      <c r="CH66" s="1138"/>
      <c r="CI66" s="532"/>
      <c r="CJ66" s="1133" t="s">
        <v>556</v>
      </c>
      <c r="CK66" s="1134"/>
      <c r="CL66" s="1126"/>
      <c r="CM66" s="1127"/>
      <c r="CN66" s="2"/>
      <c r="CO66" s="2"/>
      <c r="CP66" s="2"/>
      <c r="CQ66" s="474" t="s">
        <v>8</v>
      </c>
      <c r="CR66" s="361" t="s">
        <v>8</v>
      </c>
      <c r="CS66" s="361" t="s">
        <v>8</v>
      </c>
      <c r="CT66" s="475" t="s">
        <v>8</v>
      </c>
      <c r="CU66" s="473" t="s">
        <v>8</v>
      </c>
      <c r="CV66" s="361" t="s">
        <v>8</v>
      </c>
      <c r="CW66" s="364" t="s">
        <v>8</v>
      </c>
      <c r="CX66" s="475" t="s">
        <v>8</v>
      </c>
    </row>
    <row r="67" spans="1:102" ht="13.5" customHeight="1">
      <c r="A67" s="1091" t="s">
        <v>304</v>
      </c>
      <c r="B67" s="545" t="s">
        <v>661</v>
      </c>
      <c r="C67" s="207">
        <v>120</v>
      </c>
      <c r="D67" s="207">
        <v>235</v>
      </c>
      <c r="E67" s="208" t="s">
        <v>7</v>
      </c>
      <c r="F67" s="114" t="s">
        <v>8</v>
      </c>
      <c r="G67" s="53" t="s">
        <v>8</v>
      </c>
      <c r="H67" s="53" t="s">
        <v>8</v>
      </c>
      <c r="I67" s="1011" t="s">
        <v>8</v>
      </c>
      <c r="J67" s="1012" t="s">
        <v>8</v>
      </c>
      <c r="K67" s="1012" t="s">
        <v>8</v>
      </c>
      <c r="L67" s="53" t="s">
        <v>947</v>
      </c>
      <c r="M67" s="53" t="s">
        <v>8</v>
      </c>
      <c r="N67" s="53" t="s">
        <v>8</v>
      </c>
      <c r="O67" s="53" t="s">
        <v>8</v>
      </c>
      <c r="P67" s="53" t="s">
        <v>8</v>
      </c>
      <c r="Q67" s="53" t="s">
        <v>850</v>
      </c>
      <c r="R67" s="53" t="s">
        <v>8</v>
      </c>
      <c r="S67" s="709" t="s">
        <v>8</v>
      </c>
      <c r="T67" s="709" t="s">
        <v>8</v>
      </c>
      <c r="U67" s="709" t="s">
        <v>8</v>
      </c>
      <c r="V67" s="709" t="s">
        <v>8</v>
      </c>
      <c r="W67" s="114" t="s">
        <v>8</v>
      </c>
      <c r="X67" s="53" t="s">
        <v>8</v>
      </c>
      <c r="Y67" s="53" t="s">
        <v>8</v>
      </c>
      <c r="Z67" s="951" t="s">
        <v>8</v>
      </c>
      <c r="AA67" s="710" t="s">
        <v>8</v>
      </c>
      <c r="AB67" s="710" t="s">
        <v>8</v>
      </c>
      <c r="AC67" s="114" t="s">
        <v>8</v>
      </c>
      <c r="AD67" s="53" t="s">
        <v>8</v>
      </c>
      <c r="AE67" s="53" t="s">
        <v>8</v>
      </c>
      <c r="AF67" s="672" t="s">
        <v>8</v>
      </c>
      <c r="AG67" s="672" t="s">
        <v>8</v>
      </c>
      <c r="AH67" s="673" t="s">
        <v>10</v>
      </c>
      <c r="AI67" s="673" t="s">
        <v>10</v>
      </c>
      <c r="AJ67" s="673" t="s">
        <v>10</v>
      </c>
      <c r="AK67" s="53" t="s">
        <v>8</v>
      </c>
      <c r="AL67" s="53" t="s">
        <v>8</v>
      </c>
      <c r="AM67" s="710" t="s">
        <v>8</v>
      </c>
      <c r="AN67" s="710" t="s">
        <v>8</v>
      </c>
      <c r="AO67" s="710" t="s">
        <v>8</v>
      </c>
      <c r="AP67" s="672" t="str">
        <f t="shared" si="11"/>
        <v>×</v>
      </c>
      <c r="AQ67" s="672" t="str">
        <f t="shared" si="12"/>
        <v>×</v>
      </c>
      <c r="AR67" s="53" t="s">
        <v>8</v>
      </c>
      <c r="AS67" s="674" t="s">
        <v>10</v>
      </c>
      <c r="AT67" s="674" t="s">
        <v>10</v>
      </c>
      <c r="AU67" s="674" t="s">
        <v>10</v>
      </c>
      <c r="AV67" s="739" t="s">
        <v>8</v>
      </c>
      <c r="AW67" s="675" t="s">
        <v>8</v>
      </c>
      <c r="AX67" s="676" t="s">
        <v>1</v>
      </c>
      <c r="AY67" s="675" t="s">
        <v>8</v>
      </c>
      <c r="AZ67" s="675" t="s">
        <v>8</v>
      </c>
      <c r="BA67" s="675" t="s">
        <v>8</v>
      </c>
      <c r="BB67" s="674" t="s">
        <v>57</v>
      </c>
      <c r="BC67" s="53" t="s">
        <v>8</v>
      </c>
      <c r="BD67" s="739" t="s">
        <v>8</v>
      </c>
      <c r="BE67" s="53" t="s">
        <v>8</v>
      </c>
      <c r="BF67" s="53" t="str">
        <f t="shared" si="10"/>
        <v>×</v>
      </c>
      <c r="BG67" s="53" t="s">
        <v>8</v>
      </c>
      <c r="BH67" s="739" t="s">
        <v>8</v>
      </c>
      <c r="BI67" s="739" t="s">
        <v>8</v>
      </c>
      <c r="BJ67" s="53" t="s">
        <v>8</v>
      </c>
      <c r="BK67" s="53" t="s">
        <v>8</v>
      </c>
      <c r="BL67" s="53" t="s">
        <v>8</v>
      </c>
      <c r="BM67" s="53" t="s">
        <v>8</v>
      </c>
      <c r="BN67" s="53"/>
      <c r="BO67" s="483" t="s">
        <v>8</v>
      </c>
      <c r="BP67" s="53" t="str">
        <f t="shared" si="13"/>
        <v>×</v>
      </c>
      <c r="BQ67" s="739" t="s">
        <v>8</v>
      </c>
      <c r="BR67" s="739" t="s">
        <v>8</v>
      </c>
      <c r="BS67" s="739" t="s">
        <v>8</v>
      </c>
      <c r="BT67" s="739" t="s">
        <v>8</v>
      </c>
      <c r="BU67" s="53" t="s">
        <v>8</v>
      </c>
      <c r="BV67" s="53" t="s">
        <v>8</v>
      </c>
      <c r="BW67" s="53" t="s">
        <v>8</v>
      </c>
      <c r="BX67" s="365" t="s">
        <v>8</v>
      </c>
      <c r="BY67" s="53" t="s">
        <v>8</v>
      </c>
      <c r="BZ67" s="53" t="s">
        <v>8</v>
      </c>
      <c r="CA67" s="53" t="s">
        <v>8</v>
      </c>
      <c r="CB67" s="53" t="s">
        <v>8</v>
      </c>
      <c r="CC67" s="739" t="s">
        <v>8</v>
      </c>
      <c r="CD67" s="53" t="s">
        <v>8</v>
      </c>
      <c r="CE67" s="677" t="str">
        <f t="shared" si="14"/>
        <v>×</v>
      </c>
      <c r="CF67" s="53" t="s">
        <v>8</v>
      </c>
      <c r="CG67" s="678" t="str">
        <f t="shared" si="15"/>
        <v>×</v>
      </c>
      <c r="CH67" s="1033" t="s">
        <v>565</v>
      </c>
      <c r="CI67" s="330"/>
      <c r="CJ67" s="1135" t="s">
        <v>525</v>
      </c>
      <c r="CK67" s="1136"/>
      <c r="CL67" s="1128" t="s">
        <v>526</v>
      </c>
      <c r="CM67" s="1131" t="s">
        <v>527</v>
      </c>
      <c r="CN67" s="206"/>
      <c r="CO67" s="206"/>
      <c r="CP67" s="206"/>
      <c r="CQ67" s="704" t="s">
        <v>8</v>
      </c>
      <c r="CR67" s="53" t="s">
        <v>8</v>
      </c>
      <c r="CS67" s="53" t="s">
        <v>8</v>
      </c>
      <c r="CT67" s="705" t="s">
        <v>8</v>
      </c>
      <c r="CU67" s="114" t="s">
        <v>8</v>
      </c>
      <c r="CV67" s="53" t="s">
        <v>8</v>
      </c>
      <c r="CW67" s="54" t="s">
        <v>8</v>
      </c>
      <c r="CX67" s="705" t="s">
        <v>8</v>
      </c>
    </row>
    <row r="68" spans="1:102" ht="13.5" customHeight="1">
      <c r="A68" s="1092"/>
      <c r="B68" s="89" t="s">
        <v>662</v>
      </c>
      <c r="C68" s="18">
        <v>120</v>
      </c>
      <c r="D68" s="18">
        <v>235</v>
      </c>
      <c r="E68" s="84" t="s">
        <v>9</v>
      </c>
      <c r="F68" s="51" t="s">
        <v>8</v>
      </c>
      <c r="G68" s="34" t="s">
        <v>8</v>
      </c>
      <c r="H68" s="34" t="s">
        <v>8</v>
      </c>
      <c r="I68" s="1003" t="s">
        <v>8</v>
      </c>
      <c r="J68" s="997" t="s">
        <v>8</v>
      </c>
      <c r="K68" s="997" t="s">
        <v>8</v>
      </c>
      <c r="L68" s="34" t="s">
        <v>638</v>
      </c>
      <c r="M68" s="34" t="s">
        <v>8</v>
      </c>
      <c r="N68" s="34" t="s">
        <v>8</v>
      </c>
      <c r="O68" s="34" t="s">
        <v>8</v>
      </c>
      <c r="P68" s="34" t="s">
        <v>8</v>
      </c>
      <c r="Q68" s="34" t="s">
        <v>58</v>
      </c>
      <c r="R68" s="34" t="s">
        <v>58</v>
      </c>
      <c r="S68" s="709" t="s">
        <v>8</v>
      </c>
      <c r="T68" s="709" t="s">
        <v>8</v>
      </c>
      <c r="U68" s="709" t="s">
        <v>8</v>
      </c>
      <c r="V68" s="709" t="s">
        <v>8</v>
      </c>
      <c r="W68" s="51" t="s">
        <v>8</v>
      </c>
      <c r="X68" s="34" t="s">
        <v>8</v>
      </c>
      <c r="Y68" s="34" t="s">
        <v>8</v>
      </c>
      <c r="Z68" s="951" t="s">
        <v>8</v>
      </c>
      <c r="AA68" s="710" t="s">
        <v>8</v>
      </c>
      <c r="AB68" s="710" t="s">
        <v>8</v>
      </c>
      <c r="AC68" s="51" t="s">
        <v>8</v>
      </c>
      <c r="AD68" s="34" t="s">
        <v>8</v>
      </c>
      <c r="AE68" s="34" t="s">
        <v>8</v>
      </c>
      <c r="AF68" s="34" t="s">
        <v>8</v>
      </c>
      <c r="AG68" s="34" t="s">
        <v>8</v>
      </c>
      <c r="AH68" s="33" t="s">
        <v>1</v>
      </c>
      <c r="AI68" s="33" t="s">
        <v>546</v>
      </c>
      <c r="AJ68" s="34" t="s">
        <v>8</v>
      </c>
      <c r="AK68" s="42" t="s">
        <v>8</v>
      </c>
      <c r="AL68" s="42" t="s">
        <v>8</v>
      </c>
      <c r="AM68" s="710" t="s">
        <v>8</v>
      </c>
      <c r="AN68" s="710" t="s">
        <v>8</v>
      </c>
      <c r="AO68" s="710" t="s">
        <v>8</v>
      </c>
      <c r="AP68" s="34" t="str">
        <f t="shared" si="11"/>
        <v>×</v>
      </c>
      <c r="AQ68" s="34" t="str">
        <f t="shared" si="12"/>
        <v>×</v>
      </c>
      <c r="AR68" s="34" t="s">
        <v>8</v>
      </c>
      <c r="AS68" s="44" t="s">
        <v>546</v>
      </c>
      <c r="AT68" s="44" t="s">
        <v>546</v>
      </c>
      <c r="AU68" s="44" t="s">
        <v>546</v>
      </c>
      <c r="AV68" s="739" t="s">
        <v>8</v>
      </c>
      <c r="AW68" s="34" t="s">
        <v>8</v>
      </c>
      <c r="AX68" s="34" t="s">
        <v>8</v>
      </c>
      <c r="AY68" s="34" t="s">
        <v>8</v>
      </c>
      <c r="AZ68" s="34" t="s">
        <v>8</v>
      </c>
      <c r="BA68" s="34" t="s">
        <v>8</v>
      </c>
      <c r="BB68" s="44" t="s">
        <v>546</v>
      </c>
      <c r="BC68" s="34" t="s">
        <v>8</v>
      </c>
      <c r="BD68" s="739" t="s">
        <v>8</v>
      </c>
      <c r="BE68" s="34" t="s">
        <v>8</v>
      </c>
      <c r="BF68" s="34" t="str">
        <f t="shared" si="10"/>
        <v>×</v>
      </c>
      <c r="BG68" s="34" t="s">
        <v>8</v>
      </c>
      <c r="BH68" s="739" t="s">
        <v>8</v>
      </c>
      <c r="BI68" s="739" t="s">
        <v>8</v>
      </c>
      <c r="BJ68" s="34" t="s">
        <v>8</v>
      </c>
      <c r="BK68" s="34" t="s">
        <v>8</v>
      </c>
      <c r="BL68" s="34" t="s">
        <v>8</v>
      </c>
      <c r="BM68" s="34" t="s">
        <v>8</v>
      </c>
      <c r="BN68" s="34"/>
      <c r="BO68" s="360" t="s">
        <v>8</v>
      </c>
      <c r="BP68" s="34" t="str">
        <f t="shared" si="13"/>
        <v>×</v>
      </c>
      <c r="BQ68" s="739" t="s">
        <v>8</v>
      </c>
      <c r="BR68" s="739" t="s">
        <v>8</v>
      </c>
      <c r="BS68" s="739" t="s">
        <v>8</v>
      </c>
      <c r="BT68" s="739" t="s">
        <v>8</v>
      </c>
      <c r="BU68" s="34" t="s">
        <v>8</v>
      </c>
      <c r="BV68" s="34" t="s">
        <v>8</v>
      </c>
      <c r="BW68" s="34" t="s">
        <v>8</v>
      </c>
      <c r="BX68" s="360" t="s">
        <v>8</v>
      </c>
      <c r="BY68" s="34" t="s">
        <v>8</v>
      </c>
      <c r="BZ68" s="34" t="s">
        <v>8</v>
      </c>
      <c r="CA68" s="34" t="s">
        <v>8</v>
      </c>
      <c r="CB68" s="34" t="s">
        <v>8</v>
      </c>
      <c r="CC68" s="739" t="s">
        <v>8</v>
      </c>
      <c r="CD68" s="34" t="s">
        <v>8</v>
      </c>
      <c r="CE68" s="49" t="str">
        <f t="shared" si="14"/>
        <v>×</v>
      </c>
      <c r="CF68" s="34" t="s">
        <v>8</v>
      </c>
      <c r="CG68" s="479" t="str">
        <f t="shared" si="15"/>
        <v>×</v>
      </c>
      <c r="CH68" s="1034"/>
      <c r="CI68" s="348"/>
      <c r="CJ68" s="1031" t="s">
        <v>528</v>
      </c>
      <c r="CK68" s="1032"/>
      <c r="CL68" s="1129"/>
      <c r="CM68" s="1132"/>
      <c r="CN68" s="2"/>
      <c r="CO68" s="2"/>
      <c r="CP68" s="2"/>
      <c r="CQ68" s="187" t="s">
        <v>8</v>
      </c>
      <c r="CR68" s="34" t="s">
        <v>8</v>
      </c>
      <c r="CS68" s="34" t="s">
        <v>8</v>
      </c>
      <c r="CT68" s="249" t="s">
        <v>8</v>
      </c>
      <c r="CU68" s="51" t="s">
        <v>8</v>
      </c>
      <c r="CV68" s="34" t="s">
        <v>8</v>
      </c>
      <c r="CW68" s="36" t="s">
        <v>8</v>
      </c>
      <c r="CX68" s="249" t="s">
        <v>8</v>
      </c>
    </row>
    <row r="69" spans="1:102">
      <c r="A69" s="1092"/>
      <c r="B69" s="503" t="s">
        <v>663</v>
      </c>
      <c r="C69" s="354">
        <v>240</v>
      </c>
      <c r="D69" s="354">
        <v>332</v>
      </c>
      <c r="E69" s="84" t="s">
        <v>7</v>
      </c>
      <c r="F69" s="51" t="s">
        <v>8</v>
      </c>
      <c r="G69" s="34" t="s">
        <v>8</v>
      </c>
      <c r="H69" s="34" t="s">
        <v>8</v>
      </c>
      <c r="I69" s="1003" t="s">
        <v>8</v>
      </c>
      <c r="J69" s="997" t="s">
        <v>8</v>
      </c>
      <c r="K69" s="997" t="s">
        <v>8</v>
      </c>
      <c r="L69" s="34" t="s">
        <v>637</v>
      </c>
      <c r="M69" s="34" t="s">
        <v>8</v>
      </c>
      <c r="N69" s="34" t="s">
        <v>8</v>
      </c>
      <c r="O69" s="34" t="s">
        <v>8</v>
      </c>
      <c r="P69" s="34" t="s">
        <v>8</v>
      </c>
      <c r="Q69" s="34" t="s">
        <v>637</v>
      </c>
      <c r="R69" s="34" t="s">
        <v>58</v>
      </c>
      <c r="S69" s="709" t="s">
        <v>8</v>
      </c>
      <c r="T69" s="709" t="s">
        <v>8</v>
      </c>
      <c r="U69" s="709" t="s">
        <v>8</v>
      </c>
      <c r="V69" s="709" t="s">
        <v>8</v>
      </c>
      <c r="W69" s="51" t="s">
        <v>8</v>
      </c>
      <c r="X69" s="34" t="s">
        <v>8</v>
      </c>
      <c r="Y69" s="34" t="s">
        <v>8</v>
      </c>
      <c r="Z69" s="951" t="s">
        <v>8</v>
      </c>
      <c r="AA69" s="710" t="s">
        <v>8</v>
      </c>
      <c r="AB69" s="710" t="s">
        <v>8</v>
      </c>
      <c r="AC69" s="51" t="s">
        <v>8</v>
      </c>
      <c r="AD69" s="34" t="s">
        <v>8</v>
      </c>
      <c r="AE69" s="34" t="s">
        <v>8</v>
      </c>
      <c r="AF69" s="42" t="s">
        <v>8</v>
      </c>
      <c r="AG69" s="42" t="s">
        <v>8</v>
      </c>
      <c r="AH69" s="33" t="s">
        <v>1</v>
      </c>
      <c r="AI69" s="33" t="s">
        <v>560</v>
      </c>
      <c r="AJ69" s="34" t="s">
        <v>8</v>
      </c>
      <c r="AK69" s="34" t="s">
        <v>8</v>
      </c>
      <c r="AL69" s="34" t="s">
        <v>8</v>
      </c>
      <c r="AM69" s="710" t="s">
        <v>8</v>
      </c>
      <c r="AN69" s="710" t="s">
        <v>8</v>
      </c>
      <c r="AO69" s="710" t="s">
        <v>8</v>
      </c>
      <c r="AP69" s="42" t="str">
        <f t="shared" si="11"/>
        <v>×</v>
      </c>
      <c r="AQ69" s="42" t="str">
        <f t="shared" si="12"/>
        <v>×</v>
      </c>
      <c r="AR69" s="34" t="s">
        <v>8</v>
      </c>
      <c r="AS69" s="44" t="s">
        <v>560</v>
      </c>
      <c r="AT69" s="44" t="s">
        <v>560</v>
      </c>
      <c r="AU69" s="44" t="s">
        <v>560</v>
      </c>
      <c r="AV69" s="739" t="s">
        <v>8</v>
      </c>
      <c r="AW69" s="43" t="s">
        <v>8</v>
      </c>
      <c r="AX69" s="679" t="s">
        <v>1</v>
      </c>
      <c r="AY69" s="43" t="s">
        <v>8</v>
      </c>
      <c r="AZ69" s="43" t="s">
        <v>8</v>
      </c>
      <c r="BA69" s="43" t="s">
        <v>8</v>
      </c>
      <c r="BB69" s="44" t="s">
        <v>560</v>
      </c>
      <c r="BC69" s="34" t="s">
        <v>8</v>
      </c>
      <c r="BD69" s="739" t="s">
        <v>8</v>
      </c>
      <c r="BE69" s="34" t="s">
        <v>8</v>
      </c>
      <c r="BF69" s="34" t="str">
        <f t="shared" ref="BF69:BF83" si="16">$AY:$AY</f>
        <v>×</v>
      </c>
      <c r="BG69" s="34" t="s">
        <v>8</v>
      </c>
      <c r="BH69" s="739" t="s">
        <v>8</v>
      </c>
      <c r="BI69" s="739" t="s">
        <v>8</v>
      </c>
      <c r="BJ69" s="34" t="s">
        <v>8</v>
      </c>
      <c r="BK69" s="34" t="s">
        <v>8</v>
      </c>
      <c r="BL69" s="34" t="s">
        <v>8</v>
      </c>
      <c r="BM69" s="34" t="s">
        <v>8</v>
      </c>
      <c r="BN69" s="34"/>
      <c r="BO69" s="360" t="s">
        <v>8</v>
      </c>
      <c r="BP69" s="34" t="str">
        <f t="shared" si="13"/>
        <v>×</v>
      </c>
      <c r="BQ69" s="739" t="s">
        <v>8</v>
      </c>
      <c r="BR69" s="739" t="s">
        <v>8</v>
      </c>
      <c r="BS69" s="739" t="s">
        <v>8</v>
      </c>
      <c r="BT69" s="739" t="s">
        <v>8</v>
      </c>
      <c r="BU69" s="34" t="s">
        <v>8</v>
      </c>
      <c r="BV69" s="34" t="s">
        <v>8</v>
      </c>
      <c r="BW69" s="34" t="s">
        <v>8</v>
      </c>
      <c r="BX69" s="360" t="s">
        <v>8</v>
      </c>
      <c r="BY69" s="34" t="s">
        <v>8</v>
      </c>
      <c r="BZ69" s="34" t="s">
        <v>8</v>
      </c>
      <c r="CA69" s="34" t="s">
        <v>8</v>
      </c>
      <c r="CB69" s="34" t="s">
        <v>8</v>
      </c>
      <c r="CC69" s="739" t="s">
        <v>8</v>
      </c>
      <c r="CD69" s="34" t="s">
        <v>8</v>
      </c>
      <c r="CE69" s="49" t="str">
        <f t="shared" si="14"/>
        <v>×</v>
      </c>
      <c r="CF69" s="34" t="s">
        <v>8</v>
      </c>
      <c r="CG69" s="479" t="str">
        <f t="shared" si="15"/>
        <v>×</v>
      </c>
      <c r="CH69" s="1034"/>
      <c r="CI69" s="330"/>
      <c r="CJ69" s="1031" t="s">
        <v>525</v>
      </c>
      <c r="CK69" s="1032"/>
      <c r="CL69" s="1129"/>
      <c r="CM69" s="1132"/>
      <c r="CN69" s="2"/>
      <c r="CO69" s="2"/>
      <c r="CP69" s="2"/>
      <c r="CQ69" s="187" t="s">
        <v>8</v>
      </c>
      <c r="CR69" s="34" t="s">
        <v>8</v>
      </c>
      <c r="CS69" s="34" t="s">
        <v>8</v>
      </c>
      <c r="CT69" s="249" t="s">
        <v>8</v>
      </c>
      <c r="CU69" s="51" t="s">
        <v>8</v>
      </c>
      <c r="CV69" s="34" t="s">
        <v>8</v>
      </c>
      <c r="CW69" s="36" t="s">
        <v>8</v>
      </c>
      <c r="CX69" s="249" t="s">
        <v>8</v>
      </c>
    </row>
    <row r="70" spans="1:102">
      <c r="A70" s="1092"/>
      <c r="B70" s="90" t="s">
        <v>664</v>
      </c>
      <c r="C70" s="19">
        <v>98.4</v>
      </c>
      <c r="D70" s="19">
        <v>225.4</v>
      </c>
      <c r="E70" s="88" t="s">
        <v>9</v>
      </c>
      <c r="F70" s="40" t="s">
        <v>8</v>
      </c>
      <c r="G70" s="31" t="s">
        <v>8</v>
      </c>
      <c r="H70" s="31" t="s">
        <v>8</v>
      </c>
      <c r="I70" s="708" t="s">
        <v>8</v>
      </c>
      <c r="J70" s="706" t="s">
        <v>8</v>
      </c>
      <c r="K70" s="706" t="s">
        <v>8</v>
      </c>
      <c r="L70" s="360" t="s">
        <v>8</v>
      </c>
      <c r="M70" s="360" t="s">
        <v>8</v>
      </c>
      <c r="N70" s="360" t="s">
        <v>8</v>
      </c>
      <c r="O70" s="360" t="s">
        <v>8</v>
      </c>
      <c r="P70" s="360" t="s">
        <v>8</v>
      </c>
      <c r="Q70" s="706" t="s">
        <v>58</v>
      </c>
      <c r="R70" s="706" t="s">
        <v>58</v>
      </c>
      <c r="S70" s="709" t="s">
        <v>8</v>
      </c>
      <c r="T70" s="709" t="s">
        <v>8</v>
      </c>
      <c r="U70" s="709" t="s">
        <v>8</v>
      </c>
      <c r="V70" s="709" t="s">
        <v>8</v>
      </c>
      <c r="W70" s="40" t="s">
        <v>8</v>
      </c>
      <c r="X70" s="31" t="s">
        <v>8</v>
      </c>
      <c r="Y70" s="31" t="s">
        <v>8</v>
      </c>
      <c r="Z70" s="951" t="s">
        <v>8</v>
      </c>
      <c r="AA70" s="710" t="s">
        <v>8</v>
      </c>
      <c r="AB70" s="710" t="s">
        <v>8</v>
      </c>
      <c r="AC70" s="40" t="s">
        <v>8</v>
      </c>
      <c r="AD70" s="31" t="s">
        <v>8</v>
      </c>
      <c r="AE70" s="31" t="s">
        <v>8</v>
      </c>
      <c r="AF70" s="39" t="s">
        <v>8</v>
      </c>
      <c r="AG70" s="39" t="s">
        <v>8</v>
      </c>
      <c r="AH70" s="39" t="s">
        <v>8</v>
      </c>
      <c r="AI70" s="39" t="s">
        <v>8</v>
      </c>
      <c r="AJ70" s="31" t="s">
        <v>8</v>
      </c>
      <c r="AK70" s="31" t="s">
        <v>8</v>
      </c>
      <c r="AL70" s="31" t="s">
        <v>8</v>
      </c>
      <c r="AM70" s="710" t="s">
        <v>8</v>
      </c>
      <c r="AN70" s="710" t="s">
        <v>8</v>
      </c>
      <c r="AO70" s="710" t="s">
        <v>8</v>
      </c>
      <c r="AP70" s="39" t="str">
        <f t="shared" si="11"/>
        <v>×</v>
      </c>
      <c r="AQ70" s="39" t="str">
        <f t="shared" si="12"/>
        <v>×</v>
      </c>
      <c r="AR70" s="31" t="s">
        <v>8</v>
      </c>
      <c r="AS70" s="45" t="s">
        <v>8</v>
      </c>
      <c r="AT70" s="45" t="s">
        <v>8</v>
      </c>
      <c r="AU70" s="31" t="s">
        <v>8</v>
      </c>
      <c r="AV70" s="739" t="s">
        <v>8</v>
      </c>
      <c r="AW70" s="741" t="s">
        <v>8</v>
      </c>
      <c r="AX70" s="741" t="s">
        <v>8</v>
      </c>
      <c r="AY70" s="741" t="s">
        <v>8</v>
      </c>
      <c r="AZ70" s="741" t="s">
        <v>8</v>
      </c>
      <c r="BA70" s="741" t="s">
        <v>8</v>
      </c>
      <c r="BB70" s="741" t="s">
        <v>8</v>
      </c>
      <c r="BC70" s="706" t="s">
        <v>8</v>
      </c>
      <c r="BD70" s="739" t="s">
        <v>8</v>
      </c>
      <c r="BE70" s="706" t="s">
        <v>8</v>
      </c>
      <c r="BF70" s="706" t="str">
        <f t="shared" si="16"/>
        <v>×</v>
      </c>
      <c r="BG70" s="706" t="s">
        <v>8</v>
      </c>
      <c r="BH70" s="739" t="s">
        <v>8</v>
      </c>
      <c r="BI70" s="739" t="s">
        <v>8</v>
      </c>
      <c r="BJ70" s="706" t="s">
        <v>8</v>
      </c>
      <c r="BK70" s="706" t="s">
        <v>8</v>
      </c>
      <c r="BL70" s="706" t="s">
        <v>8</v>
      </c>
      <c r="BM70" s="706" t="s">
        <v>8</v>
      </c>
      <c r="BN70" s="706"/>
      <c r="BO70" s="360" t="s">
        <v>8</v>
      </c>
      <c r="BP70" s="706" t="str">
        <f t="shared" si="13"/>
        <v>×</v>
      </c>
      <c r="BQ70" s="739" t="s">
        <v>8</v>
      </c>
      <c r="BR70" s="739" t="s">
        <v>8</v>
      </c>
      <c r="BS70" s="739" t="s">
        <v>8</v>
      </c>
      <c r="BT70" s="739" t="s">
        <v>8</v>
      </c>
      <c r="BU70" s="706" t="s">
        <v>8</v>
      </c>
      <c r="BV70" s="706" t="s">
        <v>8</v>
      </c>
      <c r="BW70" s="706" t="s">
        <v>8</v>
      </c>
      <c r="BX70" s="706" t="s">
        <v>8</v>
      </c>
      <c r="BY70" s="706" t="s">
        <v>8</v>
      </c>
      <c r="BZ70" s="706" t="s">
        <v>8</v>
      </c>
      <c r="CA70" s="706" t="s">
        <v>8</v>
      </c>
      <c r="CB70" s="706" t="s">
        <v>8</v>
      </c>
      <c r="CC70" s="739" t="s">
        <v>8</v>
      </c>
      <c r="CD70" s="706" t="s">
        <v>8</v>
      </c>
      <c r="CE70" s="370" t="str">
        <f t="shared" si="14"/>
        <v>×</v>
      </c>
      <c r="CF70" s="360" t="s">
        <v>8</v>
      </c>
      <c r="CG70" s="373" t="str">
        <f t="shared" si="15"/>
        <v>×</v>
      </c>
      <c r="CH70" s="1034"/>
      <c r="CI70" s="348"/>
      <c r="CJ70" s="1048"/>
      <c r="CK70" s="1049"/>
      <c r="CL70" s="1129"/>
      <c r="CM70" s="1132"/>
      <c r="CN70" s="2"/>
      <c r="CO70" s="2"/>
      <c r="CP70" s="2"/>
      <c r="CQ70" s="271" t="s">
        <v>8</v>
      </c>
      <c r="CR70" s="31" t="s">
        <v>8</v>
      </c>
      <c r="CS70" s="31" t="s">
        <v>8</v>
      </c>
      <c r="CT70" s="247" t="s">
        <v>8</v>
      </c>
      <c r="CU70" s="40" t="s">
        <v>8</v>
      </c>
      <c r="CV70" s="31" t="s">
        <v>8</v>
      </c>
      <c r="CW70" s="41" t="s">
        <v>8</v>
      </c>
      <c r="CX70" s="247" t="s">
        <v>8</v>
      </c>
    </row>
    <row r="71" spans="1:102">
      <c r="A71" s="1092"/>
      <c r="B71" s="89" t="s">
        <v>665</v>
      </c>
      <c r="C71" s="18">
        <v>104.8</v>
      </c>
      <c r="D71" s="18">
        <v>241.3</v>
      </c>
      <c r="E71" s="84" t="s">
        <v>9</v>
      </c>
      <c r="F71" s="51" t="s">
        <v>8</v>
      </c>
      <c r="G71" s="34" t="s">
        <v>8</v>
      </c>
      <c r="H71" s="34" t="s">
        <v>58</v>
      </c>
      <c r="I71" s="1003" t="s">
        <v>8</v>
      </c>
      <c r="J71" s="997" t="s">
        <v>8</v>
      </c>
      <c r="K71" s="997" t="s">
        <v>58</v>
      </c>
      <c r="L71" s="34" t="s">
        <v>58</v>
      </c>
      <c r="M71" s="34" t="s">
        <v>637</v>
      </c>
      <c r="N71" s="34" t="s">
        <v>637</v>
      </c>
      <c r="O71" s="34" t="s">
        <v>637</v>
      </c>
      <c r="P71" s="34" t="s">
        <v>637</v>
      </c>
      <c r="Q71" s="34" t="s">
        <v>58</v>
      </c>
      <c r="R71" s="34" t="s">
        <v>58</v>
      </c>
      <c r="S71" s="709" t="s">
        <v>8</v>
      </c>
      <c r="T71" s="709" t="s">
        <v>8</v>
      </c>
      <c r="U71" s="709" t="s">
        <v>8</v>
      </c>
      <c r="V71" s="709" t="s">
        <v>8</v>
      </c>
      <c r="W71" s="51" t="s">
        <v>8</v>
      </c>
      <c r="X71" s="34" t="s">
        <v>8</v>
      </c>
      <c r="Y71" s="34" t="s">
        <v>8</v>
      </c>
      <c r="Z71" s="951" t="s">
        <v>8</v>
      </c>
      <c r="AA71" s="710" t="s">
        <v>8</v>
      </c>
      <c r="AB71" s="710" t="s">
        <v>8</v>
      </c>
      <c r="AC71" s="51" t="s">
        <v>8</v>
      </c>
      <c r="AD71" s="34" t="s">
        <v>8</v>
      </c>
      <c r="AE71" s="34" t="s">
        <v>8</v>
      </c>
      <c r="AF71" s="34" t="s">
        <v>8</v>
      </c>
      <c r="AG71" s="34" t="s">
        <v>8</v>
      </c>
      <c r="AH71" s="33" t="s">
        <v>1</v>
      </c>
      <c r="AI71" s="33" t="s">
        <v>57</v>
      </c>
      <c r="AJ71" s="42" t="s">
        <v>58</v>
      </c>
      <c r="AK71" s="33" t="s">
        <v>1</v>
      </c>
      <c r="AL71" s="33" t="s">
        <v>1</v>
      </c>
      <c r="AM71" s="710" t="s">
        <v>8</v>
      </c>
      <c r="AN71" s="710" t="s">
        <v>8</v>
      </c>
      <c r="AO71" s="710" t="s">
        <v>8</v>
      </c>
      <c r="AP71" s="34" t="str">
        <f t="shared" si="11"/>
        <v>×</v>
      </c>
      <c r="AQ71" s="34" t="str">
        <f t="shared" si="12"/>
        <v>×</v>
      </c>
      <c r="AR71" s="34" t="s">
        <v>8</v>
      </c>
      <c r="AS71" s="33" t="s">
        <v>10</v>
      </c>
      <c r="AT71" s="33" t="s">
        <v>10</v>
      </c>
      <c r="AU71" s="33" t="s">
        <v>10</v>
      </c>
      <c r="AV71" s="739" t="s">
        <v>8</v>
      </c>
      <c r="AW71" s="34" t="s">
        <v>8</v>
      </c>
      <c r="AX71" s="34" t="s">
        <v>8</v>
      </c>
      <c r="AY71" s="34" t="s">
        <v>8</v>
      </c>
      <c r="AZ71" s="34" t="s">
        <v>8</v>
      </c>
      <c r="BA71" s="34" t="s">
        <v>8</v>
      </c>
      <c r="BB71" s="33" t="s">
        <v>57</v>
      </c>
      <c r="BC71" s="34" t="s">
        <v>8</v>
      </c>
      <c r="BD71" s="739" t="s">
        <v>8</v>
      </c>
      <c r="BE71" s="34" t="s">
        <v>8</v>
      </c>
      <c r="BF71" s="34" t="str">
        <f t="shared" si="16"/>
        <v>×</v>
      </c>
      <c r="BG71" s="34" t="s">
        <v>8</v>
      </c>
      <c r="BH71" s="739" t="s">
        <v>8</v>
      </c>
      <c r="BI71" s="739" t="s">
        <v>8</v>
      </c>
      <c r="BJ71" s="34" t="s">
        <v>8</v>
      </c>
      <c r="BK71" s="34" t="s">
        <v>8</v>
      </c>
      <c r="BL71" s="34" t="s">
        <v>8</v>
      </c>
      <c r="BM71" s="34" t="s">
        <v>8</v>
      </c>
      <c r="BN71" s="34"/>
      <c r="BO71" s="360" t="s">
        <v>8</v>
      </c>
      <c r="BP71" s="34" t="str">
        <f t="shared" si="13"/>
        <v>×</v>
      </c>
      <c r="BQ71" s="739" t="s">
        <v>8</v>
      </c>
      <c r="BR71" s="739" t="s">
        <v>8</v>
      </c>
      <c r="BS71" s="739" t="s">
        <v>8</v>
      </c>
      <c r="BT71" s="739" t="s">
        <v>8</v>
      </c>
      <c r="BU71" s="34" t="s">
        <v>8</v>
      </c>
      <c r="BV71" s="34" t="s">
        <v>8</v>
      </c>
      <c r="BW71" s="34" t="s">
        <v>8</v>
      </c>
      <c r="BX71" s="360" t="s">
        <v>8</v>
      </c>
      <c r="BY71" s="34" t="s">
        <v>8</v>
      </c>
      <c r="BZ71" s="34" t="s">
        <v>8</v>
      </c>
      <c r="CA71" s="34" t="s">
        <v>8</v>
      </c>
      <c r="CB71" s="34" t="s">
        <v>8</v>
      </c>
      <c r="CC71" s="739" t="s">
        <v>8</v>
      </c>
      <c r="CD71" s="34" t="s">
        <v>8</v>
      </c>
      <c r="CE71" s="49" t="str">
        <f t="shared" si="14"/>
        <v>×</v>
      </c>
      <c r="CF71" s="34" t="s">
        <v>8</v>
      </c>
      <c r="CG71" s="479" t="str">
        <f t="shared" si="15"/>
        <v>×</v>
      </c>
      <c r="CH71" s="1034"/>
      <c r="CI71" s="331"/>
      <c r="CJ71" s="1148" t="s">
        <v>528</v>
      </c>
      <c r="CK71" s="1149"/>
      <c r="CL71" s="1129"/>
      <c r="CM71" s="1132"/>
      <c r="CN71" s="2"/>
      <c r="CO71" s="2"/>
      <c r="CP71" s="2"/>
      <c r="CQ71" s="187" t="s">
        <v>8</v>
      </c>
      <c r="CR71" s="34" t="s">
        <v>8</v>
      </c>
      <c r="CS71" s="34" t="s">
        <v>8</v>
      </c>
      <c r="CT71" s="249" t="s">
        <v>8</v>
      </c>
      <c r="CU71" s="51" t="s">
        <v>8</v>
      </c>
      <c r="CV71" s="34" t="s">
        <v>8</v>
      </c>
      <c r="CW71" s="36" t="s">
        <v>8</v>
      </c>
      <c r="CX71" s="249" t="s">
        <v>8</v>
      </c>
    </row>
    <row r="72" spans="1:102">
      <c r="A72" s="1092"/>
      <c r="B72" s="89" t="s">
        <v>666</v>
      </c>
      <c r="C72" s="18">
        <v>98.4</v>
      </c>
      <c r="D72" s="18">
        <v>190.5</v>
      </c>
      <c r="E72" s="84" t="s">
        <v>9</v>
      </c>
      <c r="F72" s="51" t="s">
        <v>8</v>
      </c>
      <c r="G72" s="34" t="s">
        <v>8</v>
      </c>
      <c r="H72" s="34" t="s">
        <v>8</v>
      </c>
      <c r="I72" s="1003" t="s">
        <v>8</v>
      </c>
      <c r="J72" s="997" t="s">
        <v>8</v>
      </c>
      <c r="K72" s="997" t="s">
        <v>8</v>
      </c>
      <c r="L72" s="34" t="s">
        <v>58</v>
      </c>
      <c r="M72" s="34" t="s">
        <v>637</v>
      </c>
      <c r="N72" s="34" t="s">
        <v>637</v>
      </c>
      <c r="O72" s="34" t="s">
        <v>637</v>
      </c>
      <c r="P72" s="34" t="s">
        <v>637</v>
      </c>
      <c r="Q72" s="34" t="s">
        <v>58</v>
      </c>
      <c r="R72" s="34" t="s">
        <v>58</v>
      </c>
      <c r="S72" s="709" t="s">
        <v>8</v>
      </c>
      <c r="T72" s="709" t="s">
        <v>8</v>
      </c>
      <c r="U72" s="709" t="s">
        <v>8</v>
      </c>
      <c r="V72" s="709" t="s">
        <v>8</v>
      </c>
      <c r="W72" s="51" t="s">
        <v>8</v>
      </c>
      <c r="X72" s="34" t="s">
        <v>8</v>
      </c>
      <c r="Y72" s="34" t="s">
        <v>8</v>
      </c>
      <c r="Z72" s="951" t="s">
        <v>8</v>
      </c>
      <c r="AA72" s="710" t="s">
        <v>8</v>
      </c>
      <c r="AB72" s="710" t="s">
        <v>8</v>
      </c>
      <c r="AC72" s="51" t="s">
        <v>8</v>
      </c>
      <c r="AD72" s="34" t="s">
        <v>8</v>
      </c>
      <c r="AE72" s="34" t="s">
        <v>8</v>
      </c>
      <c r="AF72" s="34" t="s">
        <v>8</v>
      </c>
      <c r="AG72" s="34" t="s">
        <v>8</v>
      </c>
      <c r="AH72" s="33" t="s">
        <v>10</v>
      </c>
      <c r="AI72" s="33" t="s">
        <v>10</v>
      </c>
      <c r="AJ72" s="42" t="s">
        <v>8</v>
      </c>
      <c r="AK72" s="42" t="s">
        <v>8</v>
      </c>
      <c r="AL72" s="33" t="s">
        <v>10</v>
      </c>
      <c r="AM72" s="710" t="s">
        <v>8</v>
      </c>
      <c r="AN72" s="710" t="s">
        <v>8</v>
      </c>
      <c r="AO72" s="710" t="s">
        <v>8</v>
      </c>
      <c r="AP72" s="34" t="str">
        <f t="shared" si="11"/>
        <v>×</v>
      </c>
      <c r="AQ72" s="34" t="str">
        <f t="shared" si="12"/>
        <v>×</v>
      </c>
      <c r="AR72" s="34" t="s">
        <v>8</v>
      </c>
      <c r="AS72" s="33" t="s">
        <v>10</v>
      </c>
      <c r="AT72" s="33" t="s">
        <v>10</v>
      </c>
      <c r="AU72" s="33" t="s">
        <v>10</v>
      </c>
      <c r="AV72" s="739" t="s">
        <v>8</v>
      </c>
      <c r="AW72" s="34" t="s">
        <v>8</v>
      </c>
      <c r="AX72" s="344" t="s">
        <v>584</v>
      </c>
      <c r="AY72" s="34" t="s">
        <v>8</v>
      </c>
      <c r="AZ72" s="34" t="s">
        <v>8</v>
      </c>
      <c r="BA72" s="34" t="s">
        <v>8</v>
      </c>
      <c r="BB72" s="33" t="s">
        <v>10</v>
      </c>
      <c r="BC72" s="34" t="s">
        <v>8</v>
      </c>
      <c r="BD72" s="739" t="s">
        <v>8</v>
      </c>
      <c r="BE72" s="34" t="s">
        <v>8</v>
      </c>
      <c r="BF72" s="34" t="str">
        <f t="shared" si="16"/>
        <v>×</v>
      </c>
      <c r="BG72" s="34" t="s">
        <v>8</v>
      </c>
      <c r="BH72" s="739" t="s">
        <v>8</v>
      </c>
      <c r="BI72" s="739" t="s">
        <v>8</v>
      </c>
      <c r="BJ72" s="34" t="s">
        <v>8</v>
      </c>
      <c r="BK72" s="34" t="s">
        <v>8</v>
      </c>
      <c r="BL72" s="34" t="s">
        <v>8</v>
      </c>
      <c r="BM72" s="34" t="s">
        <v>8</v>
      </c>
      <c r="BN72" s="34"/>
      <c r="BO72" s="360" t="s">
        <v>8</v>
      </c>
      <c r="BP72" s="34" t="str">
        <f t="shared" si="13"/>
        <v>×</v>
      </c>
      <c r="BQ72" s="739" t="s">
        <v>8</v>
      </c>
      <c r="BR72" s="739" t="s">
        <v>8</v>
      </c>
      <c r="BS72" s="739" t="s">
        <v>8</v>
      </c>
      <c r="BT72" s="739" t="s">
        <v>8</v>
      </c>
      <c r="BU72" s="34" t="s">
        <v>8</v>
      </c>
      <c r="BV72" s="34" t="s">
        <v>8</v>
      </c>
      <c r="BW72" s="34" t="s">
        <v>8</v>
      </c>
      <c r="BX72" s="360" t="s">
        <v>8</v>
      </c>
      <c r="BY72" s="34" t="s">
        <v>8</v>
      </c>
      <c r="BZ72" s="34" t="s">
        <v>8</v>
      </c>
      <c r="CA72" s="34" t="s">
        <v>8</v>
      </c>
      <c r="CB72" s="34" t="s">
        <v>8</v>
      </c>
      <c r="CC72" s="739" t="s">
        <v>8</v>
      </c>
      <c r="CD72" s="34" t="s">
        <v>8</v>
      </c>
      <c r="CE72" s="49" t="str">
        <f t="shared" si="14"/>
        <v>×</v>
      </c>
      <c r="CF72" s="34" t="s">
        <v>8</v>
      </c>
      <c r="CG72" s="479" t="str">
        <f t="shared" si="15"/>
        <v>×</v>
      </c>
      <c r="CH72" s="1034"/>
      <c r="CI72" s="331"/>
      <c r="CJ72" s="1148" t="s">
        <v>528</v>
      </c>
      <c r="CK72" s="1149"/>
      <c r="CL72" s="1129"/>
      <c r="CM72" s="1132"/>
      <c r="CN72" s="2"/>
      <c r="CO72" s="2"/>
      <c r="CP72" s="2"/>
      <c r="CQ72" s="187" t="s">
        <v>8</v>
      </c>
      <c r="CR72" s="34" t="s">
        <v>8</v>
      </c>
      <c r="CS72" s="34" t="s">
        <v>8</v>
      </c>
      <c r="CT72" s="249" t="s">
        <v>8</v>
      </c>
      <c r="CU72" s="51" t="s">
        <v>8</v>
      </c>
      <c r="CV72" s="34" t="s">
        <v>8</v>
      </c>
      <c r="CW72" s="36" t="s">
        <v>8</v>
      </c>
      <c r="CX72" s="249" t="s">
        <v>8</v>
      </c>
    </row>
    <row r="73" spans="1:102">
      <c r="A73" s="1092"/>
      <c r="B73" s="89" t="s">
        <v>667</v>
      </c>
      <c r="C73" s="18">
        <v>110</v>
      </c>
      <c r="D73" s="18">
        <v>220</v>
      </c>
      <c r="E73" s="84" t="s">
        <v>9</v>
      </c>
      <c r="F73" s="52" t="s">
        <v>8</v>
      </c>
      <c r="G73" s="43" t="s">
        <v>8</v>
      </c>
      <c r="H73" s="43" t="s">
        <v>8</v>
      </c>
      <c r="I73" s="986" t="s">
        <v>8</v>
      </c>
      <c r="J73" s="987" t="s">
        <v>8</v>
      </c>
      <c r="K73" s="987" t="s">
        <v>8</v>
      </c>
      <c r="L73" s="34" t="s">
        <v>58</v>
      </c>
      <c r="M73" s="34" t="s">
        <v>637</v>
      </c>
      <c r="N73" s="34" t="s">
        <v>637</v>
      </c>
      <c r="O73" s="34" t="s">
        <v>637</v>
      </c>
      <c r="P73" s="34" t="s">
        <v>637</v>
      </c>
      <c r="Q73" s="34" t="s">
        <v>58</v>
      </c>
      <c r="R73" s="34" t="s">
        <v>58</v>
      </c>
      <c r="S73" s="709" t="s">
        <v>8</v>
      </c>
      <c r="T73" s="709" t="s">
        <v>8</v>
      </c>
      <c r="U73" s="709" t="s">
        <v>8</v>
      </c>
      <c r="V73" s="709" t="s">
        <v>8</v>
      </c>
      <c r="W73" s="52" t="s">
        <v>8</v>
      </c>
      <c r="X73" s="43" t="s">
        <v>8</v>
      </c>
      <c r="Y73" s="43" t="s">
        <v>8</v>
      </c>
      <c r="Z73" s="951" t="s">
        <v>8</v>
      </c>
      <c r="AA73" s="710" t="s">
        <v>8</v>
      </c>
      <c r="AB73" s="710" t="s">
        <v>8</v>
      </c>
      <c r="AC73" s="52" t="s">
        <v>8</v>
      </c>
      <c r="AD73" s="43" t="s">
        <v>8</v>
      </c>
      <c r="AE73" s="43" t="s">
        <v>8</v>
      </c>
      <c r="AF73" s="43" t="s">
        <v>8</v>
      </c>
      <c r="AG73" s="43" t="s">
        <v>8</v>
      </c>
      <c r="AH73" s="33" t="s">
        <v>10</v>
      </c>
      <c r="AI73" s="33" t="s">
        <v>10</v>
      </c>
      <c r="AJ73" s="42" t="s">
        <v>8</v>
      </c>
      <c r="AK73" s="42" t="s">
        <v>8</v>
      </c>
      <c r="AL73" s="42" t="s">
        <v>8</v>
      </c>
      <c r="AM73" s="710" t="s">
        <v>8</v>
      </c>
      <c r="AN73" s="710" t="s">
        <v>8</v>
      </c>
      <c r="AO73" s="710" t="s">
        <v>8</v>
      </c>
      <c r="AP73" s="43" t="str">
        <f t="shared" si="11"/>
        <v>×</v>
      </c>
      <c r="AQ73" s="43" t="str">
        <f t="shared" si="12"/>
        <v>×</v>
      </c>
      <c r="AR73" s="43" t="s">
        <v>8</v>
      </c>
      <c r="AS73" s="44" t="s">
        <v>10</v>
      </c>
      <c r="AT73" s="44" t="s">
        <v>10</v>
      </c>
      <c r="AU73" s="44" t="s">
        <v>10</v>
      </c>
      <c r="AV73" s="739" t="s">
        <v>8</v>
      </c>
      <c r="AW73" s="43" t="s">
        <v>8</v>
      </c>
      <c r="AX73" s="43" t="s">
        <v>8</v>
      </c>
      <c r="AY73" s="43" t="s">
        <v>8</v>
      </c>
      <c r="AZ73" s="43" t="s">
        <v>8</v>
      </c>
      <c r="BA73" s="43" t="s">
        <v>8</v>
      </c>
      <c r="BB73" s="44" t="s">
        <v>10</v>
      </c>
      <c r="BC73" s="43" t="s">
        <v>8</v>
      </c>
      <c r="BD73" s="739" t="s">
        <v>8</v>
      </c>
      <c r="BE73" s="43" t="s">
        <v>8</v>
      </c>
      <c r="BF73" s="43" t="str">
        <f t="shared" si="16"/>
        <v>×</v>
      </c>
      <c r="BG73" s="43" t="s">
        <v>8</v>
      </c>
      <c r="BH73" s="739" t="s">
        <v>8</v>
      </c>
      <c r="BI73" s="739" t="s">
        <v>8</v>
      </c>
      <c r="BJ73" s="43" t="s">
        <v>8</v>
      </c>
      <c r="BK73" s="43" t="s">
        <v>8</v>
      </c>
      <c r="BL73" s="43" t="s">
        <v>8</v>
      </c>
      <c r="BM73" s="43" t="s">
        <v>8</v>
      </c>
      <c r="BN73" s="43"/>
      <c r="BO73" s="361" t="s">
        <v>8</v>
      </c>
      <c r="BP73" s="43" t="str">
        <f t="shared" si="13"/>
        <v>×</v>
      </c>
      <c r="BQ73" s="739" t="s">
        <v>8</v>
      </c>
      <c r="BR73" s="739" t="s">
        <v>8</v>
      </c>
      <c r="BS73" s="739" t="s">
        <v>8</v>
      </c>
      <c r="BT73" s="739" t="s">
        <v>8</v>
      </c>
      <c r="BU73" s="43" t="s">
        <v>8</v>
      </c>
      <c r="BV73" s="43" t="s">
        <v>8</v>
      </c>
      <c r="BW73" s="43" t="s">
        <v>8</v>
      </c>
      <c r="BX73" s="361" t="s">
        <v>8</v>
      </c>
      <c r="BY73" s="43" t="s">
        <v>8</v>
      </c>
      <c r="BZ73" s="43" t="s">
        <v>8</v>
      </c>
      <c r="CA73" s="43" t="s">
        <v>8</v>
      </c>
      <c r="CB73" s="43" t="s">
        <v>8</v>
      </c>
      <c r="CC73" s="739" t="s">
        <v>8</v>
      </c>
      <c r="CD73" s="43" t="s">
        <v>8</v>
      </c>
      <c r="CE73" s="50" t="str">
        <f t="shared" si="14"/>
        <v>×</v>
      </c>
      <c r="CF73" s="43" t="s">
        <v>8</v>
      </c>
      <c r="CG73" s="479" t="str">
        <f t="shared" si="15"/>
        <v>×</v>
      </c>
      <c r="CH73" s="1034"/>
      <c r="CI73" s="331"/>
      <c r="CJ73" s="1148" t="s">
        <v>528</v>
      </c>
      <c r="CK73" s="1149"/>
      <c r="CL73" s="1130"/>
      <c r="CM73" s="1132"/>
      <c r="CN73" s="2"/>
      <c r="CO73" s="2"/>
      <c r="CP73" s="2"/>
      <c r="CQ73" s="702" t="s">
        <v>8</v>
      </c>
      <c r="CR73" s="43" t="s">
        <v>8</v>
      </c>
      <c r="CS73" s="43" t="s">
        <v>8</v>
      </c>
      <c r="CT73" s="703" t="s">
        <v>8</v>
      </c>
      <c r="CU73" s="52" t="s">
        <v>8</v>
      </c>
      <c r="CV73" s="43" t="s">
        <v>8</v>
      </c>
      <c r="CW73" s="42" t="s">
        <v>8</v>
      </c>
      <c r="CX73" s="703" t="s">
        <v>8</v>
      </c>
    </row>
    <row r="74" spans="1:102">
      <c r="A74" s="1092"/>
      <c r="B74" s="89" t="s">
        <v>668</v>
      </c>
      <c r="C74" s="18">
        <v>229</v>
      </c>
      <c r="D74" s="18">
        <v>324</v>
      </c>
      <c r="E74" s="84" t="s">
        <v>7</v>
      </c>
      <c r="F74" s="52" t="s">
        <v>8</v>
      </c>
      <c r="G74" s="43" t="s">
        <v>8</v>
      </c>
      <c r="H74" s="43" t="s">
        <v>8</v>
      </c>
      <c r="I74" s="986" t="s">
        <v>8</v>
      </c>
      <c r="J74" s="987" t="s">
        <v>8</v>
      </c>
      <c r="K74" s="987" t="s">
        <v>8</v>
      </c>
      <c r="L74" s="34" t="s">
        <v>637</v>
      </c>
      <c r="M74" s="34" t="s">
        <v>637</v>
      </c>
      <c r="N74" s="34" t="s">
        <v>637</v>
      </c>
      <c r="O74" s="34" t="s">
        <v>637</v>
      </c>
      <c r="P74" s="34" t="s">
        <v>637</v>
      </c>
      <c r="Q74" s="34" t="s">
        <v>58</v>
      </c>
      <c r="R74" s="34" t="s">
        <v>58</v>
      </c>
      <c r="S74" s="709" t="s">
        <v>8</v>
      </c>
      <c r="T74" s="709" t="s">
        <v>8</v>
      </c>
      <c r="U74" s="709" t="s">
        <v>8</v>
      </c>
      <c r="V74" s="709" t="s">
        <v>8</v>
      </c>
      <c r="W74" s="52" t="s">
        <v>8</v>
      </c>
      <c r="X74" s="43" t="s">
        <v>8</v>
      </c>
      <c r="Y74" s="43" t="s">
        <v>8</v>
      </c>
      <c r="Z74" s="951" t="s">
        <v>8</v>
      </c>
      <c r="AA74" s="710" t="s">
        <v>8</v>
      </c>
      <c r="AB74" s="710" t="s">
        <v>8</v>
      </c>
      <c r="AC74" s="52" t="s">
        <v>8</v>
      </c>
      <c r="AD74" s="43" t="s">
        <v>8</v>
      </c>
      <c r="AE74" s="43" t="s">
        <v>8</v>
      </c>
      <c r="AF74" s="43" t="s">
        <v>8</v>
      </c>
      <c r="AG74" s="43" t="s">
        <v>8</v>
      </c>
      <c r="AH74" s="33" t="s">
        <v>10</v>
      </c>
      <c r="AI74" s="33" t="s">
        <v>10</v>
      </c>
      <c r="AJ74" s="42" t="s">
        <v>8</v>
      </c>
      <c r="AK74" s="42" t="s">
        <v>8</v>
      </c>
      <c r="AL74" s="42" t="s">
        <v>8</v>
      </c>
      <c r="AM74" s="710" t="s">
        <v>8</v>
      </c>
      <c r="AN74" s="710" t="s">
        <v>8</v>
      </c>
      <c r="AO74" s="710" t="s">
        <v>8</v>
      </c>
      <c r="AP74" s="43" t="str">
        <f t="shared" si="11"/>
        <v>×</v>
      </c>
      <c r="AQ74" s="43" t="str">
        <f t="shared" si="12"/>
        <v>×</v>
      </c>
      <c r="AR74" s="43" t="s">
        <v>8</v>
      </c>
      <c r="AS74" s="44" t="s">
        <v>10</v>
      </c>
      <c r="AT74" s="44" t="s">
        <v>10</v>
      </c>
      <c r="AU74" s="44" t="s">
        <v>10</v>
      </c>
      <c r="AV74" s="739" t="s">
        <v>8</v>
      </c>
      <c r="AW74" s="43" t="s">
        <v>8</v>
      </c>
      <c r="AX74" s="679" t="s">
        <v>1</v>
      </c>
      <c r="AY74" s="43" t="s">
        <v>8</v>
      </c>
      <c r="AZ74" s="43" t="s">
        <v>8</v>
      </c>
      <c r="BA74" s="43" t="s">
        <v>8</v>
      </c>
      <c r="BB74" s="44" t="s">
        <v>10</v>
      </c>
      <c r="BC74" s="34" t="s">
        <v>8</v>
      </c>
      <c r="BD74" s="739" t="s">
        <v>8</v>
      </c>
      <c r="BE74" s="43" t="s">
        <v>8</v>
      </c>
      <c r="BF74" s="43" t="str">
        <f t="shared" si="16"/>
        <v>×</v>
      </c>
      <c r="BG74" s="43" t="s">
        <v>8</v>
      </c>
      <c r="BH74" s="739" t="s">
        <v>8</v>
      </c>
      <c r="BI74" s="739" t="s">
        <v>8</v>
      </c>
      <c r="BJ74" s="43" t="s">
        <v>8</v>
      </c>
      <c r="BK74" s="43" t="s">
        <v>8</v>
      </c>
      <c r="BL74" s="43" t="s">
        <v>8</v>
      </c>
      <c r="BM74" s="43" t="s">
        <v>8</v>
      </c>
      <c r="BN74" s="43"/>
      <c r="BO74" s="361" t="s">
        <v>8</v>
      </c>
      <c r="BP74" s="43" t="str">
        <f t="shared" si="13"/>
        <v>×</v>
      </c>
      <c r="BQ74" s="739" t="s">
        <v>8</v>
      </c>
      <c r="BR74" s="739" t="s">
        <v>8</v>
      </c>
      <c r="BS74" s="739" t="s">
        <v>8</v>
      </c>
      <c r="BT74" s="739" t="s">
        <v>8</v>
      </c>
      <c r="BU74" s="43" t="s">
        <v>8</v>
      </c>
      <c r="BV74" s="43" t="s">
        <v>8</v>
      </c>
      <c r="BW74" s="43" t="s">
        <v>8</v>
      </c>
      <c r="BX74" s="361" t="s">
        <v>8</v>
      </c>
      <c r="BY74" s="43" t="s">
        <v>8</v>
      </c>
      <c r="BZ74" s="43" t="s">
        <v>8</v>
      </c>
      <c r="CA74" s="43" t="s">
        <v>8</v>
      </c>
      <c r="CB74" s="43" t="s">
        <v>8</v>
      </c>
      <c r="CC74" s="739" t="s">
        <v>8</v>
      </c>
      <c r="CD74" s="43" t="s">
        <v>8</v>
      </c>
      <c r="CE74" s="50" t="str">
        <f t="shared" si="14"/>
        <v>×</v>
      </c>
      <c r="CF74" s="43" t="s">
        <v>8</v>
      </c>
      <c r="CG74" s="479" t="str">
        <f t="shared" si="15"/>
        <v>×</v>
      </c>
      <c r="CH74" s="1034"/>
      <c r="CI74" s="331"/>
      <c r="CJ74" s="1031" t="s">
        <v>529</v>
      </c>
      <c r="CK74" s="1032"/>
      <c r="CL74" s="334" t="s">
        <v>530</v>
      </c>
      <c r="CM74" s="326" t="s">
        <v>531</v>
      </c>
      <c r="CN74" s="2"/>
      <c r="CO74" s="2"/>
      <c r="CP74" s="2"/>
      <c r="CQ74" s="702" t="s">
        <v>8</v>
      </c>
      <c r="CR74" s="43" t="s">
        <v>8</v>
      </c>
      <c r="CS74" s="43" t="s">
        <v>8</v>
      </c>
      <c r="CT74" s="703" t="s">
        <v>8</v>
      </c>
      <c r="CU74" s="52" t="s">
        <v>8</v>
      </c>
      <c r="CV74" s="43" t="s">
        <v>8</v>
      </c>
      <c r="CW74" s="42" t="s">
        <v>8</v>
      </c>
      <c r="CX74" s="703" t="s">
        <v>8</v>
      </c>
    </row>
    <row r="75" spans="1:102">
      <c r="A75" s="1092"/>
      <c r="B75" s="504" t="s">
        <v>669</v>
      </c>
      <c r="C75" s="346">
        <v>162</v>
      </c>
      <c r="D75" s="346">
        <v>229</v>
      </c>
      <c r="E75" s="84" t="s">
        <v>60</v>
      </c>
      <c r="F75" s="52" t="s">
        <v>8</v>
      </c>
      <c r="G75" s="43" t="s">
        <v>8</v>
      </c>
      <c r="H75" s="43" t="s">
        <v>8</v>
      </c>
      <c r="I75" s="986" t="s">
        <v>8</v>
      </c>
      <c r="J75" s="987" t="s">
        <v>8</v>
      </c>
      <c r="K75" s="987" t="s">
        <v>8</v>
      </c>
      <c r="L75" s="34" t="s">
        <v>638</v>
      </c>
      <c r="M75" s="34" t="s">
        <v>637</v>
      </c>
      <c r="N75" s="34" t="s">
        <v>637</v>
      </c>
      <c r="O75" s="34" t="s">
        <v>637</v>
      </c>
      <c r="P75" s="34" t="s">
        <v>637</v>
      </c>
      <c r="Q75" s="34" t="s">
        <v>58</v>
      </c>
      <c r="R75" s="34" t="s">
        <v>58</v>
      </c>
      <c r="S75" s="709" t="s">
        <v>8</v>
      </c>
      <c r="T75" s="709" t="s">
        <v>8</v>
      </c>
      <c r="U75" s="709" t="s">
        <v>8</v>
      </c>
      <c r="V75" s="709" t="s">
        <v>8</v>
      </c>
      <c r="W75" s="52" t="s">
        <v>8</v>
      </c>
      <c r="X75" s="43" t="s">
        <v>8</v>
      </c>
      <c r="Y75" s="43" t="s">
        <v>8</v>
      </c>
      <c r="Z75" s="951" t="s">
        <v>8</v>
      </c>
      <c r="AA75" s="710" t="s">
        <v>8</v>
      </c>
      <c r="AB75" s="710" t="s">
        <v>8</v>
      </c>
      <c r="AC75" s="52" t="s">
        <v>8</v>
      </c>
      <c r="AD75" s="43" t="s">
        <v>8</v>
      </c>
      <c r="AE75" s="43" t="s">
        <v>8</v>
      </c>
      <c r="AF75" s="43" t="s">
        <v>8</v>
      </c>
      <c r="AG75" s="43" t="s">
        <v>8</v>
      </c>
      <c r="AH75" s="33" t="s">
        <v>10</v>
      </c>
      <c r="AI75" s="33" t="s">
        <v>10</v>
      </c>
      <c r="AJ75" s="42" t="s">
        <v>8</v>
      </c>
      <c r="AK75" s="42" t="s">
        <v>8</v>
      </c>
      <c r="AL75" s="42" t="s">
        <v>8</v>
      </c>
      <c r="AM75" s="710" t="s">
        <v>8</v>
      </c>
      <c r="AN75" s="710" t="s">
        <v>8</v>
      </c>
      <c r="AO75" s="710" t="s">
        <v>8</v>
      </c>
      <c r="AP75" s="43" t="str">
        <f t="shared" si="11"/>
        <v>×</v>
      </c>
      <c r="AQ75" s="43" t="str">
        <f t="shared" si="12"/>
        <v>×</v>
      </c>
      <c r="AR75" s="43" t="s">
        <v>8</v>
      </c>
      <c r="AS75" s="44" t="s">
        <v>10</v>
      </c>
      <c r="AT75" s="44" t="s">
        <v>10</v>
      </c>
      <c r="AU75" s="44" t="s">
        <v>10</v>
      </c>
      <c r="AV75" s="739" t="s">
        <v>8</v>
      </c>
      <c r="AW75" s="43" t="s">
        <v>8</v>
      </c>
      <c r="AX75" s="679" t="s">
        <v>1</v>
      </c>
      <c r="AY75" s="43" t="s">
        <v>8</v>
      </c>
      <c r="AZ75" s="43" t="s">
        <v>8</v>
      </c>
      <c r="BA75" s="43" t="s">
        <v>8</v>
      </c>
      <c r="BB75" s="44" t="s">
        <v>10</v>
      </c>
      <c r="BC75" s="34" t="s">
        <v>8</v>
      </c>
      <c r="BD75" s="739" t="s">
        <v>8</v>
      </c>
      <c r="BE75" s="43" t="s">
        <v>8</v>
      </c>
      <c r="BF75" s="43" t="str">
        <f t="shared" si="16"/>
        <v>×</v>
      </c>
      <c r="BG75" s="43" t="s">
        <v>8</v>
      </c>
      <c r="BH75" s="739" t="s">
        <v>8</v>
      </c>
      <c r="BI75" s="739" t="s">
        <v>8</v>
      </c>
      <c r="BJ75" s="43" t="s">
        <v>8</v>
      </c>
      <c r="BK75" s="43" t="s">
        <v>8</v>
      </c>
      <c r="BL75" s="43" t="s">
        <v>8</v>
      </c>
      <c r="BM75" s="43" t="s">
        <v>8</v>
      </c>
      <c r="BN75" s="43"/>
      <c r="BO75" s="361" t="s">
        <v>8</v>
      </c>
      <c r="BP75" s="43" t="str">
        <f t="shared" si="13"/>
        <v>×</v>
      </c>
      <c r="BQ75" s="739" t="s">
        <v>8</v>
      </c>
      <c r="BR75" s="739" t="s">
        <v>8</v>
      </c>
      <c r="BS75" s="739" t="s">
        <v>8</v>
      </c>
      <c r="BT75" s="739" t="s">
        <v>8</v>
      </c>
      <c r="BU75" s="43" t="s">
        <v>8</v>
      </c>
      <c r="BV75" s="43" t="s">
        <v>8</v>
      </c>
      <c r="BW75" s="43" t="s">
        <v>8</v>
      </c>
      <c r="BX75" s="361" t="s">
        <v>8</v>
      </c>
      <c r="BY75" s="43" t="s">
        <v>8</v>
      </c>
      <c r="BZ75" s="43" t="s">
        <v>8</v>
      </c>
      <c r="CA75" s="43" t="s">
        <v>8</v>
      </c>
      <c r="CB75" s="43" t="s">
        <v>8</v>
      </c>
      <c r="CC75" s="739" t="s">
        <v>8</v>
      </c>
      <c r="CD75" s="43" t="s">
        <v>8</v>
      </c>
      <c r="CE75" s="50" t="str">
        <f t="shared" si="14"/>
        <v>×</v>
      </c>
      <c r="CF75" s="43" t="s">
        <v>8</v>
      </c>
      <c r="CG75" s="479" t="str">
        <f t="shared" si="15"/>
        <v>×</v>
      </c>
      <c r="CH75" s="1034"/>
      <c r="CI75" s="331"/>
      <c r="CJ75" s="1031" t="s">
        <v>528</v>
      </c>
      <c r="CK75" s="1032"/>
      <c r="CL75" s="333"/>
      <c r="CM75" s="327"/>
      <c r="CN75" s="2"/>
      <c r="CO75" s="2"/>
      <c r="CP75" s="2"/>
      <c r="CQ75" s="702" t="s">
        <v>8</v>
      </c>
      <c r="CR75" s="43" t="s">
        <v>8</v>
      </c>
      <c r="CS75" s="43" t="s">
        <v>8</v>
      </c>
      <c r="CT75" s="703" t="s">
        <v>8</v>
      </c>
      <c r="CU75" s="52" t="s">
        <v>8</v>
      </c>
      <c r="CV75" s="43" t="s">
        <v>8</v>
      </c>
      <c r="CW75" s="42" t="s">
        <v>8</v>
      </c>
      <c r="CX75" s="703" t="s">
        <v>8</v>
      </c>
    </row>
    <row r="76" spans="1:102">
      <c r="A76" s="1092"/>
      <c r="B76" s="91" t="s">
        <v>670</v>
      </c>
      <c r="C76" s="20">
        <v>176</v>
      </c>
      <c r="D76" s="20">
        <v>250</v>
      </c>
      <c r="E76" s="88" t="s">
        <v>7</v>
      </c>
      <c r="F76" s="46" t="s">
        <v>8</v>
      </c>
      <c r="G76" s="45" t="s">
        <v>8</v>
      </c>
      <c r="H76" s="741" t="s">
        <v>8</v>
      </c>
      <c r="I76" s="871" t="s">
        <v>8</v>
      </c>
      <c r="J76" s="741" t="s">
        <v>8</v>
      </c>
      <c r="K76" s="741" t="s">
        <v>8</v>
      </c>
      <c r="L76" s="360" t="s">
        <v>8</v>
      </c>
      <c r="M76" s="360" t="s">
        <v>8</v>
      </c>
      <c r="N76" s="360" t="s">
        <v>8</v>
      </c>
      <c r="O76" s="360" t="s">
        <v>8</v>
      </c>
      <c r="P76" s="360" t="s">
        <v>8</v>
      </c>
      <c r="Q76" s="706" t="s">
        <v>58</v>
      </c>
      <c r="R76" s="706" t="s">
        <v>58</v>
      </c>
      <c r="S76" s="709" t="s">
        <v>8</v>
      </c>
      <c r="T76" s="709" t="s">
        <v>8</v>
      </c>
      <c r="U76" s="709" t="s">
        <v>8</v>
      </c>
      <c r="V76" s="709" t="s">
        <v>8</v>
      </c>
      <c r="W76" s="46" t="s">
        <v>8</v>
      </c>
      <c r="X76" s="45" t="s">
        <v>8</v>
      </c>
      <c r="Y76" s="45" t="s">
        <v>8</v>
      </c>
      <c r="Z76" s="951" t="s">
        <v>8</v>
      </c>
      <c r="AA76" s="710" t="s">
        <v>8</v>
      </c>
      <c r="AB76" s="710" t="s">
        <v>8</v>
      </c>
      <c r="AC76" s="46" t="s">
        <v>8</v>
      </c>
      <c r="AD76" s="45" t="s">
        <v>8</v>
      </c>
      <c r="AE76" s="45" t="s">
        <v>8</v>
      </c>
      <c r="AF76" s="39" t="s">
        <v>8</v>
      </c>
      <c r="AG76" s="39" t="s">
        <v>8</v>
      </c>
      <c r="AH76" s="39" t="s">
        <v>8</v>
      </c>
      <c r="AI76" s="39" t="s">
        <v>8</v>
      </c>
      <c r="AJ76" s="39" t="s">
        <v>8</v>
      </c>
      <c r="AK76" s="39" t="s">
        <v>8</v>
      </c>
      <c r="AL76" s="39" t="s">
        <v>8</v>
      </c>
      <c r="AM76" s="710" t="s">
        <v>8</v>
      </c>
      <c r="AN76" s="710" t="s">
        <v>8</v>
      </c>
      <c r="AO76" s="710" t="s">
        <v>8</v>
      </c>
      <c r="AP76" s="39" t="str">
        <f t="shared" si="11"/>
        <v>×</v>
      </c>
      <c r="AQ76" s="39" t="str">
        <f t="shared" si="12"/>
        <v>×</v>
      </c>
      <c r="AR76" s="45" t="s">
        <v>8</v>
      </c>
      <c r="AS76" s="45" t="s">
        <v>8</v>
      </c>
      <c r="AT76" s="45" t="s">
        <v>8</v>
      </c>
      <c r="AU76" s="45" t="s">
        <v>8</v>
      </c>
      <c r="AV76" s="739" t="s">
        <v>8</v>
      </c>
      <c r="AW76" s="741" t="s">
        <v>8</v>
      </c>
      <c r="AX76" s="741" t="s">
        <v>8</v>
      </c>
      <c r="AY76" s="741" t="s">
        <v>8</v>
      </c>
      <c r="AZ76" s="741" t="s">
        <v>8</v>
      </c>
      <c r="BA76" s="741" t="s">
        <v>8</v>
      </c>
      <c r="BB76" s="741" t="s">
        <v>8</v>
      </c>
      <c r="BC76" s="741" t="s">
        <v>8</v>
      </c>
      <c r="BD76" s="739" t="s">
        <v>8</v>
      </c>
      <c r="BE76" s="741" t="s">
        <v>8</v>
      </c>
      <c r="BF76" s="741" t="str">
        <f t="shared" si="16"/>
        <v>×</v>
      </c>
      <c r="BG76" s="741" t="s">
        <v>8</v>
      </c>
      <c r="BH76" s="739" t="s">
        <v>8</v>
      </c>
      <c r="BI76" s="739" t="s">
        <v>8</v>
      </c>
      <c r="BJ76" s="741" t="s">
        <v>8</v>
      </c>
      <c r="BK76" s="741" t="s">
        <v>8</v>
      </c>
      <c r="BL76" s="741" t="s">
        <v>8</v>
      </c>
      <c r="BM76" s="741" t="s">
        <v>8</v>
      </c>
      <c r="BN76" s="741"/>
      <c r="BO76" s="361" t="s">
        <v>8</v>
      </c>
      <c r="BP76" s="741" t="str">
        <f t="shared" si="13"/>
        <v>×</v>
      </c>
      <c r="BQ76" s="739" t="s">
        <v>8</v>
      </c>
      <c r="BR76" s="739" t="s">
        <v>8</v>
      </c>
      <c r="BS76" s="739" t="s">
        <v>8</v>
      </c>
      <c r="BT76" s="739" t="s">
        <v>8</v>
      </c>
      <c r="BU76" s="741" t="s">
        <v>8</v>
      </c>
      <c r="BV76" s="741" t="s">
        <v>8</v>
      </c>
      <c r="BW76" s="741" t="s">
        <v>8</v>
      </c>
      <c r="BX76" s="741" t="s">
        <v>8</v>
      </c>
      <c r="BY76" s="741" t="s">
        <v>8</v>
      </c>
      <c r="BZ76" s="741" t="s">
        <v>8</v>
      </c>
      <c r="CA76" s="741" t="s">
        <v>8</v>
      </c>
      <c r="CB76" s="741" t="s">
        <v>8</v>
      </c>
      <c r="CC76" s="739" t="s">
        <v>8</v>
      </c>
      <c r="CD76" s="741" t="s">
        <v>8</v>
      </c>
      <c r="CE76" s="372" t="str">
        <f t="shared" si="14"/>
        <v>×</v>
      </c>
      <c r="CF76" s="361" t="s">
        <v>8</v>
      </c>
      <c r="CG76" s="373" t="str">
        <f t="shared" si="15"/>
        <v>×</v>
      </c>
      <c r="CH76" s="1034"/>
      <c r="CI76" s="348"/>
      <c r="CJ76" s="1048"/>
      <c r="CK76" s="1152"/>
      <c r="CL76" s="333"/>
      <c r="CM76" s="327"/>
      <c r="CN76" s="2"/>
      <c r="CO76" s="2"/>
      <c r="CP76" s="2"/>
      <c r="CQ76" s="275" t="s">
        <v>8</v>
      </c>
      <c r="CR76" s="45" t="s">
        <v>8</v>
      </c>
      <c r="CS76" s="45" t="s">
        <v>8</v>
      </c>
      <c r="CT76" s="254" t="s">
        <v>8</v>
      </c>
      <c r="CU76" s="46" t="s">
        <v>8</v>
      </c>
      <c r="CV76" s="45" t="s">
        <v>8</v>
      </c>
      <c r="CW76" s="39" t="s">
        <v>8</v>
      </c>
      <c r="CX76" s="254" t="s">
        <v>8</v>
      </c>
    </row>
    <row r="77" spans="1:102">
      <c r="A77" s="1092"/>
      <c r="B77" s="503" t="s">
        <v>671</v>
      </c>
      <c r="C77" s="18">
        <v>114</v>
      </c>
      <c r="D77" s="18">
        <v>162</v>
      </c>
      <c r="E77" s="84" t="s">
        <v>0</v>
      </c>
      <c r="F77" s="52" t="s">
        <v>8</v>
      </c>
      <c r="G77" s="43" t="s">
        <v>8</v>
      </c>
      <c r="H77" s="43" t="s">
        <v>8</v>
      </c>
      <c r="I77" s="986" t="s">
        <v>8</v>
      </c>
      <c r="J77" s="987" t="s">
        <v>8</v>
      </c>
      <c r="K77" s="987" t="s">
        <v>8</v>
      </c>
      <c r="L77" s="34" t="s">
        <v>637</v>
      </c>
      <c r="M77" s="34" t="s">
        <v>637</v>
      </c>
      <c r="N77" s="34" t="s">
        <v>637</v>
      </c>
      <c r="O77" s="34" t="s">
        <v>637</v>
      </c>
      <c r="P77" s="34" t="s">
        <v>637</v>
      </c>
      <c r="Q77" s="34" t="s">
        <v>637</v>
      </c>
      <c r="R77" s="34" t="s">
        <v>58</v>
      </c>
      <c r="S77" s="709" t="s">
        <v>8</v>
      </c>
      <c r="T77" s="709" t="s">
        <v>8</v>
      </c>
      <c r="U77" s="709" t="s">
        <v>8</v>
      </c>
      <c r="V77" s="709" t="s">
        <v>8</v>
      </c>
      <c r="W77" s="52" t="s">
        <v>8</v>
      </c>
      <c r="X77" s="43" t="s">
        <v>8</v>
      </c>
      <c r="Y77" s="43" t="s">
        <v>8</v>
      </c>
      <c r="Z77" s="951" t="s">
        <v>8</v>
      </c>
      <c r="AA77" s="710" t="s">
        <v>8</v>
      </c>
      <c r="AB77" s="710" t="s">
        <v>8</v>
      </c>
      <c r="AC77" s="52" t="s">
        <v>8</v>
      </c>
      <c r="AD77" s="43" t="s">
        <v>8</v>
      </c>
      <c r="AE77" s="43" t="s">
        <v>8</v>
      </c>
      <c r="AF77" s="42" t="s">
        <v>8</v>
      </c>
      <c r="AG77" s="42" t="s">
        <v>8</v>
      </c>
      <c r="AH77" s="33" t="s">
        <v>1</v>
      </c>
      <c r="AI77" s="33" t="s">
        <v>1</v>
      </c>
      <c r="AJ77" s="42" t="s">
        <v>8</v>
      </c>
      <c r="AK77" s="42" t="s">
        <v>8</v>
      </c>
      <c r="AL77" s="42" t="s">
        <v>8</v>
      </c>
      <c r="AM77" s="710" t="s">
        <v>8</v>
      </c>
      <c r="AN77" s="710" t="s">
        <v>8</v>
      </c>
      <c r="AO77" s="710" t="s">
        <v>8</v>
      </c>
      <c r="AP77" s="42" t="str">
        <f t="shared" si="11"/>
        <v>×</v>
      </c>
      <c r="AQ77" s="42" t="str">
        <f t="shared" si="12"/>
        <v>×</v>
      </c>
      <c r="AR77" s="43" t="s">
        <v>8</v>
      </c>
      <c r="AS77" s="44" t="s">
        <v>1</v>
      </c>
      <c r="AT77" s="44" t="s">
        <v>1</v>
      </c>
      <c r="AU77" s="44" t="s">
        <v>1</v>
      </c>
      <c r="AV77" s="739" t="s">
        <v>8</v>
      </c>
      <c r="AW77" s="43" t="s">
        <v>8</v>
      </c>
      <c r="AX77" s="43" t="s">
        <v>8</v>
      </c>
      <c r="AY77" s="43" t="s">
        <v>8</v>
      </c>
      <c r="AZ77" s="43" t="s">
        <v>8</v>
      </c>
      <c r="BA77" s="43" t="s">
        <v>8</v>
      </c>
      <c r="BB77" s="44" t="s">
        <v>1</v>
      </c>
      <c r="BC77" s="43" t="s">
        <v>8</v>
      </c>
      <c r="BD77" s="739" t="s">
        <v>8</v>
      </c>
      <c r="BE77" s="43" t="s">
        <v>8</v>
      </c>
      <c r="BF77" s="43" t="str">
        <f t="shared" si="16"/>
        <v>×</v>
      </c>
      <c r="BG77" s="43" t="s">
        <v>8</v>
      </c>
      <c r="BH77" s="739" t="s">
        <v>8</v>
      </c>
      <c r="BI77" s="739" t="s">
        <v>8</v>
      </c>
      <c r="BJ77" s="43" t="s">
        <v>8</v>
      </c>
      <c r="BK77" s="43" t="s">
        <v>8</v>
      </c>
      <c r="BL77" s="43" t="s">
        <v>8</v>
      </c>
      <c r="BM77" s="43" t="s">
        <v>8</v>
      </c>
      <c r="BN77" s="43"/>
      <c r="BO77" s="361" t="s">
        <v>8</v>
      </c>
      <c r="BP77" s="43" t="str">
        <f t="shared" si="13"/>
        <v>×</v>
      </c>
      <c r="BQ77" s="739" t="s">
        <v>8</v>
      </c>
      <c r="BR77" s="739" t="s">
        <v>8</v>
      </c>
      <c r="BS77" s="739" t="s">
        <v>8</v>
      </c>
      <c r="BT77" s="739" t="s">
        <v>8</v>
      </c>
      <c r="BU77" s="43" t="s">
        <v>8</v>
      </c>
      <c r="BV77" s="43" t="s">
        <v>8</v>
      </c>
      <c r="BW77" s="43" t="s">
        <v>8</v>
      </c>
      <c r="BX77" s="361" t="s">
        <v>8</v>
      </c>
      <c r="BY77" s="43" t="s">
        <v>8</v>
      </c>
      <c r="BZ77" s="43" t="s">
        <v>8</v>
      </c>
      <c r="CA77" s="43" t="s">
        <v>8</v>
      </c>
      <c r="CB77" s="43" t="s">
        <v>8</v>
      </c>
      <c r="CC77" s="739" t="s">
        <v>8</v>
      </c>
      <c r="CD77" s="43" t="s">
        <v>8</v>
      </c>
      <c r="CE77" s="50" t="str">
        <f t="shared" si="14"/>
        <v>×</v>
      </c>
      <c r="CF77" s="43" t="s">
        <v>8</v>
      </c>
      <c r="CG77" s="479" t="str">
        <f t="shared" si="15"/>
        <v>×</v>
      </c>
      <c r="CH77" s="1034"/>
      <c r="CI77" s="348"/>
      <c r="CJ77" s="1031" t="s">
        <v>528</v>
      </c>
      <c r="CK77" s="1032"/>
      <c r="CL77" s="333"/>
      <c r="CM77" s="327"/>
      <c r="CN77" s="2"/>
      <c r="CO77" s="2"/>
      <c r="CP77" s="2"/>
      <c r="CQ77" s="702" t="s">
        <v>8</v>
      </c>
      <c r="CR77" s="43" t="s">
        <v>8</v>
      </c>
      <c r="CS77" s="43" t="s">
        <v>8</v>
      </c>
      <c r="CT77" s="703" t="s">
        <v>8</v>
      </c>
      <c r="CU77" s="52" t="s">
        <v>8</v>
      </c>
      <c r="CV77" s="43" t="s">
        <v>8</v>
      </c>
      <c r="CW77" s="42" t="s">
        <v>8</v>
      </c>
      <c r="CX77" s="703" t="s">
        <v>8</v>
      </c>
    </row>
    <row r="78" spans="1:102">
      <c r="A78" s="1092"/>
      <c r="B78" s="503" t="s">
        <v>672</v>
      </c>
      <c r="C78" s="18">
        <v>98</v>
      </c>
      <c r="D78" s="18">
        <v>148</v>
      </c>
      <c r="E78" s="84" t="s">
        <v>2</v>
      </c>
      <c r="F78" s="52" t="s">
        <v>8</v>
      </c>
      <c r="G78" s="43" t="s">
        <v>8</v>
      </c>
      <c r="H78" s="43" t="s">
        <v>8</v>
      </c>
      <c r="I78" s="986" t="s">
        <v>8</v>
      </c>
      <c r="J78" s="987" t="s">
        <v>8</v>
      </c>
      <c r="K78" s="987" t="s">
        <v>8</v>
      </c>
      <c r="L78" s="34" t="s">
        <v>637</v>
      </c>
      <c r="M78" s="34" t="s">
        <v>8</v>
      </c>
      <c r="N78" s="34" t="s">
        <v>8</v>
      </c>
      <c r="O78" s="34" t="s">
        <v>8</v>
      </c>
      <c r="P78" s="34" t="s">
        <v>8</v>
      </c>
      <c r="Q78" s="34" t="s">
        <v>58</v>
      </c>
      <c r="R78" s="34" t="s">
        <v>58</v>
      </c>
      <c r="S78" s="709" t="s">
        <v>8</v>
      </c>
      <c r="T78" s="709" t="s">
        <v>8</v>
      </c>
      <c r="U78" s="709" t="s">
        <v>8</v>
      </c>
      <c r="V78" s="709" t="s">
        <v>8</v>
      </c>
      <c r="W78" s="52" t="s">
        <v>8</v>
      </c>
      <c r="X78" s="43" t="s">
        <v>8</v>
      </c>
      <c r="Y78" s="43" t="s">
        <v>8</v>
      </c>
      <c r="Z78" s="951" t="s">
        <v>8</v>
      </c>
      <c r="AA78" s="710" t="s">
        <v>8</v>
      </c>
      <c r="AB78" s="710" t="s">
        <v>8</v>
      </c>
      <c r="AC78" s="52" t="s">
        <v>8</v>
      </c>
      <c r="AD78" s="43" t="s">
        <v>8</v>
      </c>
      <c r="AE78" s="43" t="s">
        <v>8</v>
      </c>
      <c r="AF78" s="42" t="s">
        <v>8</v>
      </c>
      <c r="AG78" s="42" t="s">
        <v>8</v>
      </c>
      <c r="AH78" s="33" t="s">
        <v>1</v>
      </c>
      <c r="AI78" s="33" t="s">
        <v>560</v>
      </c>
      <c r="AJ78" s="42" t="s">
        <v>8</v>
      </c>
      <c r="AK78" s="42" t="s">
        <v>8</v>
      </c>
      <c r="AL78" s="42" t="s">
        <v>8</v>
      </c>
      <c r="AM78" s="710" t="s">
        <v>8</v>
      </c>
      <c r="AN78" s="710" t="s">
        <v>8</v>
      </c>
      <c r="AO78" s="710" t="s">
        <v>8</v>
      </c>
      <c r="AP78" s="42" t="str">
        <f t="shared" si="11"/>
        <v>×</v>
      </c>
      <c r="AQ78" s="42" t="str">
        <f t="shared" si="12"/>
        <v>×</v>
      </c>
      <c r="AR78" s="43" t="s">
        <v>8</v>
      </c>
      <c r="AS78" s="44" t="s">
        <v>560</v>
      </c>
      <c r="AT78" s="44" t="s">
        <v>560</v>
      </c>
      <c r="AU78" s="44" t="s">
        <v>1</v>
      </c>
      <c r="AV78" s="739" t="s">
        <v>8</v>
      </c>
      <c r="AW78" s="43" t="s">
        <v>8</v>
      </c>
      <c r="AX78" s="43" t="s">
        <v>8</v>
      </c>
      <c r="AY78" s="43" t="s">
        <v>8</v>
      </c>
      <c r="AZ78" s="43" t="s">
        <v>8</v>
      </c>
      <c r="BA78" s="43" t="s">
        <v>8</v>
      </c>
      <c r="BB78" s="44" t="s">
        <v>560</v>
      </c>
      <c r="BC78" s="43" t="s">
        <v>8</v>
      </c>
      <c r="BD78" s="739" t="s">
        <v>8</v>
      </c>
      <c r="BE78" s="43" t="s">
        <v>8</v>
      </c>
      <c r="BF78" s="43" t="str">
        <f t="shared" si="16"/>
        <v>×</v>
      </c>
      <c r="BG78" s="43" t="s">
        <v>8</v>
      </c>
      <c r="BH78" s="739" t="s">
        <v>8</v>
      </c>
      <c r="BI78" s="739" t="s">
        <v>8</v>
      </c>
      <c r="BJ78" s="43" t="s">
        <v>8</v>
      </c>
      <c r="BK78" s="43" t="s">
        <v>8</v>
      </c>
      <c r="BL78" s="43" t="s">
        <v>8</v>
      </c>
      <c r="BM78" s="43" t="s">
        <v>8</v>
      </c>
      <c r="BN78" s="43"/>
      <c r="BO78" s="361" t="s">
        <v>8</v>
      </c>
      <c r="BP78" s="43" t="str">
        <f t="shared" si="13"/>
        <v>×</v>
      </c>
      <c r="BQ78" s="739" t="s">
        <v>8</v>
      </c>
      <c r="BR78" s="739" t="s">
        <v>8</v>
      </c>
      <c r="BS78" s="739" t="s">
        <v>8</v>
      </c>
      <c r="BT78" s="739" t="s">
        <v>8</v>
      </c>
      <c r="BU78" s="43" t="s">
        <v>8</v>
      </c>
      <c r="BV78" s="43" t="s">
        <v>8</v>
      </c>
      <c r="BW78" s="43" t="s">
        <v>8</v>
      </c>
      <c r="BX78" s="361" t="s">
        <v>8</v>
      </c>
      <c r="BY78" s="43" t="s">
        <v>8</v>
      </c>
      <c r="BZ78" s="43" t="s">
        <v>8</v>
      </c>
      <c r="CA78" s="43" t="s">
        <v>8</v>
      </c>
      <c r="CB78" s="43" t="s">
        <v>8</v>
      </c>
      <c r="CC78" s="739" t="s">
        <v>8</v>
      </c>
      <c r="CD78" s="43" t="s">
        <v>8</v>
      </c>
      <c r="CE78" s="50" t="str">
        <f t="shared" si="14"/>
        <v>×</v>
      </c>
      <c r="CF78" s="43" t="s">
        <v>8</v>
      </c>
      <c r="CG78" s="479" t="str">
        <f t="shared" si="15"/>
        <v>×</v>
      </c>
      <c r="CH78" s="1034"/>
      <c r="CI78" s="348"/>
      <c r="CJ78" s="1031" t="s">
        <v>528</v>
      </c>
      <c r="CK78" s="1032"/>
      <c r="CL78" s="333"/>
      <c r="CM78" s="327"/>
      <c r="CN78" s="2"/>
      <c r="CO78" s="2"/>
      <c r="CP78" s="2"/>
      <c r="CQ78" s="702" t="s">
        <v>8</v>
      </c>
      <c r="CR78" s="43" t="s">
        <v>8</v>
      </c>
      <c r="CS78" s="43" t="s">
        <v>8</v>
      </c>
      <c r="CT78" s="703" t="s">
        <v>8</v>
      </c>
      <c r="CU78" s="52" t="s">
        <v>8</v>
      </c>
      <c r="CV78" s="43" t="s">
        <v>8</v>
      </c>
      <c r="CW78" s="42" t="s">
        <v>8</v>
      </c>
      <c r="CX78" s="703" t="s">
        <v>8</v>
      </c>
    </row>
    <row r="79" spans="1:102" ht="14.25" thickBot="1">
      <c r="A79" s="1092"/>
      <c r="B79" s="546" t="s">
        <v>673</v>
      </c>
      <c r="C79" s="346">
        <v>105</v>
      </c>
      <c r="D79" s="346">
        <v>235</v>
      </c>
      <c r="E79" s="355" t="s">
        <v>2</v>
      </c>
      <c r="F79" s="52" t="s">
        <v>8</v>
      </c>
      <c r="G79" s="43" t="s">
        <v>8</v>
      </c>
      <c r="H79" s="43" t="s">
        <v>8</v>
      </c>
      <c r="I79" s="986" t="s">
        <v>8</v>
      </c>
      <c r="J79" s="987" t="s">
        <v>8</v>
      </c>
      <c r="K79" s="987" t="s">
        <v>8</v>
      </c>
      <c r="L79" s="43" t="s">
        <v>637</v>
      </c>
      <c r="M79" s="34" t="s">
        <v>8</v>
      </c>
      <c r="N79" s="34" t="s">
        <v>8</v>
      </c>
      <c r="O79" s="34" t="s">
        <v>8</v>
      </c>
      <c r="P79" s="34" t="s">
        <v>8</v>
      </c>
      <c r="Q79" s="34" t="s">
        <v>58</v>
      </c>
      <c r="R79" s="34" t="s">
        <v>58</v>
      </c>
      <c r="S79" s="709" t="s">
        <v>8</v>
      </c>
      <c r="T79" s="709" t="s">
        <v>8</v>
      </c>
      <c r="U79" s="709" t="s">
        <v>8</v>
      </c>
      <c r="V79" s="709" t="s">
        <v>8</v>
      </c>
      <c r="W79" s="52" t="s">
        <v>8</v>
      </c>
      <c r="X79" s="43" t="s">
        <v>8</v>
      </c>
      <c r="Y79" s="43" t="s">
        <v>8</v>
      </c>
      <c r="Z79" s="951" t="s">
        <v>8</v>
      </c>
      <c r="AA79" s="710" t="s">
        <v>8</v>
      </c>
      <c r="AB79" s="710" t="s">
        <v>8</v>
      </c>
      <c r="AC79" s="52" t="s">
        <v>8</v>
      </c>
      <c r="AD79" s="43" t="s">
        <v>8</v>
      </c>
      <c r="AE79" s="43" t="s">
        <v>8</v>
      </c>
      <c r="AF79" s="42" t="s">
        <v>8</v>
      </c>
      <c r="AG79" s="42" t="s">
        <v>8</v>
      </c>
      <c r="AH79" s="33" t="s">
        <v>1</v>
      </c>
      <c r="AI79" s="33" t="s">
        <v>560</v>
      </c>
      <c r="AJ79" s="42" t="s">
        <v>8</v>
      </c>
      <c r="AK79" s="42" t="s">
        <v>8</v>
      </c>
      <c r="AL79" s="42" t="s">
        <v>8</v>
      </c>
      <c r="AM79" s="710" t="s">
        <v>8</v>
      </c>
      <c r="AN79" s="710" t="s">
        <v>8</v>
      </c>
      <c r="AO79" s="710" t="s">
        <v>8</v>
      </c>
      <c r="AP79" s="42" t="str">
        <f t="shared" si="11"/>
        <v>×</v>
      </c>
      <c r="AQ79" s="42" t="str">
        <f t="shared" si="12"/>
        <v>×</v>
      </c>
      <c r="AR79" s="43" t="s">
        <v>8</v>
      </c>
      <c r="AS79" s="44" t="s">
        <v>560</v>
      </c>
      <c r="AT79" s="44" t="s">
        <v>560</v>
      </c>
      <c r="AU79" s="44" t="s">
        <v>560</v>
      </c>
      <c r="AV79" s="739" t="s">
        <v>8</v>
      </c>
      <c r="AW79" s="43" t="s">
        <v>8</v>
      </c>
      <c r="AX79" s="43" t="s">
        <v>8</v>
      </c>
      <c r="AY79" s="43" t="s">
        <v>8</v>
      </c>
      <c r="AZ79" s="43" t="s">
        <v>8</v>
      </c>
      <c r="BA79" s="43" t="s">
        <v>8</v>
      </c>
      <c r="BB79" s="44" t="s">
        <v>560</v>
      </c>
      <c r="BC79" s="43" t="s">
        <v>8</v>
      </c>
      <c r="BD79" s="739" t="s">
        <v>8</v>
      </c>
      <c r="BE79" s="43" t="s">
        <v>8</v>
      </c>
      <c r="BF79" s="43" t="str">
        <f t="shared" si="16"/>
        <v>×</v>
      </c>
      <c r="BG79" s="43" t="s">
        <v>8</v>
      </c>
      <c r="BH79" s="739" t="s">
        <v>8</v>
      </c>
      <c r="BI79" s="739" t="s">
        <v>8</v>
      </c>
      <c r="BJ79" s="43" t="s">
        <v>8</v>
      </c>
      <c r="BK79" s="43" t="s">
        <v>8</v>
      </c>
      <c r="BL79" s="43" t="s">
        <v>8</v>
      </c>
      <c r="BM79" s="43" t="s">
        <v>8</v>
      </c>
      <c r="BN79" s="43"/>
      <c r="BO79" s="361" t="s">
        <v>8</v>
      </c>
      <c r="BP79" s="43" t="str">
        <f t="shared" si="13"/>
        <v>×</v>
      </c>
      <c r="BQ79" s="739" t="s">
        <v>8</v>
      </c>
      <c r="BR79" s="739" t="s">
        <v>8</v>
      </c>
      <c r="BS79" s="739" t="s">
        <v>8</v>
      </c>
      <c r="BT79" s="739" t="s">
        <v>8</v>
      </c>
      <c r="BU79" s="43" t="s">
        <v>8</v>
      </c>
      <c r="BV79" s="43" t="s">
        <v>8</v>
      </c>
      <c r="BW79" s="43" t="s">
        <v>8</v>
      </c>
      <c r="BX79" s="361" t="s">
        <v>8</v>
      </c>
      <c r="BY79" s="43" t="s">
        <v>8</v>
      </c>
      <c r="BZ79" s="43" t="s">
        <v>8</v>
      </c>
      <c r="CA79" s="43" t="s">
        <v>8</v>
      </c>
      <c r="CB79" s="43" t="s">
        <v>8</v>
      </c>
      <c r="CC79" s="739" t="s">
        <v>8</v>
      </c>
      <c r="CD79" s="43" t="s">
        <v>8</v>
      </c>
      <c r="CE79" s="50" t="str">
        <f t="shared" si="14"/>
        <v>×</v>
      </c>
      <c r="CF79" s="43" t="s">
        <v>8</v>
      </c>
      <c r="CG79" s="479" t="str">
        <f t="shared" si="15"/>
        <v>×</v>
      </c>
      <c r="CH79" s="1034"/>
      <c r="CI79" s="348"/>
      <c r="CJ79" s="1031" t="s">
        <v>528</v>
      </c>
      <c r="CK79" s="1032"/>
      <c r="CL79" s="335"/>
      <c r="CM79" s="328"/>
      <c r="CN79" s="2"/>
      <c r="CO79" s="2"/>
      <c r="CP79" s="2"/>
      <c r="CQ79" s="702" t="s">
        <v>8</v>
      </c>
      <c r="CR79" s="43" t="s">
        <v>8</v>
      </c>
      <c r="CS79" s="43" t="s">
        <v>8</v>
      </c>
      <c r="CT79" s="703" t="s">
        <v>8</v>
      </c>
      <c r="CU79" s="52" t="s">
        <v>8</v>
      </c>
      <c r="CV79" s="43" t="s">
        <v>8</v>
      </c>
      <c r="CW79" s="42" t="s">
        <v>8</v>
      </c>
      <c r="CX79" s="703" t="s">
        <v>8</v>
      </c>
    </row>
    <row r="80" spans="1:102">
      <c r="A80" s="1092"/>
      <c r="B80" s="89" t="s">
        <v>674</v>
      </c>
      <c r="C80" s="18">
        <v>90</v>
      </c>
      <c r="D80" s="18">
        <v>205</v>
      </c>
      <c r="E80" s="84" t="s">
        <v>3</v>
      </c>
      <c r="F80" s="52" t="s">
        <v>8</v>
      </c>
      <c r="G80" s="43" t="s">
        <v>8</v>
      </c>
      <c r="H80" s="43" t="s">
        <v>8</v>
      </c>
      <c r="I80" s="986" t="s">
        <v>8</v>
      </c>
      <c r="J80" s="987" t="s">
        <v>8</v>
      </c>
      <c r="K80" s="987" t="s">
        <v>8</v>
      </c>
      <c r="L80" s="34" t="s">
        <v>637</v>
      </c>
      <c r="M80" s="34" t="s">
        <v>8</v>
      </c>
      <c r="N80" s="34" t="s">
        <v>8</v>
      </c>
      <c r="O80" s="34" t="s">
        <v>8</v>
      </c>
      <c r="P80" s="34" t="s">
        <v>8</v>
      </c>
      <c r="Q80" s="190" t="s">
        <v>991</v>
      </c>
      <c r="R80" s="34" t="s">
        <v>58</v>
      </c>
      <c r="S80" s="709" t="s">
        <v>8</v>
      </c>
      <c r="T80" s="709" t="s">
        <v>8</v>
      </c>
      <c r="U80" s="709" t="s">
        <v>8</v>
      </c>
      <c r="V80" s="709" t="s">
        <v>8</v>
      </c>
      <c r="W80" s="52" t="s">
        <v>8</v>
      </c>
      <c r="X80" s="43" t="s">
        <v>8</v>
      </c>
      <c r="Y80" s="43" t="s">
        <v>8</v>
      </c>
      <c r="Z80" s="951" t="s">
        <v>8</v>
      </c>
      <c r="AA80" s="710" t="s">
        <v>8</v>
      </c>
      <c r="AB80" s="710" t="s">
        <v>8</v>
      </c>
      <c r="AC80" s="52" t="s">
        <v>8</v>
      </c>
      <c r="AD80" s="43" t="s">
        <v>8</v>
      </c>
      <c r="AE80" s="43" t="s">
        <v>8</v>
      </c>
      <c r="AF80" s="42" t="s">
        <v>8</v>
      </c>
      <c r="AG80" s="42" t="s">
        <v>8</v>
      </c>
      <c r="AH80" s="33" t="s">
        <v>1</v>
      </c>
      <c r="AI80" s="33" t="s">
        <v>4</v>
      </c>
      <c r="AJ80" s="42" t="s">
        <v>8</v>
      </c>
      <c r="AK80" s="42" t="s">
        <v>8</v>
      </c>
      <c r="AL80" s="42" t="s">
        <v>8</v>
      </c>
      <c r="AM80" s="710" t="s">
        <v>8</v>
      </c>
      <c r="AN80" s="710" t="s">
        <v>8</v>
      </c>
      <c r="AO80" s="710" t="s">
        <v>8</v>
      </c>
      <c r="AP80" s="42" t="str">
        <f t="shared" ref="AP80:AQ82" si="17">AF80</f>
        <v>×</v>
      </c>
      <c r="AQ80" s="42" t="str">
        <f t="shared" si="17"/>
        <v>×</v>
      </c>
      <c r="AR80" s="43" t="s">
        <v>8</v>
      </c>
      <c r="AS80" s="44" t="s">
        <v>4</v>
      </c>
      <c r="AT80" s="44" t="s">
        <v>4</v>
      </c>
      <c r="AU80" s="44" t="s">
        <v>4</v>
      </c>
      <c r="AV80" s="739" t="s">
        <v>8</v>
      </c>
      <c r="AW80" s="43" t="s">
        <v>8</v>
      </c>
      <c r="AX80" s="43" t="s">
        <v>8</v>
      </c>
      <c r="AY80" s="43" t="s">
        <v>8</v>
      </c>
      <c r="AZ80" s="43" t="s">
        <v>8</v>
      </c>
      <c r="BA80" s="43" t="s">
        <v>8</v>
      </c>
      <c r="BB80" s="44" t="s">
        <v>4</v>
      </c>
      <c r="BC80" s="43" t="s">
        <v>8</v>
      </c>
      <c r="BD80" s="739" t="s">
        <v>8</v>
      </c>
      <c r="BE80" s="43" t="s">
        <v>8</v>
      </c>
      <c r="BF80" s="43" t="str">
        <f t="shared" si="16"/>
        <v>×</v>
      </c>
      <c r="BG80" s="43" t="s">
        <v>8</v>
      </c>
      <c r="BH80" s="739" t="s">
        <v>8</v>
      </c>
      <c r="BI80" s="739" t="s">
        <v>8</v>
      </c>
      <c r="BJ80" s="43" t="s">
        <v>8</v>
      </c>
      <c r="BK80" s="43" t="s">
        <v>8</v>
      </c>
      <c r="BL80" s="43" t="s">
        <v>8</v>
      </c>
      <c r="BM80" s="43" t="s">
        <v>8</v>
      </c>
      <c r="BN80" s="43"/>
      <c r="BO80" s="361" t="s">
        <v>8</v>
      </c>
      <c r="BP80" s="43" t="str">
        <f t="shared" si="13"/>
        <v>×</v>
      </c>
      <c r="BQ80" s="739" t="s">
        <v>8</v>
      </c>
      <c r="BR80" s="739" t="s">
        <v>8</v>
      </c>
      <c r="BS80" s="739" t="s">
        <v>8</v>
      </c>
      <c r="BT80" s="739" t="s">
        <v>8</v>
      </c>
      <c r="BU80" s="43" t="s">
        <v>8</v>
      </c>
      <c r="BV80" s="43" t="s">
        <v>8</v>
      </c>
      <c r="BW80" s="43" t="s">
        <v>8</v>
      </c>
      <c r="BX80" s="361" t="s">
        <v>8</v>
      </c>
      <c r="BY80" s="43" t="s">
        <v>8</v>
      </c>
      <c r="BZ80" s="43" t="s">
        <v>8</v>
      </c>
      <c r="CA80" s="43" t="s">
        <v>8</v>
      </c>
      <c r="CB80" s="43" t="s">
        <v>8</v>
      </c>
      <c r="CC80" s="739" t="s">
        <v>8</v>
      </c>
      <c r="CD80" s="43" t="s">
        <v>8</v>
      </c>
      <c r="CE80" s="50" t="str">
        <f t="shared" si="14"/>
        <v>×</v>
      </c>
      <c r="CF80" s="43" t="s">
        <v>8</v>
      </c>
      <c r="CG80" s="479" t="str">
        <f t="shared" si="15"/>
        <v>×</v>
      </c>
      <c r="CH80" s="1034"/>
      <c r="CI80" s="348"/>
      <c r="CJ80" s="1031" t="s">
        <v>525</v>
      </c>
      <c r="CK80" s="1032"/>
      <c r="CL80" s="333"/>
      <c r="CM80" s="502"/>
      <c r="CN80" s="2"/>
      <c r="CO80" s="2"/>
      <c r="CP80" s="2"/>
      <c r="CQ80" s="702" t="s">
        <v>8</v>
      </c>
      <c r="CR80" s="43" t="s">
        <v>8</v>
      </c>
      <c r="CS80" s="43" t="s">
        <v>8</v>
      </c>
      <c r="CT80" s="703" t="s">
        <v>8</v>
      </c>
      <c r="CU80" s="52" t="s">
        <v>8</v>
      </c>
      <c r="CV80" s="43" t="s">
        <v>8</v>
      </c>
      <c r="CW80" s="42" t="s">
        <v>8</v>
      </c>
      <c r="CX80" s="703" t="s">
        <v>8</v>
      </c>
    </row>
    <row r="81" spans="1:102">
      <c r="A81" s="1092"/>
      <c r="B81" s="503" t="s">
        <v>675</v>
      </c>
      <c r="C81" s="18">
        <v>229</v>
      </c>
      <c r="D81" s="18">
        <v>324</v>
      </c>
      <c r="E81" s="84" t="s">
        <v>5</v>
      </c>
      <c r="F81" s="52" t="s">
        <v>8</v>
      </c>
      <c r="G81" s="43" t="s">
        <v>8</v>
      </c>
      <c r="H81" s="43" t="s">
        <v>8</v>
      </c>
      <c r="I81" s="986" t="s">
        <v>8</v>
      </c>
      <c r="J81" s="987" t="s">
        <v>8</v>
      </c>
      <c r="K81" s="987" t="s">
        <v>8</v>
      </c>
      <c r="L81" s="34" t="s">
        <v>638</v>
      </c>
      <c r="M81" s="34" t="s">
        <v>8</v>
      </c>
      <c r="N81" s="34" t="s">
        <v>8</v>
      </c>
      <c r="O81" s="34" t="s">
        <v>8</v>
      </c>
      <c r="P81" s="34" t="s">
        <v>8</v>
      </c>
      <c r="Q81" s="34" t="s">
        <v>58</v>
      </c>
      <c r="R81" s="34" t="s">
        <v>58</v>
      </c>
      <c r="S81" s="709" t="s">
        <v>8</v>
      </c>
      <c r="T81" s="709" t="s">
        <v>8</v>
      </c>
      <c r="U81" s="709" t="s">
        <v>8</v>
      </c>
      <c r="V81" s="709" t="s">
        <v>8</v>
      </c>
      <c r="W81" s="52" t="s">
        <v>8</v>
      </c>
      <c r="X81" s="43" t="s">
        <v>8</v>
      </c>
      <c r="Y81" s="43" t="s">
        <v>8</v>
      </c>
      <c r="Z81" s="951" t="s">
        <v>8</v>
      </c>
      <c r="AA81" s="710" t="s">
        <v>8</v>
      </c>
      <c r="AB81" s="710" t="s">
        <v>8</v>
      </c>
      <c r="AC81" s="52" t="s">
        <v>8</v>
      </c>
      <c r="AD81" s="43" t="s">
        <v>8</v>
      </c>
      <c r="AE81" s="43" t="s">
        <v>8</v>
      </c>
      <c r="AF81" s="42" t="s">
        <v>8</v>
      </c>
      <c r="AG81" s="42" t="s">
        <v>8</v>
      </c>
      <c r="AH81" s="33" t="s">
        <v>1</v>
      </c>
      <c r="AI81" s="33" t="s">
        <v>560</v>
      </c>
      <c r="AJ81" s="42" t="s">
        <v>8</v>
      </c>
      <c r="AK81" s="42" t="s">
        <v>8</v>
      </c>
      <c r="AL81" s="42" t="s">
        <v>8</v>
      </c>
      <c r="AM81" s="710" t="s">
        <v>8</v>
      </c>
      <c r="AN81" s="710" t="s">
        <v>8</v>
      </c>
      <c r="AO81" s="710" t="s">
        <v>8</v>
      </c>
      <c r="AP81" s="42" t="str">
        <f t="shared" si="17"/>
        <v>×</v>
      </c>
      <c r="AQ81" s="42" t="str">
        <f t="shared" si="17"/>
        <v>×</v>
      </c>
      <c r="AR81" s="43" t="s">
        <v>8</v>
      </c>
      <c r="AS81" s="44" t="s">
        <v>560</v>
      </c>
      <c r="AT81" s="44" t="s">
        <v>560</v>
      </c>
      <c r="AU81" s="44" t="s">
        <v>560</v>
      </c>
      <c r="AV81" s="739" t="s">
        <v>8</v>
      </c>
      <c r="AW81" s="43" t="s">
        <v>8</v>
      </c>
      <c r="AX81" s="43" t="s">
        <v>8</v>
      </c>
      <c r="AY81" s="43" t="s">
        <v>8</v>
      </c>
      <c r="AZ81" s="43" t="s">
        <v>8</v>
      </c>
      <c r="BA81" s="43" t="s">
        <v>8</v>
      </c>
      <c r="BB81" s="44" t="s">
        <v>560</v>
      </c>
      <c r="BC81" s="34" t="s">
        <v>8</v>
      </c>
      <c r="BD81" s="739" t="s">
        <v>8</v>
      </c>
      <c r="BE81" s="43" t="s">
        <v>8</v>
      </c>
      <c r="BF81" s="43" t="str">
        <f t="shared" si="16"/>
        <v>×</v>
      </c>
      <c r="BG81" s="43" t="s">
        <v>8</v>
      </c>
      <c r="BH81" s="739" t="s">
        <v>8</v>
      </c>
      <c r="BI81" s="739" t="s">
        <v>8</v>
      </c>
      <c r="BJ81" s="43" t="s">
        <v>8</v>
      </c>
      <c r="BK81" s="43" t="s">
        <v>8</v>
      </c>
      <c r="BL81" s="43" t="s">
        <v>8</v>
      </c>
      <c r="BM81" s="43" t="s">
        <v>8</v>
      </c>
      <c r="BN81" s="43"/>
      <c r="BO81" s="361" t="s">
        <v>8</v>
      </c>
      <c r="BP81" s="43" t="str">
        <f t="shared" si="13"/>
        <v>×</v>
      </c>
      <c r="BQ81" s="739" t="s">
        <v>8</v>
      </c>
      <c r="BR81" s="739" t="s">
        <v>8</v>
      </c>
      <c r="BS81" s="739" t="s">
        <v>8</v>
      </c>
      <c r="BT81" s="739" t="s">
        <v>8</v>
      </c>
      <c r="BU81" s="43" t="s">
        <v>8</v>
      </c>
      <c r="BV81" s="43" t="s">
        <v>8</v>
      </c>
      <c r="BW81" s="43" t="s">
        <v>8</v>
      </c>
      <c r="BX81" s="361" t="s">
        <v>8</v>
      </c>
      <c r="BY81" s="43" t="s">
        <v>8</v>
      </c>
      <c r="BZ81" s="43" t="s">
        <v>8</v>
      </c>
      <c r="CA81" s="43" t="s">
        <v>8</v>
      </c>
      <c r="CB81" s="43" t="s">
        <v>8</v>
      </c>
      <c r="CC81" s="739" t="s">
        <v>8</v>
      </c>
      <c r="CD81" s="43" t="s">
        <v>8</v>
      </c>
      <c r="CE81" s="50" t="str">
        <f t="shared" si="14"/>
        <v>×</v>
      </c>
      <c r="CF81" s="43" t="s">
        <v>8</v>
      </c>
      <c r="CG81" s="479" t="str">
        <f t="shared" si="15"/>
        <v>×</v>
      </c>
      <c r="CH81" s="1034"/>
      <c r="CI81" s="348"/>
      <c r="CJ81" s="1031" t="s">
        <v>525</v>
      </c>
      <c r="CK81" s="1032"/>
      <c r="CL81" s="333"/>
      <c r="CM81" s="502"/>
      <c r="CN81" s="2"/>
      <c r="CO81" s="2"/>
      <c r="CP81" s="2"/>
      <c r="CQ81" s="702" t="s">
        <v>8</v>
      </c>
      <c r="CR81" s="43" t="s">
        <v>8</v>
      </c>
      <c r="CS81" s="43" t="s">
        <v>8</v>
      </c>
      <c r="CT81" s="703" t="s">
        <v>8</v>
      </c>
      <c r="CU81" s="52" t="s">
        <v>8</v>
      </c>
      <c r="CV81" s="43" t="s">
        <v>8</v>
      </c>
      <c r="CW81" s="42" t="s">
        <v>8</v>
      </c>
      <c r="CX81" s="703" t="s">
        <v>8</v>
      </c>
    </row>
    <row r="82" spans="1:102" ht="14.25" thickBot="1">
      <c r="A82" s="1093"/>
      <c r="B82" s="546" t="s">
        <v>676</v>
      </c>
      <c r="C82" s="346">
        <v>162</v>
      </c>
      <c r="D82" s="346">
        <v>229</v>
      </c>
      <c r="E82" s="355" t="s">
        <v>5</v>
      </c>
      <c r="F82" s="52" t="s">
        <v>8</v>
      </c>
      <c r="G82" s="43" t="s">
        <v>8</v>
      </c>
      <c r="H82" s="43" t="s">
        <v>8</v>
      </c>
      <c r="I82" s="986" t="s">
        <v>8</v>
      </c>
      <c r="J82" s="987" t="s">
        <v>8</v>
      </c>
      <c r="K82" s="987" t="s">
        <v>8</v>
      </c>
      <c r="L82" s="43" t="s">
        <v>637</v>
      </c>
      <c r="M82" s="34" t="s">
        <v>8</v>
      </c>
      <c r="N82" s="34" t="s">
        <v>8</v>
      </c>
      <c r="O82" s="34" t="s">
        <v>8</v>
      </c>
      <c r="P82" s="34" t="s">
        <v>8</v>
      </c>
      <c r="Q82" s="34" t="s">
        <v>58</v>
      </c>
      <c r="R82" s="34" t="s">
        <v>58</v>
      </c>
      <c r="S82" s="945" t="s">
        <v>8</v>
      </c>
      <c r="T82" s="945" t="s">
        <v>8</v>
      </c>
      <c r="U82" s="945" t="s">
        <v>8</v>
      </c>
      <c r="V82" s="945" t="s">
        <v>8</v>
      </c>
      <c r="W82" s="52" t="s">
        <v>8</v>
      </c>
      <c r="X82" s="43" t="s">
        <v>8</v>
      </c>
      <c r="Y82" s="43" t="s">
        <v>8</v>
      </c>
      <c r="Z82" s="952" t="s">
        <v>8</v>
      </c>
      <c r="AA82" s="953" t="s">
        <v>8</v>
      </c>
      <c r="AB82" s="953" t="s">
        <v>8</v>
      </c>
      <c r="AC82" s="52" t="s">
        <v>8</v>
      </c>
      <c r="AD82" s="43" t="s">
        <v>8</v>
      </c>
      <c r="AE82" s="43" t="s">
        <v>8</v>
      </c>
      <c r="AF82" s="42" t="s">
        <v>8</v>
      </c>
      <c r="AG82" s="42" t="s">
        <v>8</v>
      </c>
      <c r="AH82" s="680" t="s">
        <v>1</v>
      </c>
      <c r="AI82" s="680" t="s">
        <v>560</v>
      </c>
      <c r="AJ82" s="42" t="s">
        <v>8</v>
      </c>
      <c r="AK82" s="42" t="s">
        <v>8</v>
      </c>
      <c r="AL82" s="42" t="s">
        <v>8</v>
      </c>
      <c r="AM82" s="953" t="s">
        <v>8</v>
      </c>
      <c r="AN82" s="953" t="s">
        <v>8</v>
      </c>
      <c r="AO82" s="953" t="s">
        <v>8</v>
      </c>
      <c r="AP82" s="42" t="str">
        <f t="shared" si="17"/>
        <v>×</v>
      </c>
      <c r="AQ82" s="42" t="str">
        <f t="shared" si="17"/>
        <v>×</v>
      </c>
      <c r="AR82" s="43" t="s">
        <v>8</v>
      </c>
      <c r="AS82" s="44" t="s">
        <v>560</v>
      </c>
      <c r="AT82" s="44" t="s">
        <v>560</v>
      </c>
      <c r="AU82" s="44" t="s">
        <v>560</v>
      </c>
      <c r="AV82" s="891" t="s">
        <v>8</v>
      </c>
      <c r="AW82" s="43" t="s">
        <v>8</v>
      </c>
      <c r="AX82" s="43" t="s">
        <v>8</v>
      </c>
      <c r="AY82" s="43" t="s">
        <v>8</v>
      </c>
      <c r="AZ82" s="43" t="s">
        <v>8</v>
      </c>
      <c r="BA82" s="43" t="s">
        <v>8</v>
      </c>
      <c r="BB82" s="44" t="s">
        <v>560</v>
      </c>
      <c r="BC82" s="43" t="s">
        <v>8</v>
      </c>
      <c r="BD82" s="891" t="s">
        <v>8</v>
      </c>
      <c r="BE82" s="43" t="s">
        <v>8</v>
      </c>
      <c r="BF82" s="43" t="str">
        <f t="shared" si="16"/>
        <v>×</v>
      </c>
      <c r="BG82" s="43" t="s">
        <v>8</v>
      </c>
      <c r="BH82" s="891" t="s">
        <v>8</v>
      </c>
      <c r="BI82" s="891" t="s">
        <v>8</v>
      </c>
      <c r="BJ82" s="43" t="s">
        <v>8</v>
      </c>
      <c r="BK82" s="43" t="s">
        <v>8</v>
      </c>
      <c r="BL82" s="43" t="s">
        <v>8</v>
      </c>
      <c r="BM82" s="43" t="s">
        <v>8</v>
      </c>
      <c r="BN82" s="43"/>
      <c r="BO82" s="361" t="s">
        <v>8</v>
      </c>
      <c r="BP82" s="43" t="str">
        <f t="shared" si="13"/>
        <v>×</v>
      </c>
      <c r="BQ82" s="891" t="s">
        <v>8</v>
      </c>
      <c r="BR82" s="891" t="s">
        <v>8</v>
      </c>
      <c r="BS82" s="891" t="s">
        <v>8</v>
      </c>
      <c r="BT82" s="891" t="s">
        <v>8</v>
      </c>
      <c r="BU82" s="43" t="s">
        <v>8</v>
      </c>
      <c r="BV82" s="43" t="s">
        <v>8</v>
      </c>
      <c r="BW82" s="43" t="s">
        <v>8</v>
      </c>
      <c r="BX82" s="361" t="s">
        <v>8</v>
      </c>
      <c r="BY82" s="43" t="s">
        <v>8</v>
      </c>
      <c r="BZ82" s="43" t="s">
        <v>8</v>
      </c>
      <c r="CA82" s="43" t="s">
        <v>8</v>
      </c>
      <c r="CB82" s="43" t="s">
        <v>8</v>
      </c>
      <c r="CC82" s="891" t="s">
        <v>8</v>
      </c>
      <c r="CD82" s="43" t="s">
        <v>8</v>
      </c>
      <c r="CE82" s="50" t="str">
        <f t="shared" si="14"/>
        <v>×</v>
      </c>
      <c r="CF82" s="43" t="s">
        <v>8</v>
      </c>
      <c r="CG82" s="576" t="str">
        <f t="shared" si="15"/>
        <v>×</v>
      </c>
      <c r="CH82" s="1035"/>
      <c r="CI82" s="348"/>
      <c r="CJ82" s="1150" t="s">
        <v>525</v>
      </c>
      <c r="CK82" s="1151"/>
      <c r="CL82" s="335"/>
      <c r="CM82" s="533"/>
      <c r="CN82" s="2"/>
      <c r="CO82" s="2"/>
      <c r="CP82" s="2"/>
      <c r="CQ82" s="702" t="s">
        <v>8</v>
      </c>
      <c r="CR82" s="43" t="s">
        <v>8</v>
      </c>
      <c r="CS82" s="43" t="s">
        <v>8</v>
      </c>
      <c r="CT82" s="703" t="s">
        <v>8</v>
      </c>
      <c r="CU82" s="52" t="s">
        <v>8</v>
      </c>
      <c r="CV82" s="43" t="s">
        <v>8</v>
      </c>
      <c r="CW82" s="42" t="s">
        <v>8</v>
      </c>
      <c r="CX82" s="703" t="s">
        <v>8</v>
      </c>
    </row>
    <row r="83" spans="1:102" ht="28.5" thickBot="1">
      <c r="A83" s="158" t="s">
        <v>238</v>
      </c>
      <c r="B83" s="547" t="s">
        <v>653</v>
      </c>
      <c r="C83" s="73">
        <v>0</v>
      </c>
      <c r="D83" s="73">
        <v>0</v>
      </c>
      <c r="E83" s="95" t="s">
        <v>61</v>
      </c>
      <c r="F83" s="82" t="s">
        <v>8</v>
      </c>
      <c r="G83" s="74" t="s">
        <v>8</v>
      </c>
      <c r="H83" s="74" t="s">
        <v>8</v>
      </c>
      <c r="I83" s="1013" t="s">
        <v>8</v>
      </c>
      <c r="J83" s="1014" t="s">
        <v>8</v>
      </c>
      <c r="K83" s="1014" t="s">
        <v>8</v>
      </c>
      <c r="L83" s="76" t="s">
        <v>8</v>
      </c>
      <c r="M83" s="76" t="s">
        <v>8</v>
      </c>
      <c r="N83" s="76" t="s">
        <v>8</v>
      </c>
      <c r="O83" s="76" t="s">
        <v>8</v>
      </c>
      <c r="P83" s="76" t="s">
        <v>8</v>
      </c>
      <c r="Q83" s="76" t="s">
        <v>8</v>
      </c>
      <c r="R83" s="76" t="s">
        <v>8</v>
      </c>
      <c r="S83" s="948" t="s">
        <v>58</v>
      </c>
      <c r="T83" s="948" t="s">
        <v>8</v>
      </c>
      <c r="U83" s="948" t="s">
        <v>8</v>
      </c>
      <c r="V83" s="948" t="s">
        <v>8</v>
      </c>
      <c r="W83" s="343" t="s">
        <v>8</v>
      </c>
      <c r="X83" s="76" t="s">
        <v>8</v>
      </c>
      <c r="Y83" s="76" t="s">
        <v>8</v>
      </c>
      <c r="Z83" s="956" t="s">
        <v>8</v>
      </c>
      <c r="AA83" s="956" t="s">
        <v>8</v>
      </c>
      <c r="AB83" s="956" t="s">
        <v>8</v>
      </c>
      <c r="AC83" s="82" t="s">
        <v>8</v>
      </c>
      <c r="AD83" s="74" t="s">
        <v>8</v>
      </c>
      <c r="AE83" s="74" t="s">
        <v>8</v>
      </c>
      <c r="AF83" s="74" t="s">
        <v>8</v>
      </c>
      <c r="AG83" s="74" t="s">
        <v>8</v>
      </c>
      <c r="AH83" s="157" t="s">
        <v>1</v>
      </c>
      <c r="AI83" s="157" t="s">
        <v>57</v>
      </c>
      <c r="AJ83" s="74" t="s">
        <v>61</v>
      </c>
      <c r="AK83" s="74" t="s">
        <v>61</v>
      </c>
      <c r="AL83" s="74" t="s">
        <v>61</v>
      </c>
      <c r="AM83" s="956" t="s">
        <v>8</v>
      </c>
      <c r="AN83" s="956" t="s">
        <v>8</v>
      </c>
      <c r="AO83" s="956" t="s">
        <v>8</v>
      </c>
      <c r="AP83" s="74" t="str">
        <f>AF83</f>
        <v>×</v>
      </c>
      <c r="AQ83" s="74" t="str">
        <f>AG83</f>
        <v>×</v>
      </c>
      <c r="AR83" s="76" t="s">
        <v>8</v>
      </c>
      <c r="AS83" s="75" t="s">
        <v>57</v>
      </c>
      <c r="AT83" s="75" t="s">
        <v>57</v>
      </c>
      <c r="AU83" s="157" t="s">
        <v>57</v>
      </c>
      <c r="AV83" s="892" t="s">
        <v>8</v>
      </c>
      <c r="AW83" s="76" t="s">
        <v>8</v>
      </c>
      <c r="AX83" s="76" t="s">
        <v>8</v>
      </c>
      <c r="AY83" s="76" t="s">
        <v>8</v>
      </c>
      <c r="AZ83" s="76" t="s">
        <v>8</v>
      </c>
      <c r="BA83" s="76" t="s">
        <v>8</v>
      </c>
      <c r="BB83" s="76" t="s">
        <v>8</v>
      </c>
      <c r="BC83" s="76" t="s">
        <v>8</v>
      </c>
      <c r="BD83" s="892" t="s">
        <v>8</v>
      </c>
      <c r="BE83" s="76" t="s">
        <v>8</v>
      </c>
      <c r="BF83" s="76" t="str">
        <f t="shared" si="16"/>
        <v>×</v>
      </c>
      <c r="BG83" s="76" t="s">
        <v>8</v>
      </c>
      <c r="BH83" s="892" t="s">
        <v>8</v>
      </c>
      <c r="BI83" s="892" t="s">
        <v>8</v>
      </c>
      <c r="BJ83" s="76" t="s">
        <v>8</v>
      </c>
      <c r="BK83" s="76" t="s">
        <v>8</v>
      </c>
      <c r="BL83" s="76" t="s">
        <v>8</v>
      </c>
      <c r="BM83" s="76" t="s">
        <v>8</v>
      </c>
      <c r="BN83" s="76"/>
      <c r="BO83" s="562" t="s">
        <v>8</v>
      </c>
      <c r="BP83" s="76" t="str">
        <f t="shared" si="13"/>
        <v>×</v>
      </c>
      <c r="BQ83" s="892" t="s">
        <v>8</v>
      </c>
      <c r="BR83" s="892" t="s">
        <v>8</v>
      </c>
      <c r="BS83" s="892" t="s">
        <v>8</v>
      </c>
      <c r="BT83" s="892" t="s">
        <v>8</v>
      </c>
      <c r="BU83" s="76" t="s">
        <v>8</v>
      </c>
      <c r="BV83" s="76" t="s">
        <v>8</v>
      </c>
      <c r="BW83" s="76" t="s">
        <v>8</v>
      </c>
      <c r="BX83" s="562" t="s">
        <v>8</v>
      </c>
      <c r="BY83" s="406" t="s">
        <v>8</v>
      </c>
      <c r="BZ83" s="406" t="s">
        <v>8</v>
      </c>
      <c r="CA83" s="406" t="s">
        <v>8</v>
      </c>
      <c r="CB83" s="406" t="s">
        <v>8</v>
      </c>
      <c r="CC83" s="892" t="s">
        <v>8</v>
      </c>
      <c r="CD83" s="76" t="s">
        <v>8</v>
      </c>
      <c r="CE83" s="407" t="str">
        <f t="shared" si="14"/>
        <v>×</v>
      </c>
      <c r="CF83" s="406" t="s">
        <v>8</v>
      </c>
      <c r="CG83" s="408" t="str">
        <f t="shared" si="15"/>
        <v>×</v>
      </c>
      <c r="CH83" s="194" t="s">
        <v>239</v>
      </c>
      <c r="CI83" s="329"/>
      <c r="CJ83" s="315"/>
      <c r="CK83" s="77"/>
      <c r="CL83" s="77"/>
      <c r="CM83" s="316"/>
      <c r="CN83" s="77"/>
      <c r="CO83" s="77"/>
      <c r="CP83" s="77"/>
      <c r="CQ83" s="276" t="s">
        <v>8</v>
      </c>
      <c r="CR83" s="74" t="s">
        <v>8</v>
      </c>
      <c r="CS83" s="74" t="s">
        <v>8</v>
      </c>
      <c r="CT83" s="255" t="s">
        <v>8</v>
      </c>
      <c r="CU83" s="82" t="s">
        <v>8</v>
      </c>
      <c r="CV83" s="74" t="s">
        <v>8</v>
      </c>
      <c r="CW83" s="290" t="s">
        <v>8</v>
      </c>
      <c r="CX83" s="255" t="s">
        <v>8</v>
      </c>
    </row>
    <row r="84" spans="1:102">
      <c r="A84" s="1086" t="s">
        <v>240</v>
      </c>
      <c r="B84" s="1094" t="s">
        <v>654</v>
      </c>
      <c r="C84" s="1096" t="s">
        <v>190</v>
      </c>
      <c r="D84" s="1097"/>
      <c r="E84" s="96" t="s">
        <v>103</v>
      </c>
      <c r="F84" s="202">
        <v>100</v>
      </c>
      <c r="G84" s="202">
        <v>100</v>
      </c>
      <c r="H84" s="202">
        <v>100</v>
      </c>
      <c r="I84" s="1015">
        <v>100</v>
      </c>
      <c r="J84" s="1015">
        <v>100</v>
      </c>
      <c r="K84" s="1015">
        <v>100</v>
      </c>
      <c r="L84" s="23">
        <v>90</v>
      </c>
      <c r="M84" s="23">
        <v>90</v>
      </c>
      <c r="N84" s="23">
        <v>90</v>
      </c>
      <c r="O84" s="23">
        <v>90</v>
      </c>
      <c r="P84" s="23">
        <v>90</v>
      </c>
      <c r="Q84" s="23">
        <v>90</v>
      </c>
      <c r="R84" s="23">
        <v>90</v>
      </c>
      <c r="S84" s="946" t="s">
        <v>8</v>
      </c>
      <c r="T84" s="946" t="s">
        <v>8</v>
      </c>
      <c r="U84" s="946" t="s">
        <v>8</v>
      </c>
      <c r="V84" s="1153" t="s">
        <v>8</v>
      </c>
      <c r="W84" s="202">
        <v>100</v>
      </c>
      <c r="X84" s="202">
        <v>100</v>
      </c>
      <c r="Y84" s="202">
        <v>100</v>
      </c>
      <c r="Z84" s="957">
        <v>100</v>
      </c>
      <c r="AA84" s="957">
        <v>100</v>
      </c>
      <c r="AB84" s="957">
        <v>100</v>
      </c>
      <c r="AC84" s="202">
        <v>100</v>
      </c>
      <c r="AD84" s="202">
        <v>100</v>
      </c>
      <c r="AE84" s="202">
        <v>100</v>
      </c>
      <c r="AF84" s="1110" t="s">
        <v>8</v>
      </c>
      <c r="AG84" s="1110" t="s">
        <v>8</v>
      </c>
      <c r="AH84" s="23">
        <v>89</v>
      </c>
      <c r="AI84" s="23">
        <v>89</v>
      </c>
      <c r="AJ84" s="1116" t="s">
        <v>8</v>
      </c>
      <c r="AK84" s="1116" t="s">
        <v>8</v>
      </c>
      <c r="AL84" s="1116" t="s">
        <v>8</v>
      </c>
      <c r="AM84" s="1113" t="s">
        <v>8</v>
      </c>
      <c r="AN84" s="1113" t="s">
        <v>8</v>
      </c>
      <c r="AO84" s="1113" t="s">
        <v>8</v>
      </c>
      <c r="AP84" s="1110" t="s">
        <v>8</v>
      </c>
      <c r="AQ84" s="1110" t="s">
        <v>8</v>
      </c>
      <c r="AR84" s="302">
        <v>128</v>
      </c>
      <c r="AS84" s="23">
        <v>89</v>
      </c>
      <c r="AT84" s="23">
        <v>89</v>
      </c>
      <c r="AU84" s="23">
        <v>89</v>
      </c>
      <c r="AV84" s="739" t="s">
        <v>8</v>
      </c>
      <c r="AW84" s="202">
        <v>148</v>
      </c>
      <c r="AX84" s="202">
        <v>98</v>
      </c>
      <c r="AY84" s="202">
        <v>203</v>
      </c>
      <c r="AZ84" s="202">
        <v>182</v>
      </c>
      <c r="BA84" s="1116" t="s">
        <v>8</v>
      </c>
      <c r="BB84" s="23">
        <v>89</v>
      </c>
      <c r="BC84" s="23">
        <v>190</v>
      </c>
      <c r="BD84" s="739" t="s">
        <v>8</v>
      </c>
      <c r="BE84" s="202">
        <v>210</v>
      </c>
      <c r="BF84" s="202">
        <v>203</v>
      </c>
      <c r="BG84" s="202">
        <v>203</v>
      </c>
      <c r="BH84" s="739" t="s">
        <v>8</v>
      </c>
      <c r="BI84" s="739" t="s">
        <v>8</v>
      </c>
      <c r="BJ84" s="202">
        <v>210</v>
      </c>
      <c r="BK84" s="202">
        <v>210</v>
      </c>
      <c r="BL84" s="202">
        <v>210</v>
      </c>
      <c r="BM84" s="202">
        <v>203</v>
      </c>
      <c r="BN84" s="968"/>
      <c r="BO84" s="1139" t="s">
        <v>58</v>
      </c>
      <c r="BP84" s="202">
        <f t="shared" si="13"/>
        <v>182</v>
      </c>
      <c r="BQ84" s="739" t="s">
        <v>8</v>
      </c>
      <c r="BR84" s="739" t="s">
        <v>8</v>
      </c>
      <c r="BS84" s="739" t="s">
        <v>8</v>
      </c>
      <c r="BT84" s="739" t="s">
        <v>8</v>
      </c>
      <c r="BU84" s="202">
        <v>148</v>
      </c>
      <c r="BV84" s="202">
        <v>148</v>
      </c>
      <c r="BW84" s="202">
        <v>148</v>
      </c>
      <c r="BX84" s="1139" t="s">
        <v>285</v>
      </c>
      <c r="BY84" s="1025" t="s">
        <v>285</v>
      </c>
      <c r="BZ84" s="1025" t="s">
        <v>285</v>
      </c>
      <c r="CA84" s="1025" t="s">
        <v>285</v>
      </c>
      <c r="CB84" s="1025" t="s">
        <v>285</v>
      </c>
      <c r="CC84" s="739" t="s">
        <v>8</v>
      </c>
      <c r="CD84" s="202">
        <v>210</v>
      </c>
      <c r="CE84" s="409">
        <f t="shared" si="14"/>
        <v>182</v>
      </c>
      <c r="CF84" s="1025" t="s">
        <v>58</v>
      </c>
      <c r="CG84" s="1028" t="str">
        <f t="shared" si="15"/>
        <v>×</v>
      </c>
      <c r="CH84" s="1039"/>
      <c r="CI84" s="126"/>
      <c r="CJ84" s="126"/>
      <c r="CM84" s="127"/>
      <c r="CN84" s="15"/>
      <c r="CO84" s="15"/>
      <c r="CP84" s="15"/>
      <c r="CQ84" s="277">
        <v>139.69999999999999</v>
      </c>
      <c r="CR84" s="234">
        <v>139.69999999999999</v>
      </c>
      <c r="CS84" s="234">
        <v>139.69999999999999</v>
      </c>
      <c r="CT84" s="256">
        <v>139.69999999999999</v>
      </c>
      <c r="CU84" s="232">
        <v>139.69999999999999</v>
      </c>
      <c r="CV84" s="234">
        <v>139.69999999999999</v>
      </c>
      <c r="CW84" s="22">
        <v>139.69999999999999</v>
      </c>
      <c r="CX84" s="256">
        <v>139.69999999999999</v>
      </c>
    </row>
    <row r="85" spans="1:102">
      <c r="A85" s="1087"/>
      <c r="B85" s="1094"/>
      <c r="C85" s="1098"/>
      <c r="D85" s="1099"/>
      <c r="E85" s="97" t="s">
        <v>188</v>
      </c>
      <c r="F85" s="303">
        <v>297</v>
      </c>
      <c r="G85" s="304">
        <v>297</v>
      </c>
      <c r="H85" s="25">
        <v>297</v>
      </c>
      <c r="I85" s="1016">
        <v>297</v>
      </c>
      <c r="J85" s="1017">
        <v>297</v>
      </c>
      <c r="K85" s="1018">
        <v>297</v>
      </c>
      <c r="L85" s="23">
        <v>241</v>
      </c>
      <c r="M85" s="23">
        <v>241</v>
      </c>
      <c r="N85" s="23">
        <v>241</v>
      </c>
      <c r="O85" s="23">
        <v>241</v>
      </c>
      <c r="P85" s="23">
        <v>241</v>
      </c>
      <c r="Q85" s="23">
        <v>241</v>
      </c>
      <c r="R85" s="23">
        <v>241</v>
      </c>
      <c r="S85" s="709" t="s">
        <v>8</v>
      </c>
      <c r="T85" s="709" t="s">
        <v>8</v>
      </c>
      <c r="U85" s="709" t="s">
        <v>8</v>
      </c>
      <c r="V85" s="1154"/>
      <c r="W85" s="25">
        <v>320</v>
      </c>
      <c r="X85" s="304">
        <v>320</v>
      </c>
      <c r="Y85" s="25">
        <v>320</v>
      </c>
      <c r="Z85" s="951" t="s">
        <v>8</v>
      </c>
      <c r="AA85" s="710" t="s">
        <v>8</v>
      </c>
      <c r="AB85" s="710" t="s">
        <v>8</v>
      </c>
      <c r="AC85" s="303">
        <v>320</v>
      </c>
      <c r="AD85" s="304">
        <v>320</v>
      </c>
      <c r="AE85" s="304">
        <v>320</v>
      </c>
      <c r="AF85" s="1111"/>
      <c r="AG85" s="1111"/>
      <c r="AH85" s="25">
        <v>320</v>
      </c>
      <c r="AI85" s="25">
        <v>320</v>
      </c>
      <c r="AJ85" s="1116"/>
      <c r="AK85" s="1116"/>
      <c r="AL85" s="1116"/>
      <c r="AM85" s="1113"/>
      <c r="AN85" s="1113"/>
      <c r="AO85" s="1113"/>
      <c r="AP85" s="1111"/>
      <c r="AQ85" s="1111"/>
      <c r="AR85" s="25">
        <v>320</v>
      </c>
      <c r="AS85" s="25">
        <v>320</v>
      </c>
      <c r="AT85" s="25">
        <v>320</v>
      </c>
      <c r="AU85" s="25">
        <v>297</v>
      </c>
      <c r="AV85" s="739" t="s">
        <v>8</v>
      </c>
      <c r="AW85" s="25">
        <v>297</v>
      </c>
      <c r="AX85" s="25">
        <v>320</v>
      </c>
      <c r="AY85" s="25">
        <v>320</v>
      </c>
      <c r="AZ85" s="25">
        <v>320</v>
      </c>
      <c r="BA85" s="1116"/>
      <c r="BB85" s="25">
        <v>297</v>
      </c>
      <c r="BC85" s="25">
        <v>297</v>
      </c>
      <c r="BD85" s="739" t="s">
        <v>8</v>
      </c>
      <c r="BE85" s="25">
        <v>297</v>
      </c>
      <c r="BF85" s="25">
        <v>297</v>
      </c>
      <c r="BG85" s="25">
        <v>297</v>
      </c>
      <c r="BH85" s="739" t="s">
        <v>8</v>
      </c>
      <c r="BI85" s="739" t="s">
        <v>8</v>
      </c>
      <c r="BJ85" s="25">
        <v>297</v>
      </c>
      <c r="BK85" s="25">
        <v>297</v>
      </c>
      <c r="BL85" s="25">
        <v>297</v>
      </c>
      <c r="BM85" s="25">
        <v>297</v>
      </c>
      <c r="BN85" s="969"/>
      <c r="BO85" s="1140"/>
      <c r="BP85" s="25">
        <f t="shared" si="13"/>
        <v>320</v>
      </c>
      <c r="BQ85" s="739" t="s">
        <v>8</v>
      </c>
      <c r="BR85" s="739" t="s">
        <v>8</v>
      </c>
      <c r="BS85" s="739" t="s">
        <v>8</v>
      </c>
      <c r="BT85" s="739" t="s">
        <v>8</v>
      </c>
      <c r="BU85" s="25">
        <v>297</v>
      </c>
      <c r="BV85" s="25">
        <v>297</v>
      </c>
      <c r="BW85" s="25">
        <v>297</v>
      </c>
      <c r="BX85" s="1140"/>
      <c r="BY85" s="1026"/>
      <c r="BZ85" s="1026"/>
      <c r="CA85" s="1026"/>
      <c r="CB85" s="1026"/>
      <c r="CC85" s="739" t="s">
        <v>8</v>
      </c>
      <c r="CD85" s="25">
        <v>297</v>
      </c>
      <c r="CE85" s="410">
        <f t="shared" si="14"/>
        <v>320</v>
      </c>
      <c r="CF85" s="1026"/>
      <c r="CG85" s="1029"/>
      <c r="CH85" s="1040"/>
      <c r="CI85" s="126"/>
      <c r="CJ85" s="126"/>
      <c r="CM85" s="127"/>
      <c r="CN85" s="15"/>
      <c r="CO85" s="15"/>
      <c r="CP85" s="15"/>
      <c r="CQ85" s="278">
        <v>297</v>
      </c>
      <c r="CR85" s="26">
        <v>297</v>
      </c>
      <c r="CS85" s="26">
        <v>297</v>
      </c>
      <c r="CT85" s="257">
        <v>297</v>
      </c>
      <c r="CU85" s="233">
        <v>297</v>
      </c>
      <c r="CV85" s="26">
        <v>297</v>
      </c>
      <c r="CW85" s="24">
        <v>297</v>
      </c>
      <c r="CX85" s="257">
        <v>297</v>
      </c>
    </row>
    <row r="86" spans="1:102">
      <c r="A86" s="1087"/>
      <c r="B86" s="1094"/>
      <c r="C86" s="1118" t="s">
        <v>189</v>
      </c>
      <c r="D86" s="1119"/>
      <c r="E86" s="97" t="s">
        <v>103</v>
      </c>
      <c r="F86" s="590">
        <v>148</v>
      </c>
      <c r="G86" s="25">
        <v>148</v>
      </c>
      <c r="H86" s="25">
        <v>148</v>
      </c>
      <c r="I86" s="1019">
        <v>148</v>
      </c>
      <c r="J86" s="1018">
        <v>148</v>
      </c>
      <c r="K86" s="1018">
        <v>148</v>
      </c>
      <c r="L86" s="23">
        <v>98</v>
      </c>
      <c r="M86" s="23">
        <v>98</v>
      </c>
      <c r="N86" s="23">
        <v>98</v>
      </c>
      <c r="O86" s="23">
        <v>98</v>
      </c>
      <c r="P86" s="23">
        <v>98</v>
      </c>
      <c r="Q86" s="23">
        <v>98</v>
      </c>
      <c r="R86" s="23">
        <v>98</v>
      </c>
      <c r="S86" s="709" t="s">
        <v>8</v>
      </c>
      <c r="T86" s="709" t="s">
        <v>8</v>
      </c>
      <c r="U86" s="709" t="s">
        <v>8</v>
      </c>
      <c r="V86" s="1154"/>
      <c r="W86" s="25">
        <v>148</v>
      </c>
      <c r="X86" s="25">
        <v>148</v>
      </c>
      <c r="Y86" s="25">
        <v>148</v>
      </c>
      <c r="Z86" s="958">
        <v>148</v>
      </c>
      <c r="AA86" s="958">
        <v>148</v>
      </c>
      <c r="AB86" s="958">
        <v>148</v>
      </c>
      <c r="AC86" s="25">
        <v>148</v>
      </c>
      <c r="AD86" s="25">
        <v>148</v>
      </c>
      <c r="AE86" s="25">
        <v>148</v>
      </c>
      <c r="AF86" s="1111"/>
      <c r="AG86" s="1111"/>
      <c r="AH86" s="25">
        <v>98</v>
      </c>
      <c r="AI86" s="25">
        <v>98</v>
      </c>
      <c r="AJ86" s="1116"/>
      <c r="AK86" s="1116"/>
      <c r="AL86" s="1116"/>
      <c r="AM86" s="1113"/>
      <c r="AN86" s="1113"/>
      <c r="AO86" s="1113"/>
      <c r="AP86" s="1111"/>
      <c r="AQ86" s="1111"/>
      <c r="AR86" s="304">
        <v>140</v>
      </c>
      <c r="AS86" s="25">
        <v>98</v>
      </c>
      <c r="AT86" s="25">
        <v>98</v>
      </c>
      <c r="AU86" s="25">
        <v>98</v>
      </c>
      <c r="AV86" s="739" t="s">
        <v>8</v>
      </c>
      <c r="AW86" s="25">
        <v>148</v>
      </c>
      <c r="AX86" s="25">
        <v>139.69999999999999</v>
      </c>
      <c r="AY86" s="25">
        <v>182</v>
      </c>
      <c r="AZ86" s="25">
        <v>257</v>
      </c>
      <c r="BA86" s="1116"/>
      <c r="BB86" s="25">
        <v>98</v>
      </c>
      <c r="BC86" s="25">
        <v>139.69999999999999</v>
      </c>
      <c r="BD86" s="739" t="s">
        <v>8</v>
      </c>
      <c r="BE86" s="25">
        <v>148</v>
      </c>
      <c r="BF86" s="25">
        <v>182</v>
      </c>
      <c r="BG86" s="25">
        <v>182</v>
      </c>
      <c r="BH86" s="739" t="s">
        <v>8</v>
      </c>
      <c r="BI86" s="739" t="s">
        <v>8</v>
      </c>
      <c r="BJ86" s="25">
        <v>148</v>
      </c>
      <c r="BK86" s="25">
        <v>148</v>
      </c>
      <c r="BL86" s="25">
        <v>279.39999999999998</v>
      </c>
      <c r="BM86" s="25">
        <v>182</v>
      </c>
      <c r="BN86" s="969"/>
      <c r="BO86" s="1140"/>
      <c r="BP86" s="25">
        <f t="shared" si="13"/>
        <v>257</v>
      </c>
      <c r="BQ86" s="739" t="s">
        <v>8</v>
      </c>
      <c r="BR86" s="739" t="s">
        <v>8</v>
      </c>
      <c r="BS86" s="739" t="s">
        <v>8</v>
      </c>
      <c r="BT86" s="739" t="s">
        <v>8</v>
      </c>
      <c r="BU86" s="25">
        <v>148</v>
      </c>
      <c r="BV86" s="25">
        <v>148</v>
      </c>
      <c r="BW86" s="25">
        <v>148</v>
      </c>
      <c r="BX86" s="1140"/>
      <c r="BY86" s="1026"/>
      <c r="BZ86" s="1026"/>
      <c r="CA86" s="1026"/>
      <c r="CB86" s="1026"/>
      <c r="CC86" s="739" t="s">
        <v>8</v>
      </c>
      <c r="CD86" s="25">
        <v>279.39999999999998</v>
      </c>
      <c r="CE86" s="410">
        <f t="shared" si="14"/>
        <v>257</v>
      </c>
      <c r="CF86" s="1026"/>
      <c r="CG86" s="1029"/>
      <c r="CH86" s="1040"/>
      <c r="CI86" s="126"/>
      <c r="CJ86" s="126"/>
      <c r="CM86" s="127"/>
      <c r="CN86" s="15"/>
      <c r="CO86" s="15"/>
      <c r="CP86" s="15"/>
      <c r="CQ86" s="278">
        <v>182</v>
      </c>
      <c r="CR86" s="26">
        <v>182</v>
      </c>
      <c r="CS86" s="26">
        <v>182</v>
      </c>
      <c r="CT86" s="257">
        <v>182</v>
      </c>
      <c r="CU86" s="233">
        <v>182</v>
      </c>
      <c r="CV86" s="26">
        <v>182</v>
      </c>
      <c r="CW86" s="24">
        <v>182</v>
      </c>
      <c r="CX86" s="257">
        <v>182</v>
      </c>
    </row>
    <row r="87" spans="1:102" ht="14.25" thickBot="1">
      <c r="A87" s="1088"/>
      <c r="B87" s="1095"/>
      <c r="C87" s="1120"/>
      <c r="D87" s="1121"/>
      <c r="E87" s="98" t="s">
        <v>188</v>
      </c>
      <c r="F87" s="305">
        <v>432</v>
      </c>
      <c r="G87" s="192">
        <v>432</v>
      </c>
      <c r="H87" s="192">
        <v>432</v>
      </c>
      <c r="I87" s="1020">
        <v>215</v>
      </c>
      <c r="J87" s="1021">
        <v>215</v>
      </c>
      <c r="K87" s="1021">
        <v>215</v>
      </c>
      <c r="L87" s="701">
        <v>372</v>
      </c>
      <c r="M87" s="701">
        <v>372</v>
      </c>
      <c r="N87" s="701">
        <v>372</v>
      </c>
      <c r="O87" s="701">
        <v>372</v>
      </c>
      <c r="P87" s="701">
        <v>372</v>
      </c>
      <c r="Q87" s="738">
        <v>372</v>
      </c>
      <c r="R87" s="738">
        <v>372</v>
      </c>
      <c r="S87" s="709" t="s">
        <v>8</v>
      </c>
      <c r="T87" s="709" t="s">
        <v>8</v>
      </c>
      <c r="U87" s="709" t="s">
        <v>8</v>
      </c>
      <c r="V87" s="1155"/>
      <c r="W87" s="192">
        <v>457</v>
      </c>
      <c r="X87" s="192">
        <v>457</v>
      </c>
      <c r="Y87" s="192">
        <v>457</v>
      </c>
      <c r="Z87" s="959">
        <v>457</v>
      </c>
      <c r="AA87" s="959">
        <v>457</v>
      </c>
      <c r="AB87" s="959">
        <v>457</v>
      </c>
      <c r="AC87" s="192">
        <v>457</v>
      </c>
      <c r="AD87" s="192">
        <v>457</v>
      </c>
      <c r="AE87" s="192">
        <v>457</v>
      </c>
      <c r="AF87" s="1112"/>
      <c r="AG87" s="1112"/>
      <c r="AH87" s="306">
        <v>483</v>
      </c>
      <c r="AI87" s="681">
        <v>1200</v>
      </c>
      <c r="AJ87" s="1117"/>
      <c r="AK87" s="1117"/>
      <c r="AL87" s="1117"/>
      <c r="AM87" s="1114"/>
      <c r="AN87" s="1114"/>
      <c r="AO87" s="1114"/>
      <c r="AP87" s="1112"/>
      <c r="AQ87" s="1112"/>
      <c r="AR87" s="306">
        <v>483</v>
      </c>
      <c r="AS87" s="681">
        <v>1200</v>
      </c>
      <c r="AT87" s="681">
        <v>1200</v>
      </c>
      <c r="AU87" s="192">
        <v>432</v>
      </c>
      <c r="AV87" s="739" t="s">
        <v>8</v>
      </c>
      <c r="AW87" s="192">
        <v>432</v>
      </c>
      <c r="AX87" s="306">
        <v>483</v>
      </c>
      <c r="AY87" s="306">
        <v>483</v>
      </c>
      <c r="AZ87" s="192">
        <v>457.2</v>
      </c>
      <c r="BA87" s="1117"/>
      <c r="BB87" s="192">
        <v>432</v>
      </c>
      <c r="BC87" s="192">
        <v>432</v>
      </c>
      <c r="BD87" s="739" t="s">
        <v>8</v>
      </c>
      <c r="BE87" s="192">
        <v>432</v>
      </c>
      <c r="BF87" s="192">
        <v>432</v>
      </c>
      <c r="BG87" s="192">
        <v>432</v>
      </c>
      <c r="BH87" s="739" t="s">
        <v>8</v>
      </c>
      <c r="BI87" s="739" t="s">
        <v>8</v>
      </c>
      <c r="BJ87" s="192">
        <v>432</v>
      </c>
      <c r="BK87" s="192">
        <v>432</v>
      </c>
      <c r="BL87" s="192">
        <v>432</v>
      </c>
      <c r="BM87" s="192">
        <v>432</v>
      </c>
      <c r="BN87" s="970"/>
      <c r="BO87" s="1141"/>
      <c r="BP87" s="192">
        <f t="shared" si="13"/>
        <v>457.2</v>
      </c>
      <c r="BQ87" s="739" t="s">
        <v>8</v>
      </c>
      <c r="BR87" s="739" t="s">
        <v>8</v>
      </c>
      <c r="BS87" s="739" t="s">
        <v>8</v>
      </c>
      <c r="BT87" s="739" t="s">
        <v>8</v>
      </c>
      <c r="BU87" s="192">
        <v>432</v>
      </c>
      <c r="BV87" s="192">
        <v>432</v>
      </c>
      <c r="BW87" s="192">
        <v>432</v>
      </c>
      <c r="BX87" s="1141"/>
      <c r="BY87" s="1027"/>
      <c r="BZ87" s="1027"/>
      <c r="CA87" s="1027"/>
      <c r="CB87" s="1027"/>
      <c r="CC87" s="739" t="s">
        <v>8</v>
      </c>
      <c r="CD87" s="192">
        <v>432</v>
      </c>
      <c r="CE87" s="411">
        <f t="shared" si="14"/>
        <v>457.2</v>
      </c>
      <c r="CF87" s="1027"/>
      <c r="CG87" s="1030"/>
      <c r="CH87" s="1041"/>
      <c r="CI87" s="126"/>
      <c r="CJ87" s="126"/>
      <c r="CM87" s="127"/>
      <c r="CN87" s="15"/>
      <c r="CO87" s="15"/>
      <c r="CP87" s="15"/>
      <c r="CQ87" s="217">
        <v>431.8</v>
      </c>
      <c r="CR87" s="193">
        <v>431.8</v>
      </c>
      <c r="CS87" s="193">
        <v>431.8</v>
      </c>
      <c r="CT87" s="258">
        <v>431.8</v>
      </c>
      <c r="CU87" s="237">
        <v>431.8</v>
      </c>
      <c r="CV87" s="193">
        <v>431.8</v>
      </c>
      <c r="CW87" s="291">
        <v>431.8</v>
      </c>
      <c r="CX87" s="258">
        <v>431.8</v>
      </c>
    </row>
    <row r="88" spans="1:102" s="518" customFormat="1" ht="165" customHeight="1" thickTop="1" thickBot="1">
      <c r="A88" s="159"/>
      <c r="B88" s="109" t="s">
        <v>13</v>
      </c>
      <c r="C88" s="110"/>
      <c r="D88" s="110"/>
      <c r="E88" s="111"/>
      <c r="F88" s="1145" t="s">
        <v>1074</v>
      </c>
      <c r="G88" s="1146"/>
      <c r="H88" s="1146"/>
      <c r="I88" s="1146"/>
      <c r="J88" s="1146"/>
      <c r="K88" s="1146"/>
      <c r="L88" s="1146"/>
      <c r="M88" s="1146"/>
      <c r="N88" s="1146"/>
      <c r="O88" s="1146"/>
      <c r="P88" s="1146"/>
      <c r="Q88" s="1146"/>
      <c r="R88" s="1146"/>
      <c r="S88" s="1146"/>
      <c r="T88" s="1146"/>
      <c r="U88" s="1146"/>
      <c r="V88" s="1146"/>
      <c r="W88" s="1146"/>
      <c r="X88" s="1146"/>
      <c r="Y88" s="1146"/>
      <c r="Z88" s="1146"/>
      <c r="AA88" s="1146"/>
      <c r="AB88" s="1146"/>
      <c r="AC88" s="1146"/>
      <c r="AD88" s="1146"/>
      <c r="AE88" s="1146"/>
      <c r="AF88" s="1146"/>
      <c r="AG88" s="1146"/>
      <c r="AH88" s="1146"/>
      <c r="AI88" s="1146"/>
      <c r="AJ88" s="1146"/>
      <c r="AK88" s="1146"/>
      <c r="AL88" s="1146"/>
      <c r="AM88" s="1146"/>
      <c r="AN88" s="1146"/>
      <c r="AO88" s="1146"/>
      <c r="AP88" s="1146"/>
      <c r="AQ88" s="1147"/>
      <c r="AR88" s="113"/>
      <c r="AS88" s="199"/>
      <c r="AT88" s="113"/>
      <c r="AU88" s="113"/>
      <c r="AV88" s="890"/>
      <c r="AW88" s="113"/>
      <c r="AX88" s="113"/>
      <c r="AY88" s="113"/>
      <c r="AZ88" s="113"/>
      <c r="BA88" s="113" t="s">
        <v>579</v>
      </c>
      <c r="BB88" s="199" t="s">
        <v>504</v>
      </c>
      <c r="BC88" s="113"/>
      <c r="BD88" s="890"/>
      <c r="BE88" s="113"/>
      <c r="BF88" s="113"/>
      <c r="BG88" s="1142" t="s">
        <v>580</v>
      </c>
      <c r="BH88" s="1143"/>
      <c r="BI88" s="1143"/>
      <c r="BJ88" s="1143"/>
      <c r="BK88" s="1143"/>
      <c r="BL88" s="1143"/>
      <c r="BM88" s="1143"/>
      <c r="BN88" s="1143"/>
      <c r="BO88" s="1143"/>
      <c r="BP88" s="1144"/>
      <c r="BQ88" s="890" t="s">
        <v>287</v>
      </c>
      <c r="BR88" s="890"/>
      <c r="BS88" s="890"/>
      <c r="BT88" s="890"/>
      <c r="BU88" s="113" t="s">
        <v>1040</v>
      </c>
      <c r="BV88" s="113" t="s">
        <v>1041</v>
      </c>
      <c r="BW88" s="113" t="s">
        <v>1041</v>
      </c>
      <c r="BX88" s="744"/>
      <c r="BY88" s="412" t="str">
        <f>BQ88</f>
        <v>US2穴を含む</v>
      </c>
      <c r="BZ88" s="412"/>
      <c r="CA88" s="412"/>
      <c r="CB88" s="412"/>
      <c r="CC88" s="890"/>
      <c r="CD88" s="113"/>
      <c r="CE88" s="413"/>
      <c r="CF88" s="412"/>
      <c r="CG88" s="414" t="str">
        <f>$BA:$BA</f>
        <v>Tri-C/Tri-Zの排出先。</v>
      </c>
      <c r="CH88" s="195" t="s">
        <v>163</v>
      </c>
      <c r="CI88" s="317"/>
      <c r="CJ88" s="317"/>
      <c r="CK88" s="318"/>
      <c r="CL88" s="318"/>
      <c r="CM88" s="319"/>
      <c r="CN88" s="317"/>
      <c r="CO88" s="318"/>
      <c r="CP88" s="319"/>
      <c r="CQ88" s="279"/>
      <c r="CR88" s="235"/>
      <c r="CS88" s="235"/>
      <c r="CT88" s="259"/>
      <c r="CU88" s="238"/>
      <c r="CV88" s="235"/>
      <c r="CW88" s="292"/>
      <c r="CX88" s="259"/>
    </row>
    <row r="89" spans="1:102" ht="21" customHeight="1"/>
    <row r="90" spans="1:102">
      <c r="AH90" s="21"/>
      <c r="AI90" s="21"/>
      <c r="AJ90" s="21"/>
      <c r="AK90" s="21"/>
      <c r="AL90" s="21"/>
      <c r="AM90" s="961"/>
      <c r="AN90" s="961"/>
      <c r="AO90" s="961"/>
    </row>
  </sheetData>
  <mergeCells count="149">
    <mergeCell ref="CL64:CM66"/>
    <mergeCell ref="CL67:CL73"/>
    <mergeCell ref="CM67:CM73"/>
    <mergeCell ref="CJ66:CK66"/>
    <mergeCell ref="CJ67:CK67"/>
    <mergeCell ref="CH53:CH66"/>
    <mergeCell ref="BX84:BX87"/>
    <mergeCell ref="BG88:BP88"/>
    <mergeCell ref="AL84:AL87"/>
    <mergeCell ref="F88:AQ88"/>
    <mergeCell ref="AP84:AP87"/>
    <mergeCell ref="CJ71:CK71"/>
    <mergeCell ref="CJ72:CK72"/>
    <mergeCell ref="CJ73:CK73"/>
    <mergeCell ref="CJ81:CK81"/>
    <mergeCell ref="CJ82:CK82"/>
    <mergeCell ref="CJ76:CK76"/>
    <mergeCell ref="CJ77:CK77"/>
    <mergeCell ref="CJ78:CK78"/>
    <mergeCell ref="CJ79:CK79"/>
    <mergeCell ref="BA84:BA87"/>
    <mergeCell ref="AQ84:AQ87"/>
    <mergeCell ref="BO84:BO87"/>
    <mergeCell ref="V84:V87"/>
    <mergeCell ref="AF84:AF87"/>
    <mergeCell ref="AN84:AN87"/>
    <mergeCell ref="AO84:AO87"/>
    <mergeCell ref="AM84:AM87"/>
    <mergeCell ref="AG84:AG87"/>
    <mergeCell ref="B61:B62"/>
    <mergeCell ref="F2:H2"/>
    <mergeCell ref="AM2:AO2"/>
    <mergeCell ref="AJ84:AJ87"/>
    <mergeCell ref="AJ2:AL2"/>
    <mergeCell ref="AF2:AG2"/>
    <mergeCell ref="C86:D87"/>
    <mergeCell ref="C14:C15"/>
    <mergeCell ref="C65:C66"/>
    <mergeCell ref="B57:B58"/>
    <mergeCell ref="D53:D54"/>
    <mergeCell ref="C5:C6"/>
    <mergeCell ref="C31:C32"/>
    <mergeCell ref="AK84:AK87"/>
    <mergeCell ref="D34:D35"/>
    <mergeCell ref="D59:D60"/>
    <mergeCell ref="C57:C58"/>
    <mergeCell ref="B50:B51"/>
    <mergeCell ref="B47:B48"/>
    <mergeCell ref="B65:B66"/>
    <mergeCell ref="C61:C62"/>
    <mergeCell ref="B17:B18"/>
    <mergeCell ref="BG1:BP1"/>
    <mergeCell ref="BM2:BO2"/>
    <mergeCell ref="AS1:BA1"/>
    <mergeCell ref="AX2:BA2"/>
    <mergeCell ref="D17:D18"/>
    <mergeCell ref="S2:U2"/>
    <mergeCell ref="F1:AQ1"/>
    <mergeCell ref="D14:D15"/>
    <mergeCell ref="AC2:AE2"/>
    <mergeCell ref="BH2:BI2"/>
    <mergeCell ref="BB1:BF1"/>
    <mergeCell ref="D12:D13"/>
    <mergeCell ref="AP2:AQ2"/>
    <mergeCell ref="Q2:R2"/>
    <mergeCell ref="BJ2:BL2"/>
    <mergeCell ref="D9:D10"/>
    <mergeCell ref="D5:D6"/>
    <mergeCell ref="B9:B10"/>
    <mergeCell ref="C9:C10"/>
    <mergeCell ref="D57:D58"/>
    <mergeCell ref="C63:C64"/>
    <mergeCell ref="A47:A49"/>
    <mergeCell ref="W2:Y2"/>
    <mergeCell ref="Z2:AB2"/>
    <mergeCell ref="A84:A87"/>
    <mergeCell ref="B37:B38"/>
    <mergeCell ref="A53:A66"/>
    <mergeCell ref="B55:B56"/>
    <mergeCell ref="A67:A82"/>
    <mergeCell ref="C21:C22"/>
    <mergeCell ref="A39:A46"/>
    <mergeCell ref="A50:A52"/>
    <mergeCell ref="B84:B87"/>
    <mergeCell ref="C84:D85"/>
    <mergeCell ref="B59:B60"/>
    <mergeCell ref="B21:B22"/>
    <mergeCell ref="C23:C24"/>
    <mergeCell ref="C17:C18"/>
    <mergeCell ref="D23:D24"/>
    <mergeCell ref="D50:D51"/>
    <mergeCell ref="L2:P2"/>
    <mergeCell ref="D19:D20"/>
    <mergeCell ref="B53:B54"/>
    <mergeCell ref="B63:B64"/>
    <mergeCell ref="B5:B6"/>
    <mergeCell ref="A5:A11"/>
    <mergeCell ref="A31:A38"/>
    <mergeCell ref="C19:C20"/>
    <mergeCell ref="B19:B20"/>
    <mergeCell ref="B7:B8"/>
    <mergeCell ref="B14:B15"/>
    <mergeCell ref="B12:B13"/>
    <mergeCell ref="C37:C38"/>
    <mergeCell ref="B31:B32"/>
    <mergeCell ref="C12:C13"/>
    <mergeCell ref="A12:A16"/>
    <mergeCell ref="A17:A30"/>
    <mergeCell ref="C34:C35"/>
    <mergeCell ref="B23:B24"/>
    <mergeCell ref="B34:B35"/>
    <mergeCell ref="C7:C8"/>
    <mergeCell ref="C55:C56"/>
    <mergeCell ref="C59:C60"/>
    <mergeCell ref="D55:D56"/>
    <mergeCell ref="D65:D66"/>
    <mergeCell ref="BQ1:CB1"/>
    <mergeCell ref="CC1:CG1"/>
    <mergeCell ref="BQ2:BT2"/>
    <mergeCell ref="BU2:BX2"/>
    <mergeCell ref="D7:D8"/>
    <mergeCell ref="D63:D64"/>
    <mergeCell ref="D61:D62"/>
    <mergeCell ref="C47:C48"/>
    <mergeCell ref="D47:D48"/>
    <mergeCell ref="D37:D38"/>
    <mergeCell ref="C50:C51"/>
    <mergeCell ref="C53:C54"/>
    <mergeCell ref="D21:D22"/>
    <mergeCell ref="D31:D32"/>
    <mergeCell ref="I2:K2"/>
    <mergeCell ref="CF84:CF87"/>
    <mergeCell ref="CG84:CG87"/>
    <mergeCell ref="CJ74:CK74"/>
    <mergeCell ref="CJ75:CK75"/>
    <mergeCell ref="CJ80:CK80"/>
    <mergeCell ref="CH67:CH82"/>
    <mergeCell ref="CH1:CH4"/>
    <mergeCell ref="BY84:BY87"/>
    <mergeCell ref="CB84:CB87"/>
    <mergeCell ref="CA84:CA87"/>
    <mergeCell ref="BZ84:BZ87"/>
    <mergeCell ref="CH84:CH87"/>
    <mergeCell ref="CH39:CH46"/>
    <mergeCell ref="BY2:CB2"/>
    <mergeCell ref="CJ69:CK69"/>
    <mergeCell ref="CJ68:CK68"/>
    <mergeCell ref="CJ70:CK70"/>
    <mergeCell ref="CJ64:CK65"/>
  </mergeCells>
  <phoneticPr fontId="2"/>
  <dataValidations count="2">
    <dataValidation type="list" allowBlank="1" showInputMessage="1" showErrorMessage="1" sqref="E5:E71" xr:uid="{00000000-0002-0000-0100-000000000000}">
      <formula1>対応表方向範囲</formula1>
    </dataValidation>
    <dataValidation type="list" allowBlank="1" showInputMessage="1" showErrorMessage="1" sqref="B5:B37 B39:B84" xr:uid="{00000000-0002-0000-0100-000001000000}">
      <formula1>対応表サイズ範囲</formula1>
    </dataValidation>
  </dataValidations>
  <pageMargins left="0.39370078740157477" right="0.39370078740157477" top="0.39370078740157477" bottom="0.39370078740157477" header="0.11811023622047243" footer="0.11811023622047243"/>
  <pageSetup paperSize="9" scale="60" fitToWidth="0" orientation="portrait" horizontalDpi="300" verticalDpi="300" r:id="rId1"/>
  <headerFooter alignWithMargins="0">
    <oddHeader>&amp;C&amp;9表A-1 用紙サイズ</oddHeader>
    <oddFooter>&amp;L&amp;9I.I IOT Device Functions&amp;C&amp;9&amp;P/&amp;N-1&amp;R&amp;9DDF-IOT-BotanPlus-Hisui-Apx-K1.0.8.xlsm</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Y125"/>
  <sheetViews>
    <sheetView showGridLines="0" zoomScale="80" zoomScaleNormal="80" workbookViewId="0">
      <selection activeCell="A4" sqref="A4"/>
    </sheetView>
  </sheetViews>
  <sheetFormatPr defaultColWidth="9.140625" defaultRowHeight="13.5"/>
  <cols>
    <col min="1" max="1" width="3.42578125" style="526" bestFit="1" customWidth="1"/>
    <col min="2" max="2" width="18.140625" style="128" customWidth="1"/>
    <col min="3" max="3" width="5.5703125" style="307" hidden="1" customWidth="1"/>
    <col min="4" max="5" width="7.42578125" style="527" bestFit="1" customWidth="1"/>
    <col min="6" max="6" width="9.7109375" style="128" customWidth="1"/>
    <col min="7" max="7" width="9.7109375" style="128" hidden="1" customWidth="1"/>
    <col min="8" max="8" width="9.7109375" style="128" customWidth="1"/>
    <col min="9" max="9" width="9.7109375" style="128" hidden="1" customWidth="1"/>
    <col min="10" max="10" width="9.7109375" style="525" hidden="1" customWidth="1"/>
    <col min="11" max="14" width="9.7109375" style="128" customWidth="1"/>
    <col min="15" max="16" width="9.7109375" style="128" hidden="1" customWidth="1"/>
    <col min="17" max="21" width="9.7109375" style="128" customWidth="1"/>
    <col min="22" max="22" width="9.7109375" style="128" hidden="1" customWidth="1"/>
    <col min="23" max="29" width="9.7109375" style="128" customWidth="1"/>
    <col min="30" max="30" width="9.7109375" style="128" hidden="1" customWidth="1"/>
    <col min="31" max="33" width="9.7109375" style="128" customWidth="1"/>
    <col min="34" max="35" width="9.7109375" style="128" hidden="1" customWidth="1"/>
    <col min="36" max="41" width="9.7109375" style="128" customWidth="1"/>
    <col min="42" max="42" width="9.7109375" style="128" hidden="1" customWidth="1"/>
    <col min="43" max="44" width="9.7109375" style="128" customWidth="1"/>
    <col min="45" max="45" width="9.7109375" style="128" hidden="1" customWidth="1"/>
    <col min="46" max="49" width="9.7109375" style="128" customWidth="1"/>
    <col min="50" max="52" width="10.7109375" style="778" hidden="1" customWidth="1"/>
    <col min="53" max="58" width="10.7109375" style="778" customWidth="1"/>
    <col min="59" max="66" width="9.7109375" style="778" hidden="1" customWidth="1"/>
    <col min="67" max="67" width="55.85546875" style="78" customWidth="1"/>
    <col min="68" max="16384" width="9.140625" style="298"/>
  </cols>
  <sheetData>
    <row r="1" spans="1:67" s="15" customFormat="1" ht="13.5" customHeight="1">
      <c r="A1" s="620"/>
      <c r="B1" s="621"/>
      <c r="C1" s="622"/>
      <c r="D1" s="623"/>
      <c r="E1" s="624" t="s">
        <v>139</v>
      </c>
      <c r="F1" s="1183" t="s">
        <v>56</v>
      </c>
      <c r="G1" s="1061"/>
      <c r="H1" s="1184"/>
      <c r="I1" s="1184"/>
      <c r="J1" s="1184"/>
      <c r="K1" s="1184"/>
      <c r="L1" s="1184"/>
      <c r="M1" s="625"/>
      <c r="N1" s="1201" t="s">
        <v>950</v>
      </c>
      <c r="O1" s="1202"/>
      <c r="P1" s="1202"/>
      <c r="Q1" s="1203"/>
      <c r="R1" s="626" t="s">
        <v>19</v>
      </c>
      <c r="S1" s="1060" t="s">
        <v>15</v>
      </c>
      <c r="T1" s="1184"/>
      <c r="U1" s="1184"/>
      <c r="V1" s="1184"/>
      <c r="W1" s="1184"/>
      <c r="X1" s="1184"/>
      <c r="Y1" s="1184"/>
      <c r="Z1" s="1184"/>
      <c r="AA1" s="1187"/>
      <c r="AB1" s="1060" t="s">
        <v>257</v>
      </c>
      <c r="AC1" s="1184"/>
      <c r="AD1" s="1184"/>
      <c r="AE1" s="1184"/>
      <c r="AF1" s="1172"/>
      <c r="AG1" s="1060" t="s">
        <v>258</v>
      </c>
      <c r="AH1" s="1184"/>
      <c r="AI1" s="1184"/>
      <c r="AJ1" s="1184"/>
      <c r="AK1" s="1184"/>
      <c r="AL1" s="1184"/>
      <c r="AM1" s="1184"/>
      <c r="AN1" s="1184"/>
      <c r="AO1" s="1184"/>
      <c r="AP1" s="1060" t="s">
        <v>259</v>
      </c>
      <c r="AQ1" s="1061"/>
      <c r="AR1" s="1172"/>
      <c r="AS1" s="1176" t="s">
        <v>230</v>
      </c>
      <c r="AT1" s="1177"/>
      <c r="AU1" s="1178"/>
      <c r="AV1" s="1179"/>
      <c r="AW1" s="1179"/>
      <c r="AX1" s="1207" t="s">
        <v>1013</v>
      </c>
      <c r="AY1" s="1208"/>
      <c r="AZ1" s="1209"/>
      <c r="BA1" s="1162" t="s">
        <v>1030</v>
      </c>
      <c r="BB1" s="1163"/>
      <c r="BC1" s="1164"/>
      <c r="BD1" s="1156" t="s">
        <v>1097</v>
      </c>
      <c r="BE1" s="1157"/>
      <c r="BF1" s="1158"/>
      <c r="BG1" s="1159" t="s">
        <v>1014</v>
      </c>
      <c r="BH1" s="1160"/>
      <c r="BI1" s="1160"/>
      <c r="BJ1" s="1160"/>
      <c r="BK1" s="1160"/>
      <c r="BL1" s="1160"/>
      <c r="BM1" s="1160"/>
      <c r="BN1" s="1161"/>
      <c r="BO1" s="627" t="s">
        <v>13</v>
      </c>
    </row>
    <row r="2" spans="1:67" ht="76.5" customHeight="1">
      <c r="A2" s="628"/>
      <c r="B2" s="617" t="s">
        <v>225</v>
      </c>
      <c r="C2" s="629"/>
      <c r="D2" s="478"/>
      <c r="E2" s="630"/>
      <c r="F2" s="631" t="s">
        <v>902</v>
      </c>
      <c r="G2" s="631" t="s">
        <v>903</v>
      </c>
      <c r="H2" s="631" t="s">
        <v>495</v>
      </c>
      <c r="I2" s="607" t="s">
        <v>904</v>
      </c>
      <c r="J2" s="631" t="s">
        <v>905</v>
      </c>
      <c r="K2" s="631" t="s">
        <v>534</v>
      </c>
      <c r="L2" s="446" t="s">
        <v>63</v>
      </c>
      <c r="M2" s="974" t="s">
        <v>1077</v>
      </c>
      <c r="N2" s="714" t="s">
        <v>951</v>
      </c>
      <c r="O2" s="962"/>
      <c r="P2" s="962"/>
      <c r="Q2" s="714" t="s">
        <v>952</v>
      </c>
      <c r="R2" s="422"/>
      <c r="S2" s="446" t="s">
        <v>906</v>
      </c>
      <c r="T2" s="446" t="s">
        <v>149</v>
      </c>
      <c r="U2" s="422" t="s">
        <v>907</v>
      </c>
      <c r="V2" s="898" t="s">
        <v>908</v>
      </c>
      <c r="W2" s="417" t="s">
        <v>1039</v>
      </c>
      <c r="X2" s="1169" t="s">
        <v>1078</v>
      </c>
      <c r="Y2" s="1170"/>
      <c r="Z2" s="1170"/>
      <c r="AA2" s="1171"/>
      <c r="AB2" s="446" t="s">
        <v>909</v>
      </c>
      <c r="AC2" s="422" t="s">
        <v>910</v>
      </c>
      <c r="AD2" s="900" t="s">
        <v>911</v>
      </c>
      <c r="AE2" s="423" t="s">
        <v>1036</v>
      </c>
      <c r="AF2" s="978" t="s">
        <v>1084</v>
      </c>
      <c r="AG2" s="423" t="s">
        <v>910</v>
      </c>
      <c r="AH2" s="1185" t="s">
        <v>912</v>
      </c>
      <c r="AI2" s="1186"/>
      <c r="AJ2" s="1204" t="s">
        <v>996</v>
      </c>
      <c r="AK2" s="1205"/>
      <c r="AL2" s="1206"/>
      <c r="AM2" s="1216" t="s">
        <v>1085</v>
      </c>
      <c r="AN2" s="1217"/>
      <c r="AO2" s="978" t="s">
        <v>1090</v>
      </c>
      <c r="AP2" s="901" t="s">
        <v>911</v>
      </c>
      <c r="AQ2" s="810" t="s">
        <v>994</v>
      </c>
      <c r="AR2" s="980" t="s">
        <v>1092</v>
      </c>
      <c r="AS2" s="833" t="s">
        <v>911</v>
      </c>
      <c r="AT2" s="417" t="s">
        <v>994</v>
      </c>
      <c r="AU2" s="982" t="s">
        <v>1094</v>
      </c>
      <c r="AV2" s="982" t="s">
        <v>1092</v>
      </c>
      <c r="AW2" s="983" t="s">
        <v>1095</v>
      </c>
      <c r="AX2" s="922" t="s">
        <v>1015</v>
      </c>
      <c r="AY2" s="903" t="s">
        <v>1016</v>
      </c>
      <c r="AZ2" s="904" t="s">
        <v>1017</v>
      </c>
      <c r="BA2" s="789" t="s">
        <v>1015</v>
      </c>
      <c r="BB2" s="826" t="s">
        <v>1016</v>
      </c>
      <c r="BC2" s="790" t="s">
        <v>1017</v>
      </c>
      <c r="BD2" s="789" t="s">
        <v>1015</v>
      </c>
      <c r="BE2" s="826" t="s">
        <v>1016</v>
      </c>
      <c r="BF2" s="790" t="s">
        <v>1017</v>
      </c>
      <c r="BG2" s="745"/>
      <c r="BH2" s="746"/>
      <c r="BI2" s="747" t="s">
        <v>1018</v>
      </c>
      <c r="BJ2" s="779" t="s">
        <v>1018</v>
      </c>
      <c r="BK2" s="789" t="s">
        <v>1034</v>
      </c>
      <c r="BL2" s="790" t="s">
        <v>1034</v>
      </c>
      <c r="BM2" s="784" t="s">
        <v>1019</v>
      </c>
      <c r="BN2" s="748" t="s">
        <v>1019</v>
      </c>
      <c r="BO2" s="632"/>
    </row>
    <row r="3" spans="1:67" ht="69" customHeight="1">
      <c r="A3" s="628"/>
      <c r="B3" s="633" t="s">
        <v>214</v>
      </c>
      <c r="C3" s="421" t="s">
        <v>494</v>
      </c>
      <c r="D3" s="634" t="s">
        <v>226</v>
      </c>
      <c r="E3" s="635" t="s">
        <v>227</v>
      </c>
      <c r="F3" s="636"/>
      <c r="G3" s="637"/>
      <c r="H3" s="636"/>
      <c r="I3" s="636"/>
      <c r="J3" s="638"/>
      <c r="K3" s="636"/>
      <c r="L3" s="422"/>
      <c r="M3" s="636"/>
      <c r="N3" s="422"/>
      <c r="O3" s="422"/>
      <c r="P3" s="422"/>
      <c r="Q3" s="422"/>
      <c r="R3" s="422"/>
      <c r="S3" s="422"/>
      <c r="T3" s="422"/>
      <c r="U3" s="421" t="s">
        <v>228</v>
      </c>
      <c r="V3" s="899" t="s">
        <v>228</v>
      </c>
      <c r="W3" s="446" t="s">
        <v>228</v>
      </c>
      <c r="X3" s="446" t="s">
        <v>573</v>
      </c>
      <c r="Y3" s="446" t="s">
        <v>574</v>
      </c>
      <c r="Z3" s="446" t="s">
        <v>229</v>
      </c>
      <c r="AA3" s="451" t="s">
        <v>569</v>
      </c>
      <c r="AB3" s="422"/>
      <c r="AC3" s="422"/>
      <c r="AD3" s="900"/>
      <c r="AE3" s="423"/>
      <c r="AF3" s="423"/>
      <c r="AG3" s="688" t="s">
        <v>232</v>
      </c>
      <c r="AH3" s="937" t="s">
        <v>232</v>
      </c>
      <c r="AI3" s="937" t="s">
        <v>231</v>
      </c>
      <c r="AJ3" s="688" t="s">
        <v>1010</v>
      </c>
      <c r="AK3" s="688" t="s">
        <v>1046</v>
      </c>
      <c r="AL3" s="424" t="s">
        <v>231</v>
      </c>
      <c r="AM3" s="979" t="s">
        <v>1086</v>
      </c>
      <c r="AN3" s="979" t="s">
        <v>1087</v>
      </c>
      <c r="AO3" s="424" t="s">
        <v>231</v>
      </c>
      <c r="AP3" s="841" t="s">
        <v>256</v>
      </c>
      <c r="AQ3" s="422" t="s">
        <v>256</v>
      </c>
      <c r="AR3" s="423" t="s">
        <v>256</v>
      </c>
      <c r="AS3" s="902" t="s">
        <v>248</v>
      </c>
      <c r="AT3" s="445" t="s">
        <v>248</v>
      </c>
      <c r="AU3" s="421" t="s">
        <v>299</v>
      </c>
      <c r="AV3" s="453" t="s">
        <v>575</v>
      </c>
      <c r="AW3" s="454" t="s">
        <v>571</v>
      </c>
      <c r="AX3" s="923" t="s">
        <v>1020</v>
      </c>
      <c r="AY3" s="903" t="s">
        <v>1021</v>
      </c>
      <c r="AZ3" s="905" t="s">
        <v>1022</v>
      </c>
      <c r="BA3" s="827" t="s">
        <v>1020</v>
      </c>
      <c r="BB3" s="826" t="s">
        <v>1021</v>
      </c>
      <c r="BC3" s="828" t="s">
        <v>1022</v>
      </c>
      <c r="BD3" s="827" t="s">
        <v>1020</v>
      </c>
      <c r="BE3" s="826" t="s">
        <v>1021</v>
      </c>
      <c r="BF3" s="828" t="s">
        <v>1022</v>
      </c>
      <c r="BG3" s="749" t="s">
        <v>1023</v>
      </c>
      <c r="BH3" s="750" t="s">
        <v>19</v>
      </c>
      <c r="BI3" s="750" t="s">
        <v>1024</v>
      </c>
      <c r="BJ3" s="780" t="s">
        <v>231</v>
      </c>
      <c r="BK3" s="791" t="s">
        <v>1024</v>
      </c>
      <c r="BL3" s="792" t="s">
        <v>231</v>
      </c>
      <c r="BM3" s="749" t="s">
        <v>1024</v>
      </c>
      <c r="BN3" s="750" t="s">
        <v>231</v>
      </c>
      <c r="BO3" s="632"/>
    </row>
    <row r="4" spans="1:67" s="519" customFormat="1" ht="14.25" thickBot="1">
      <c r="A4" s="610"/>
      <c r="B4" s="639"/>
      <c r="C4" s="640"/>
      <c r="D4" s="388"/>
      <c r="E4" s="641"/>
      <c r="F4" s="642" t="s">
        <v>260</v>
      </c>
      <c r="G4" s="643"/>
      <c r="H4" s="642" t="s">
        <v>499</v>
      </c>
      <c r="I4" s="642" t="s">
        <v>496</v>
      </c>
      <c r="J4" s="644" t="s">
        <v>538</v>
      </c>
      <c r="K4" s="642"/>
      <c r="L4" s="425" t="s">
        <v>261</v>
      </c>
      <c r="M4" s="972" t="s">
        <v>500</v>
      </c>
      <c r="N4" s="973" t="s">
        <v>1058</v>
      </c>
      <c r="O4" s="973" t="s">
        <v>1059</v>
      </c>
      <c r="P4" s="973" t="s">
        <v>1060</v>
      </c>
      <c r="Q4" s="973" t="s">
        <v>1061</v>
      </c>
      <c r="R4" s="642" t="s">
        <v>262</v>
      </c>
      <c r="S4" s="425" t="s">
        <v>263</v>
      </c>
      <c r="T4" s="425" t="s">
        <v>264</v>
      </c>
      <c r="U4" s="425" t="s">
        <v>934</v>
      </c>
      <c r="V4" s="889" t="s">
        <v>268</v>
      </c>
      <c r="W4" s="425" t="s">
        <v>1005</v>
      </c>
      <c r="X4" s="975" t="s">
        <v>1079</v>
      </c>
      <c r="Y4" s="975" t="s">
        <v>1080</v>
      </c>
      <c r="Z4" s="975" t="s">
        <v>1081</v>
      </c>
      <c r="AA4" s="976" t="s">
        <v>1082</v>
      </c>
      <c r="AB4" s="425" t="s">
        <v>535</v>
      </c>
      <c r="AC4" s="425" t="s">
        <v>935</v>
      </c>
      <c r="AD4" s="889" t="s">
        <v>269</v>
      </c>
      <c r="AE4" s="426" t="s">
        <v>1006</v>
      </c>
      <c r="AF4" s="977" t="s">
        <v>1083</v>
      </c>
      <c r="AG4" s="426" t="s">
        <v>936</v>
      </c>
      <c r="AH4" s="482" t="s">
        <v>270</v>
      </c>
      <c r="AI4" s="480" t="s">
        <v>300</v>
      </c>
      <c r="AJ4" s="426" t="s">
        <v>1007</v>
      </c>
      <c r="AK4" s="426" t="s">
        <v>1009</v>
      </c>
      <c r="AL4" s="426" t="s">
        <v>1008</v>
      </c>
      <c r="AM4" s="977" t="s">
        <v>1089</v>
      </c>
      <c r="AN4" s="977" t="s">
        <v>1088</v>
      </c>
      <c r="AO4" s="977" t="s">
        <v>1091</v>
      </c>
      <c r="AP4" s="889" t="s">
        <v>271</v>
      </c>
      <c r="AQ4" s="388" t="s">
        <v>1011</v>
      </c>
      <c r="AR4" s="981" t="s">
        <v>1093</v>
      </c>
      <c r="AS4" s="889" t="s">
        <v>301</v>
      </c>
      <c r="AT4" s="388" t="s">
        <v>1012</v>
      </c>
      <c r="AU4" s="425"/>
      <c r="AV4" s="984" t="s">
        <v>1096</v>
      </c>
      <c r="AW4" s="918"/>
      <c r="AX4" s="924" t="s">
        <v>1025</v>
      </c>
      <c r="AY4" s="906" t="s">
        <v>1026</v>
      </c>
      <c r="AZ4" s="907" t="s">
        <v>1027</v>
      </c>
      <c r="BA4" s="829" t="s">
        <v>1031</v>
      </c>
      <c r="BB4" s="830" t="s">
        <v>1032</v>
      </c>
      <c r="BC4" s="831" t="s">
        <v>1033</v>
      </c>
      <c r="BD4" s="829" t="s">
        <v>1098</v>
      </c>
      <c r="BE4" s="830" t="s">
        <v>1099</v>
      </c>
      <c r="BF4" s="831" t="s">
        <v>1100</v>
      </c>
      <c r="BG4" s="751"/>
      <c r="BH4" s="752"/>
      <c r="BI4" s="752"/>
      <c r="BJ4" s="781"/>
      <c r="BK4" s="793"/>
      <c r="BL4" s="794"/>
      <c r="BM4" s="751"/>
      <c r="BN4" s="752"/>
      <c r="BO4" s="645" t="s">
        <v>265</v>
      </c>
    </row>
    <row r="5" spans="1:67" ht="13.5" customHeight="1">
      <c r="A5" s="1075" t="s">
        <v>212</v>
      </c>
      <c r="B5" s="580" t="s">
        <v>678</v>
      </c>
      <c r="C5" s="646">
        <v>0</v>
      </c>
      <c r="D5" s="647">
        <v>83</v>
      </c>
      <c r="E5" s="648">
        <v>105</v>
      </c>
      <c r="F5" s="114" t="s">
        <v>637</v>
      </c>
      <c r="G5" s="577" t="s">
        <v>849</v>
      </c>
      <c r="H5" s="114" t="s">
        <v>849</v>
      </c>
      <c r="I5" s="563" t="s">
        <v>849</v>
      </c>
      <c r="J5" s="578" t="s">
        <v>849</v>
      </c>
      <c r="K5" s="114" t="str">
        <f>F5</f>
        <v>○</v>
      </c>
      <c r="L5" s="53" t="s">
        <v>637</v>
      </c>
      <c r="M5" s="114" t="s">
        <v>637</v>
      </c>
      <c r="N5" s="53" t="s">
        <v>637</v>
      </c>
      <c r="O5" s="53" t="s">
        <v>637</v>
      </c>
      <c r="P5" s="53" t="s">
        <v>637</v>
      </c>
      <c r="Q5" s="53" t="s">
        <v>637</v>
      </c>
      <c r="R5" s="53" t="s">
        <v>637</v>
      </c>
      <c r="S5" s="53" t="s">
        <v>637</v>
      </c>
      <c r="T5" s="53" t="s">
        <v>637</v>
      </c>
      <c r="U5" s="53" t="s">
        <v>637</v>
      </c>
      <c r="V5" s="739" t="s">
        <v>8</v>
      </c>
      <c r="W5" s="53" t="s">
        <v>637</v>
      </c>
      <c r="X5" s="392" t="s">
        <v>637</v>
      </c>
      <c r="Y5" s="392" t="s">
        <v>637</v>
      </c>
      <c r="Z5" s="392" t="s">
        <v>637</v>
      </c>
      <c r="AA5" s="62" t="s">
        <v>850</v>
      </c>
      <c r="AB5" s="53" t="s">
        <v>637</v>
      </c>
      <c r="AC5" s="53" t="s">
        <v>637</v>
      </c>
      <c r="AD5" s="739" t="s">
        <v>8</v>
      </c>
      <c r="AE5" s="53" t="s">
        <v>637</v>
      </c>
      <c r="AF5" s="404" t="str">
        <f t="shared" ref="AF5:AF36" si="0">$Y:$Y</f>
        <v>○</v>
      </c>
      <c r="AG5" s="53" t="s">
        <v>850</v>
      </c>
      <c r="AH5" s="739" t="s">
        <v>8</v>
      </c>
      <c r="AI5" s="739" t="s">
        <v>8</v>
      </c>
      <c r="AJ5" s="54" t="s">
        <v>637</v>
      </c>
      <c r="AK5" s="54" t="s">
        <v>637</v>
      </c>
      <c r="AL5" s="53" t="s">
        <v>637</v>
      </c>
      <c r="AM5" s="579" t="str">
        <f t="shared" ref="AM5:AM36" si="1">$Y:$Y</f>
        <v>○</v>
      </c>
      <c r="AN5" s="579"/>
      <c r="AO5" s="579" t="str">
        <f>$Z:$Z</f>
        <v>○</v>
      </c>
      <c r="AP5" s="739" t="s">
        <v>8</v>
      </c>
      <c r="AQ5" s="54" t="s">
        <v>637</v>
      </c>
      <c r="AR5" s="579" t="s">
        <v>637</v>
      </c>
      <c r="AS5" s="739" t="s">
        <v>8</v>
      </c>
      <c r="AT5" s="62" t="s">
        <v>637</v>
      </c>
      <c r="AU5" s="404" t="str">
        <f t="shared" ref="AU5:AU18" si="2">$Z:$Z</f>
        <v>○</v>
      </c>
      <c r="AV5" s="404" t="s">
        <v>637</v>
      </c>
      <c r="AW5" s="54" t="str">
        <f t="shared" ref="AW5:AW36" si="3">$AA:$AA</f>
        <v>○</v>
      </c>
      <c r="AX5" s="925" t="s">
        <v>8</v>
      </c>
      <c r="AY5" s="739" t="s">
        <v>8</v>
      </c>
      <c r="AZ5" s="926" t="s">
        <v>8</v>
      </c>
      <c r="BA5" s="813" t="str">
        <f>IF(OR(BG5="×",BH5="×",BK5="×",BL5="×"),"×","○")</f>
        <v>○</v>
      </c>
      <c r="BB5" s="816" t="str">
        <f>IF(OR(BH5="×",BK5="×",BL5="×"),"×","○")</f>
        <v>○</v>
      </c>
      <c r="BC5" s="817" t="str">
        <f>IF(OR(BK5="×",BL5="×"),"×","○")</f>
        <v>○</v>
      </c>
      <c r="BD5" s="813" t="str">
        <f>IF(OR(BG5="×",BH5="×",BM5="×",BN5="×"),"×","○")</f>
        <v>○</v>
      </c>
      <c r="BE5" s="814" t="str">
        <f>IF(OR(BH5="×",BM5="×",BN5="×"),"×","○")</f>
        <v>○</v>
      </c>
      <c r="BF5" s="815" t="str">
        <f>IF(OR(BM5="×",BN5="×"),"×","○")</f>
        <v>○</v>
      </c>
      <c r="BG5" s="754" t="s">
        <v>546</v>
      </c>
      <c r="BH5" s="755" t="str">
        <f>R5</f>
        <v>○</v>
      </c>
      <c r="BI5" s="755" t="str">
        <f>AS5</f>
        <v>×</v>
      </c>
      <c r="BJ5" s="755" t="str">
        <f>AI5</f>
        <v>×</v>
      </c>
      <c r="BK5" s="795" t="str">
        <f>AT5</f>
        <v>○</v>
      </c>
      <c r="BL5" s="753" t="str">
        <f>AL5</f>
        <v>○</v>
      </c>
      <c r="BM5" s="785" t="str">
        <f>AU5</f>
        <v>○</v>
      </c>
      <c r="BN5" s="756" t="str">
        <f>AO5</f>
        <v>○</v>
      </c>
      <c r="BO5" s="1180" t="s">
        <v>1073</v>
      </c>
    </row>
    <row r="6" spans="1:67" ht="13.5" customHeight="1">
      <c r="A6" s="1076"/>
      <c r="B6" s="549" t="s">
        <v>679</v>
      </c>
      <c r="C6" s="646">
        <v>0</v>
      </c>
      <c r="D6" s="647">
        <v>64</v>
      </c>
      <c r="E6" s="648">
        <v>82</v>
      </c>
      <c r="F6" s="51" t="s">
        <v>637</v>
      </c>
      <c r="G6" s="568" t="s">
        <v>8</v>
      </c>
      <c r="H6" s="51" t="s">
        <v>161</v>
      </c>
      <c r="I6" s="568" t="s">
        <v>8</v>
      </c>
      <c r="J6" s="568" t="s">
        <v>8</v>
      </c>
      <c r="K6" s="51" t="str">
        <f t="shared" ref="K6:K32" si="4">F6</f>
        <v>○</v>
      </c>
      <c r="L6" s="34" t="s">
        <v>637</v>
      </c>
      <c r="M6" s="51" t="s">
        <v>637</v>
      </c>
      <c r="N6" s="34" t="s">
        <v>637</v>
      </c>
      <c r="O6" s="34" t="s">
        <v>637</v>
      </c>
      <c r="P6" s="34" t="s">
        <v>637</v>
      </c>
      <c r="Q6" s="34" t="s">
        <v>637</v>
      </c>
      <c r="R6" s="34" t="s">
        <v>637</v>
      </c>
      <c r="S6" s="34" t="s">
        <v>637</v>
      </c>
      <c r="T6" s="34" t="s">
        <v>637</v>
      </c>
      <c r="U6" s="34" t="s">
        <v>637</v>
      </c>
      <c r="V6" s="706" t="s">
        <v>8</v>
      </c>
      <c r="W6" s="34" t="s">
        <v>637</v>
      </c>
      <c r="X6" s="395" t="s">
        <v>637</v>
      </c>
      <c r="Y6" s="395" t="s">
        <v>637</v>
      </c>
      <c r="Z6" s="395" t="s">
        <v>637</v>
      </c>
      <c r="AA6" s="395" t="s">
        <v>637</v>
      </c>
      <c r="AB6" s="34" t="s">
        <v>637</v>
      </c>
      <c r="AC6" s="34" t="s">
        <v>637</v>
      </c>
      <c r="AD6" s="706" t="s">
        <v>8</v>
      </c>
      <c r="AE6" s="34" t="s">
        <v>637</v>
      </c>
      <c r="AF6" s="395" t="str">
        <f t="shared" si="0"/>
        <v>○</v>
      </c>
      <c r="AG6" s="34" t="s">
        <v>638</v>
      </c>
      <c r="AH6" s="706" t="s">
        <v>8</v>
      </c>
      <c r="AI6" s="706" t="s">
        <v>8</v>
      </c>
      <c r="AJ6" s="36" t="s">
        <v>637</v>
      </c>
      <c r="AK6" s="36" t="s">
        <v>637</v>
      </c>
      <c r="AL6" s="34" t="s">
        <v>637</v>
      </c>
      <c r="AM6" s="428" t="str">
        <f t="shared" si="1"/>
        <v>○</v>
      </c>
      <c r="AN6" s="428"/>
      <c r="AO6" s="428" t="str">
        <f>$Z:$Z</f>
        <v>○</v>
      </c>
      <c r="AP6" s="706" t="s">
        <v>8</v>
      </c>
      <c r="AQ6" s="34" t="s">
        <v>637</v>
      </c>
      <c r="AR6" s="428" t="s">
        <v>637</v>
      </c>
      <c r="AS6" s="706" t="s">
        <v>8</v>
      </c>
      <c r="AT6" s="34" t="s">
        <v>637</v>
      </c>
      <c r="AU6" s="395" t="str">
        <f t="shared" si="2"/>
        <v>○</v>
      </c>
      <c r="AV6" s="395" t="s">
        <v>637</v>
      </c>
      <c r="AW6" s="428" t="str">
        <f t="shared" si="3"/>
        <v>○</v>
      </c>
      <c r="AX6" s="927" t="s">
        <v>8</v>
      </c>
      <c r="AY6" s="706" t="s">
        <v>8</v>
      </c>
      <c r="AZ6" s="928" t="s">
        <v>8</v>
      </c>
      <c r="BA6" s="813" t="str">
        <f t="shared" ref="BA6:BA69" si="5">IF(OR(BG6="×",BH6="×",BK6="×",BL6="×"),"×","○")</f>
        <v>○</v>
      </c>
      <c r="BB6" s="767" t="str">
        <f t="shared" ref="BB6:BB69" si="6">IF(OR(BH6="×",BK6="×",BL6="×"),"×","○")</f>
        <v>○</v>
      </c>
      <c r="BC6" s="768" t="str">
        <f t="shared" ref="BC6:BC69" si="7">IF(OR(BK6="×",BL6="×"),"×","○")</f>
        <v>○</v>
      </c>
      <c r="BD6" s="765" t="str">
        <f t="shared" ref="BD6:BD69" si="8">IF(OR(BG6="×",BH6="×",BM6="×",BN6="×"),"×","○")</f>
        <v>○</v>
      </c>
      <c r="BE6" s="767" t="str">
        <f t="shared" ref="BE6:BE69" si="9">IF(OR(BH6="×",BM6="×",BN6="×"),"×","○")</f>
        <v>○</v>
      </c>
      <c r="BF6" s="768" t="str">
        <f t="shared" ref="BF6:BF69" si="10">IF(OR(BM6="×",BN6="×"),"×","○")</f>
        <v>○</v>
      </c>
      <c r="BG6" s="760" t="s">
        <v>546</v>
      </c>
      <c r="BH6" s="761" t="str">
        <f>R6</f>
        <v>○</v>
      </c>
      <c r="BI6" s="758" t="str">
        <f>AS6</f>
        <v>×</v>
      </c>
      <c r="BJ6" s="761" t="str">
        <f>AI6</f>
        <v>×</v>
      </c>
      <c r="BK6" s="757" t="str">
        <f>AT6</f>
        <v>○</v>
      </c>
      <c r="BL6" s="759" t="str">
        <f>AL6</f>
        <v>○</v>
      </c>
      <c r="BM6" s="760" t="str">
        <f t="shared" ref="BM6:BM69" si="11">AU6</f>
        <v>○</v>
      </c>
      <c r="BN6" s="762" t="str">
        <f>AO6</f>
        <v>○</v>
      </c>
      <c r="BO6" s="1181"/>
    </row>
    <row r="7" spans="1:67">
      <c r="A7" s="1076"/>
      <c r="B7" s="549" t="s">
        <v>686</v>
      </c>
      <c r="C7" s="646">
        <v>0</v>
      </c>
      <c r="D7" s="647">
        <v>64</v>
      </c>
      <c r="E7" s="648">
        <v>82</v>
      </c>
      <c r="F7" s="51" t="s">
        <v>637</v>
      </c>
      <c r="G7" s="568" t="s">
        <v>8</v>
      </c>
      <c r="H7" s="51" t="s">
        <v>161</v>
      </c>
      <c r="I7" s="568" t="s">
        <v>8</v>
      </c>
      <c r="J7" s="568" t="s">
        <v>8</v>
      </c>
      <c r="K7" s="51" t="str">
        <f t="shared" si="4"/>
        <v>○</v>
      </c>
      <c r="L7" s="34" t="s">
        <v>637</v>
      </c>
      <c r="M7" s="51" t="s">
        <v>637</v>
      </c>
      <c r="N7" s="34" t="s">
        <v>637</v>
      </c>
      <c r="O7" s="34" t="s">
        <v>637</v>
      </c>
      <c r="P7" s="34" t="s">
        <v>637</v>
      </c>
      <c r="Q7" s="34" t="s">
        <v>637</v>
      </c>
      <c r="R7" s="34" t="s">
        <v>8</v>
      </c>
      <c r="S7" s="34" t="s">
        <v>637</v>
      </c>
      <c r="T7" s="34" t="s">
        <v>637</v>
      </c>
      <c r="U7" s="34" t="s">
        <v>637</v>
      </c>
      <c r="V7" s="706" t="s">
        <v>8</v>
      </c>
      <c r="W7" s="34" t="s">
        <v>637</v>
      </c>
      <c r="X7" s="395" t="s">
        <v>637</v>
      </c>
      <c r="Y7" s="395" t="s">
        <v>637</v>
      </c>
      <c r="Z7" s="395" t="s">
        <v>642</v>
      </c>
      <c r="AA7" s="395" t="s">
        <v>637</v>
      </c>
      <c r="AB7" s="34" t="s">
        <v>637</v>
      </c>
      <c r="AC7" s="34" t="s">
        <v>637</v>
      </c>
      <c r="AD7" s="706" t="s">
        <v>8</v>
      </c>
      <c r="AE7" s="34" t="s">
        <v>637</v>
      </c>
      <c r="AF7" s="395" t="str">
        <f t="shared" si="0"/>
        <v>○</v>
      </c>
      <c r="AG7" s="34" t="s">
        <v>638</v>
      </c>
      <c r="AH7" s="706" t="s">
        <v>8</v>
      </c>
      <c r="AI7" s="706" t="s">
        <v>8</v>
      </c>
      <c r="AJ7" s="36" t="s">
        <v>637</v>
      </c>
      <c r="AK7" s="36" t="s">
        <v>637</v>
      </c>
      <c r="AL7" s="34" t="s">
        <v>642</v>
      </c>
      <c r="AM7" s="428" t="str">
        <f t="shared" si="1"/>
        <v>○</v>
      </c>
      <c r="AN7" s="428"/>
      <c r="AO7" s="36" t="s">
        <v>642</v>
      </c>
      <c r="AP7" s="706" t="s">
        <v>8</v>
      </c>
      <c r="AQ7" s="34" t="s">
        <v>637</v>
      </c>
      <c r="AR7" s="395" t="s">
        <v>637</v>
      </c>
      <c r="AS7" s="706" t="s">
        <v>8</v>
      </c>
      <c r="AT7" s="34" t="s">
        <v>643</v>
      </c>
      <c r="AU7" s="395" t="str">
        <f t="shared" si="2"/>
        <v>○(3)</v>
      </c>
      <c r="AV7" s="395" t="s">
        <v>637</v>
      </c>
      <c r="AW7" s="428" t="str">
        <f t="shared" si="3"/>
        <v>○</v>
      </c>
      <c r="AX7" s="927" t="s">
        <v>8</v>
      </c>
      <c r="AY7" s="706" t="s">
        <v>8</v>
      </c>
      <c r="AZ7" s="928" t="s">
        <v>8</v>
      </c>
      <c r="BA7" s="813" t="str">
        <f t="shared" si="5"/>
        <v>×</v>
      </c>
      <c r="BB7" s="767" t="str">
        <f t="shared" si="6"/>
        <v>×</v>
      </c>
      <c r="BC7" s="768" t="str">
        <f t="shared" si="7"/>
        <v>×</v>
      </c>
      <c r="BD7" s="765" t="str">
        <f t="shared" si="8"/>
        <v>×</v>
      </c>
      <c r="BE7" s="767" t="str">
        <f t="shared" si="9"/>
        <v>×</v>
      </c>
      <c r="BF7" s="768" t="str">
        <f t="shared" si="10"/>
        <v>×</v>
      </c>
      <c r="BG7" s="760" t="s">
        <v>1028</v>
      </c>
      <c r="BH7" s="761" t="str">
        <f t="shared" ref="BH7:BH70" si="12">R7</f>
        <v>×</v>
      </c>
      <c r="BI7" s="763" t="s">
        <v>1029</v>
      </c>
      <c r="BJ7" s="782" t="s">
        <v>8</v>
      </c>
      <c r="BK7" s="771" t="s">
        <v>1029</v>
      </c>
      <c r="BL7" s="769" t="s">
        <v>8</v>
      </c>
      <c r="BM7" s="772" t="s">
        <v>58</v>
      </c>
      <c r="BN7" s="764" t="s">
        <v>8</v>
      </c>
      <c r="BO7" s="1181"/>
    </row>
    <row r="8" spans="1:67" ht="13.5" customHeight="1">
      <c r="A8" s="1076"/>
      <c r="B8" s="549" t="s">
        <v>680</v>
      </c>
      <c r="C8" s="646">
        <v>0</v>
      </c>
      <c r="D8" s="647">
        <v>64</v>
      </c>
      <c r="E8" s="648">
        <v>105</v>
      </c>
      <c r="F8" s="51" t="s">
        <v>637</v>
      </c>
      <c r="G8" s="568" t="s">
        <v>8</v>
      </c>
      <c r="H8" s="51" t="s">
        <v>58</v>
      </c>
      <c r="I8" s="568" t="s">
        <v>8</v>
      </c>
      <c r="J8" s="568" t="s">
        <v>8</v>
      </c>
      <c r="K8" s="51" t="str">
        <f t="shared" si="4"/>
        <v>○</v>
      </c>
      <c r="L8" s="34" t="s">
        <v>637</v>
      </c>
      <c r="M8" s="51" t="s">
        <v>637</v>
      </c>
      <c r="N8" s="34" t="s">
        <v>637</v>
      </c>
      <c r="O8" s="34" t="s">
        <v>637</v>
      </c>
      <c r="P8" s="34" t="s">
        <v>637</v>
      </c>
      <c r="Q8" s="34" t="s">
        <v>637</v>
      </c>
      <c r="R8" s="34" t="s">
        <v>637</v>
      </c>
      <c r="S8" s="34" t="s">
        <v>637</v>
      </c>
      <c r="T8" s="34" t="s">
        <v>637</v>
      </c>
      <c r="U8" s="34" t="s">
        <v>637</v>
      </c>
      <c r="V8" s="706" t="s">
        <v>8</v>
      </c>
      <c r="W8" s="34" t="s">
        <v>637</v>
      </c>
      <c r="X8" s="395" t="s">
        <v>637</v>
      </c>
      <c r="Y8" s="395" t="s">
        <v>637</v>
      </c>
      <c r="Z8" s="395" t="s">
        <v>637</v>
      </c>
      <c r="AA8" s="395" t="s">
        <v>637</v>
      </c>
      <c r="AB8" s="34" t="s">
        <v>637</v>
      </c>
      <c r="AC8" s="34" t="s">
        <v>637</v>
      </c>
      <c r="AD8" s="706" t="s">
        <v>8</v>
      </c>
      <c r="AE8" s="34" t="s">
        <v>637</v>
      </c>
      <c r="AF8" s="395" t="str">
        <f t="shared" si="0"/>
        <v>○</v>
      </c>
      <c r="AG8" s="34" t="s">
        <v>638</v>
      </c>
      <c r="AH8" s="706" t="s">
        <v>8</v>
      </c>
      <c r="AI8" s="706" t="s">
        <v>8</v>
      </c>
      <c r="AJ8" s="36" t="s">
        <v>637</v>
      </c>
      <c r="AK8" s="36" t="s">
        <v>637</v>
      </c>
      <c r="AL8" s="34" t="s">
        <v>637</v>
      </c>
      <c r="AM8" s="428" t="str">
        <f t="shared" si="1"/>
        <v>○</v>
      </c>
      <c r="AN8" s="428"/>
      <c r="AO8" s="428" t="str">
        <f t="shared" ref="AO8:AO71" si="13">$Z:$Z</f>
        <v>○</v>
      </c>
      <c r="AP8" s="706" t="s">
        <v>8</v>
      </c>
      <c r="AQ8" s="34" t="s">
        <v>637</v>
      </c>
      <c r="AR8" s="395" t="s">
        <v>637</v>
      </c>
      <c r="AS8" s="706" t="s">
        <v>8</v>
      </c>
      <c r="AT8" s="34" t="s">
        <v>637</v>
      </c>
      <c r="AU8" s="395" t="str">
        <f t="shared" si="2"/>
        <v>○</v>
      </c>
      <c r="AV8" s="395" t="s">
        <v>637</v>
      </c>
      <c r="AW8" s="428" t="str">
        <f t="shared" si="3"/>
        <v>○</v>
      </c>
      <c r="AX8" s="927" t="s">
        <v>8</v>
      </c>
      <c r="AY8" s="706" t="s">
        <v>8</v>
      </c>
      <c r="AZ8" s="928" t="s">
        <v>8</v>
      </c>
      <c r="BA8" s="813" t="str">
        <f t="shared" si="5"/>
        <v>○</v>
      </c>
      <c r="BB8" s="767" t="str">
        <f t="shared" si="6"/>
        <v>○</v>
      </c>
      <c r="BC8" s="768" t="str">
        <f t="shared" si="7"/>
        <v>○</v>
      </c>
      <c r="BD8" s="765" t="str">
        <f t="shared" si="8"/>
        <v>○</v>
      </c>
      <c r="BE8" s="767" t="str">
        <f t="shared" si="9"/>
        <v>○</v>
      </c>
      <c r="BF8" s="768" t="str">
        <f t="shared" si="10"/>
        <v>○</v>
      </c>
      <c r="BG8" s="760" t="s">
        <v>10</v>
      </c>
      <c r="BH8" s="761" t="str">
        <f t="shared" si="12"/>
        <v>○</v>
      </c>
      <c r="BI8" s="758" t="str">
        <f>AS8</f>
        <v>×</v>
      </c>
      <c r="BJ8" s="761" t="str">
        <f>AI8</f>
        <v>×</v>
      </c>
      <c r="BK8" s="757" t="str">
        <f>AT8</f>
        <v>○</v>
      </c>
      <c r="BL8" s="759" t="str">
        <f>AL8</f>
        <v>○</v>
      </c>
      <c r="BM8" s="760" t="str">
        <f t="shared" si="11"/>
        <v>○</v>
      </c>
      <c r="BN8" s="762" t="str">
        <f>AO8</f>
        <v>○</v>
      </c>
      <c r="BO8" s="1181"/>
    </row>
    <row r="9" spans="1:67" ht="13.5" customHeight="1">
      <c r="A9" s="1076"/>
      <c r="B9" s="549" t="s">
        <v>687</v>
      </c>
      <c r="C9" s="646">
        <v>0</v>
      </c>
      <c r="D9" s="647">
        <v>64</v>
      </c>
      <c r="E9" s="648">
        <v>105</v>
      </c>
      <c r="F9" s="51" t="s">
        <v>637</v>
      </c>
      <c r="G9" s="568" t="s">
        <v>8</v>
      </c>
      <c r="H9" s="51" t="s">
        <v>58</v>
      </c>
      <c r="I9" s="568" t="s">
        <v>8</v>
      </c>
      <c r="J9" s="568" t="s">
        <v>8</v>
      </c>
      <c r="K9" s="51" t="str">
        <f t="shared" si="4"/>
        <v>○</v>
      </c>
      <c r="L9" s="34" t="s">
        <v>637</v>
      </c>
      <c r="M9" s="51" t="s">
        <v>637</v>
      </c>
      <c r="N9" s="34" t="s">
        <v>637</v>
      </c>
      <c r="O9" s="34" t="s">
        <v>637</v>
      </c>
      <c r="P9" s="34" t="s">
        <v>637</v>
      </c>
      <c r="Q9" s="34" t="s">
        <v>637</v>
      </c>
      <c r="R9" s="34" t="s">
        <v>637</v>
      </c>
      <c r="S9" s="34" t="s">
        <v>637</v>
      </c>
      <c r="T9" s="34" t="s">
        <v>637</v>
      </c>
      <c r="U9" s="34" t="s">
        <v>637</v>
      </c>
      <c r="V9" s="706" t="s">
        <v>8</v>
      </c>
      <c r="W9" s="34" t="s">
        <v>637</v>
      </c>
      <c r="X9" s="395" t="s">
        <v>637</v>
      </c>
      <c r="Y9" s="395" t="s">
        <v>637</v>
      </c>
      <c r="Z9" s="395" t="s">
        <v>637</v>
      </c>
      <c r="AA9" s="395" t="s">
        <v>637</v>
      </c>
      <c r="AB9" s="34" t="s">
        <v>637</v>
      </c>
      <c r="AC9" s="34" t="s">
        <v>637</v>
      </c>
      <c r="AD9" s="706" t="s">
        <v>8</v>
      </c>
      <c r="AE9" s="34" t="s">
        <v>637</v>
      </c>
      <c r="AF9" s="395" t="str">
        <f t="shared" si="0"/>
        <v>○</v>
      </c>
      <c r="AG9" s="34" t="s">
        <v>638</v>
      </c>
      <c r="AH9" s="706" t="s">
        <v>8</v>
      </c>
      <c r="AI9" s="706" t="s">
        <v>8</v>
      </c>
      <c r="AJ9" s="36" t="s">
        <v>637</v>
      </c>
      <c r="AK9" s="36" t="s">
        <v>637</v>
      </c>
      <c r="AL9" s="34" t="s">
        <v>637</v>
      </c>
      <c r="AM9" s="428" t="str">
        <f t="shared" si="1"/>
        <v>○</v>
      </c>
      <c r="AN9" s="428"/>
      <c r="AO9" s="428" t="str">
        <f t="shared" si="13"/>
        <v>○</v>
      </c>
      <c r="AP9" s="706" t="s">
        <v>8</v>
      </c>
      <c r="AQ9" s="34" t="s">
        <v>637</v>
      </c>
      <c r="AR9" s="395" t="s">
        <v>637</v>
      </c>
      <c r="AS9" s="706" t="s">
        <v>8</v>
      </c>
      <c r="AT9" s="34" t="s">
        <v>637</v>
      </c>
      <c r="AU9" s="395" t="str">
        <f t="shared" si="2"/>
        <v>○</v>
      </c>
      <c r="AV9" s="395" t="s">
        <v>637</v>
      </c>
      <c r="AW9" s="428" t="str">
        <f t="shared" si="3"/>
        <v>○</v>
      </c>
      <c r="AX9" s="927" t="s">
        <v>8</v>
      </c>
      <c r="AY9" s="706" t="s">
        <v>8</v>
      </c>
      <c r="AZ9" s="928" t="s">
        <v>8</v>
      </c>
      <c r="BA9" s="813" t="str">
        <f t="shared" si="5"/>
        <v>○</v>
      </c>
      <c r="BB9" s="767" t="str">
        <f t="shared" si="6"/>
        <v>○</v>
      </c>
      <c r="BC9" s="768" t="str">
        <f t="shared" si="7"/>
        <v>○</v>
      </c>
      <c r="BD9" s="765" t="str">
        <f t="shared" si="8"/>
        <v>○</v>
      </c>
      <c r="BE9" s="767" t="str">
        <f t="shared" si="9"/>
        <v>○</v>
      </c>
      <c r="BF9" s="768" t="str">
        <f t="shared" si="10"/>
        <v>○</v>
      </c>
      <c r="BG9" s="760" t="s">
        <v>10</v>
      </c>
      <c r="BH9" s="761" t="str">
        <f t="shared" si="12"/>
        <v>○</v>
      </c>
      <c r="BI9" s="758" t="str">
        <f t="shared" ref="BI9:BI72" si="14">AS9</f>
        <v>×</v>
      </c>
      <c r="BJ9" s="761" t="str">
        <f t="shared" ref="BJ9:BJ72" si="15">AI9</f>
        <v>×</v>
      </c>
      <c r="BK9" s="757" t="str">
        <f t="shared" ref="BK9:BK72" si="16">AT9</f>
        <v>○</v>
      </c>
      <c r="BL9" s="759" t="str">
        <f t="shared" ref="BL9:BL72" si="17">AL9</f>
        <v>○</v>
      </c>
      <c r="BM9" s="760" t="str">
        <f t="shared" si="11"/>
        <v>○</v>
      </c>
      <c r="BN9" s="762" t="str">
        <f t="shared" ref="BN9:BN72" si="18">AO9</f>
        <v>○</v>
      </c>
      <c r="BO9" s="1181"/>
    </row>
    <row r="10" spans="1:67" ht="13.5" customHeight="1">
      <c r="A10" s="1076"/>
      <c r="B10" s="549" t="s">
        <v>688</v>
      </c>
      <c r="C10" s="646">
        <v>0</v>
      </c>
      <c r="D10" s="647">
        <v>64</v>
      </c>
      <c r="E10" s="648">
        <v>105</v>
      </c>
      <c r="F10" s="51" t="s">
        <v>637</v>
      </c>
      <c r="G10" s="568" t="s">
        <v>8</v>
      </c>
      <c r="H10" s="51" t="s">
        <v>58</v>
      </c>
      <c r="I10" s="568" t="s">
        <v>8</v>
      </c>
      <c r="J10" s="568" t="s">
        <v>8</v>
      </c>
      <c r="K10" s="51" t="str">
        <f t="shared" si="4"/>
        <v>○</v>
      </c>
      <c r="L10" s="34" t="s">
        <v>637</v>
      </c>
      <c r="M10" s="51" t="s">
        <v>637</v>
      </c>
      <c r="N10" s="34" t="s">
        <v>637</v>
      </c>
      <c r="O10" s="34" t="s">
        <v>637</v>
      </c>
      <c r="P10" s="34" t="s">
        <v>637</v>
      </c>
      <c r="Q10" s="34" t="s">
        <v>637</v>
      </c>
      <c r="R10" s="34" t="s">
        <v>637</v>
      </c>
      <c r="S10" s="34" t="s">
        <v>637</v>
      </c>
      <c r="T10" s="34" t="s">
        <v>637</v>
      </c>
      <c r="U10" s="34" t="s">
        <v>637</v>
      </c>
      <c r="V10" s="706" t="s">
        <v>8</v>
      </c>
      <c r="W10" s="34" t="s">
        <v>637</v>
      </c>
      <c r="X10" s="395" t="s">
        <v>637</v>
      </c>
      <c r="Y10" s="395" t="s">
        <v>637</v>
      </c>
      <c r="Z10" s="395" t="s">
        <v>637</v>
      </c>
      <c r="AA10" s="395" t="s">
        <v>637</v>
      </c>
      <c r="AB10" s="34" t="s">
        <v>637</v>
      </c>
      <c r="AC10" s="34" t="s">
        <v>637</v>
      </c>
      <c r="AD10" s="706" t="s">
        <v>8</v>
      </c>
      <c r="AE10" s="34" t="s">
        <v>637</v>
      </c>
      <c r="AF10" s="395" t="str">
        <f t="shared" si="0"/>
        <v>○</v>
      </c>
      <c r="AG10" s="34" t="s">
        <v>638</v>
      </c>
      <c r="AH10" s="706" t="s">
        <v>8</v>
      </c>
      <c r="AI10" s="706" t="s">
        <v>8</v>
      </c>
      <c r="AJ10" s="36" t="s">
        <v>637</v>
      </c>
      <c r="AK10" s="36" t="s">
        <v>637</v>
      </c>
      <c r="AL10" s="34" t="s">
        <v>637</v>
      </c>
      <c r="AM10" s="428" t="str">
        <f t="shared" si="1"/>
        <v>○</v>
      </c>
      <c r="AN10" s="428"/>
      <c r="AO10" s="428" t="str">
        <f t="shared" si="13"/>
        <v>○</v>
      </c>
      <c r="AP10" s="706" t="s">
        <v>8</v>
      </c>
      <c r="AQ10" s="34" t="s">
        <v>637</v>
      </c>
      <c r="AR10" s="395" t="s">
        <v>637</v>
      </c>
      <c r="AS10" s="706" t="s">
        <v>8</v>
      </c>
      <c r="AT10" s="34" t="s">
        <v>637</v>
      </c>
      <c r="AU10" s="395" t="str">
        <f t="shared" si="2"/>
        <v>○</v>
      </c>
      <c r="AV10" s="395" t="s">
        <v>637</v>
      </c>
      <c r="AW10" s="428" t="str">
        <f t="shared" si="3"/>
        <v>○</v>
      </c>
      <c r="AX10" s="927" t="s">
        <v>8</v>
      </c>
      <c r="AY10" s="706" t="s">
        <v>8</v>
      </c>
      <c r="AZ10" s="928" t="s">
        <v>8</v>
      </c>
      <c r="BA10" s="813" t="str">
        <f t="shared" si="5"/>
        <v>○</v>
      </c>
      <c r="BB10" s="767" t="str">
        <f t="shared" si="6"/>
        <v>○</v>
      </c>
      <c r="BC10" s="768" t="str">
        <f t="shared" si="7"/>
        <v>○</v>
      </c>
      <c r="BD10" s="765" t="str">
        <f t="shared" si="8"/>
        <v>○</v>
      </c>
      <c r="BE10" s="767" t="str">
        <f t="shared" si="9"/>
        <v>○</v>
      </c>
      <c r="BF10" s="768" t="str">
        <f t="shared" si="10"/>
        <v>○</v>
      </c>
      <c r="BG10" s="760" t="s">
        <v>10</v>
      </c>
      <c r="BH10" s="761" t="str">
        <f t="shared" si="12"/>
        <v>○</v>
      </c>
      <c r="BI10" s="758" t="str">
        <f t="shared" si="14"/>
        <v>×</v>
      </c>
      <c r="BJ10" s="761" t="str">
        <f t="shared" si="15"/>
        <v>×</v>
      </c>
      <c r="BK10" s="757" t="str">
        <f t="shared" si="16"/>
        <v>○</v>
      </c>
      <c r="BL10" s="759" t="str">
        <f t="shared" si="17"/>
        <v>○</v>
      </c>
      <c r="BM10" s="760" t="str">
        <f t="shared" si="11"/>
        <v>○</v>
      </c>
      <c r="BN10" s="762" t="str">
        <f t="shared" si="18"/>
        <v>○</v>
      </c>
      <c r="BO10" s="1181"/>
    </row>
    <row r="11" spans="1:67" ht="13.5" customHeight="1">
      <c r="A11" s="1076"/>
      <c r="B11" s="549" t="s">
        <v>689</v>
      </c>
      <c r="C11" s="646">
        <v>0</v>
      </c>
      <c r="D11" s="647">
        <v>64</v>
      </c>
      <c r="E11" s="648">
        <v>105</v>
      </c>
      <c r="F11" s="51" t="s">
        <v>637</v>
      </c>
      <c r="G11" s="568" t="s">
        <v>8</v>
      </c>
      <c r="H11" s="51" t="s">
        <v>58</v>
      </c>
      <c r="I11" s="568" t="s">
        <v>8</v>
      </c>
      <c r="J11" s="568" t="s">
        <v>8</v>
      </c>
      <c r="K11" s="51" t="str">
        <f t="shared" si="4"/>
        <v>○</v>
      </c>
      <c r="L11" s="34" t="s">
        <v>637</v>
      </c>
      <c r="M11" s="51" t="s">
        <v>637</v>
      </c>
      <c r="N11" s="34" t="s">
        <v>637</v>
      </c>
      <c r="O11" s="34" t="s">
        <v>637</v>
      </c>
      <c r="P11" s="34" t="s">
        <v>637</v>
      </c>
      <c r="Q11" s="34" t="s">
        <v>637</v>
      </c>
      <c r="R11" s="34" t="s">
        <v>637</v>
      </c>
      <c r="S11" s="34" t="s">
        <v>637</v>
      </c>
      <c r="T11" s="34" t="s">
        <v>637</v>
      </c>
      <c r="U11" s="34" t="s">
        <v>637</v>
      </c>
      <c r="V11" s="706" t="s">
        <v>8</v>
      </c>
      <c r="W11" s="34" t="s">
        <v>637</v>
      </c>
      <c r="X11" s="395" t="s">
        <v>637</v>
      </c>
      <c r="Y11" s="395" t="s">
        <v>637</v>
      </c>
      <c r="Z11" s="395" t="s">
        <v>637</v>
      </c>
      <c r="AA11" s="395" t="s">
        <v>637</v>
      </c>
      <c r="AB11" s="34" t="s">
        <v>637</v>
      </c>
      <c r="AC11" s="34" t="s">
        <v>637</v>
      </c>
      <c r="AD11" s="706" t="s">
        <v>8</v>
      </c>
      <c r="AE11" s="34" t="s">
        <v>637</v>
      </c>
      <c r="AF11" s="395" t="str">
        <f t="shared" si="0"/>
        <v>○</v>
      </c>
      <c r="AG11" s="34" t="s">
        <v>638</v>
      </c>
      <c r="AH11" s="706" t="s">
        <v>8</v>
      </c>
      <c r="AI11" s="706" t="s">
        <v>8</v>
      </c>
      <c r="AJ11" s="36" t="s">
        <v>637</v>
      </c>
      <c r="AK11" s="36" t="s">
        <v>637</v>
      </c>
      <c r="AL11" s="34" t="s">
        <v>637</v>
      </c>
      <c r="AM11" s="428" t="str">
        <f t="shared" si="1"/>
        <v>○</v>
      </c>
      <c r="AN11" s="428"/>
      <c r="AO11" s="428" t="str">
        <f t="shared" si="13"/>
        <v>○</v>
      </c>
      <c r="AP11" s="706" t="s">
        <v>8</v>
      </c>
      <c r="AQ11" s="34" t="s">
        <v>637</v>
      </c>
      <c r="AR11" s="395" t="s">
        <v>637</v>
      </c>
      <c r="AS11" s="706" t="s">
        <v>8</v>
      </c>
      <c r="AT11" s="34" t="s">
        <v>637</v>
      </c>
      <c r="AU11" s="395" t="str">
        <f t="shared" si="2"/>
        <v>○</v>
      </c>
      <c r="AV11" s="395" t="s">
        <v>637</v>
      </c>
      <c r="AW11" s="428" t="str">
        <f t="shared" si="3"/>
        <v>○</v>
      </c>
      <c r="AX11" s="927" t="s">
        <v>8</v>
      </c>
      <c r="AY11" s="706" t="s">
        <v>8</v>
      </c>
      <c r="AZ11" s="928" t="s">
        <v>8</v>
      </c>
      <c r="BA11" s="813" t="str">
        <f t="shared" si="5"/>
        <v>○</v>
      </c>
      <c r="BB11" s="767" t="str">
        <f t="shared" si="6"/>
        <v>○</v>
      </c>
      <c r="BC11" s="768" t="str">
        <f t="shared" si="7"/>
        <v>○</v>
      </c>
      <c r="BD11" s="765" t="str">
        <f t="shared" si="8"/>
        <v>○</v>
      </c>
      <c r="BE11" s="767" t="str">
        <f t="shared" si="9"/>
        <v>○</v>
      </c>
      <c r="BF11" s="768" t="str">
        <f t="shared" si="10"/>
        <v>○</v>
      </c>
      <c r="BG11" s="760" t="s">
        <v>10</v>
      </c>
      <c r="BH11" s="761" t="str">
        <f t="shared" si="12"/>
        <v>○</v>
      </c>
      <c r="BI11" s="758" t="str">
        <f t="shared" si="14"/>
        <v>×</v>
      </c>
      <c r="BJ11" s="761" t="str">
        <f t="shared" si="15"/>
        <v>×</v>
      </c>
      <c r="BK11" s="757" t="str">
        <f t="shared" si="16"/>
        <v>○</v>
      </c>
      <c r="BL11" s="759" t="str">
        <f t="shared" si="17"/>
        <v>○</v>
      </c>
      <c r="BM11" s="760" t="str">
        <f t="shared" si="11"/>
        <v>○</v>
      </c>
      <c r="BN11" s="762" t="str">
        <f t="shared" si="18"/>
        <v>○</v>
      </c>
      <c r="BO11" s="1181"/>
    </row>
    <row r="12" spans="1:67" ht="13.5" customHeight="1">
      <c r="A12" s="1076"/>
      <c r="B12" s="549" t="s">
        <v>690</v>
      </c>
      <c r="C12" s="646">
        <v>0</v>
      </c>
      <c r="D12" s="647">
        <v>64</v>
      </c>
      <c r="E12" s="648">
        <v>105</v>
      </c>
      <c r="F12" s="51" t="s">
        <v>637</v>
      </c>
      <c r="G12" s="568" t="s">
        <v>8</v>
      </c>
      <c r="H12" s="51" t="s">
        <v>58</v>
      </c>
      <c r="I12" s="568" t="s">
        <v>8</v>
      </c>
      <c r="J12" s="568" t="s">
        <v>8</v>
      </c>
      <c r="K12" s="51" t="str">
        <f t="shared" si="4"/>
        <v>○</v>
      </c>
      <c r="L12" s="34" t="s">
        <v>637</v>
      </c>
      <c r="M12" s="51" t="s">
        <v>637</v>
      </c>
      <c r="N12" s="34" t="s">
        <v>637</v>
      </c>
      <c r="O12" s="34" t="s">
        <v>637</v>
      </c>
      <c r="P12" s="34" t="s">
        <v>637</v>
      </c>
      <c r="Q12" s="34" t="s">
        <v>637</v>
      </c>
      <c r="R12" s="34" t="s">
        <v>637</v>
      </c>
      <c r="S12" s="34" t="s">
        <v>637</v>
      </c>
      <c r="T12" s="34" t="s">
        <v>637</v>
      </c>
      <c r="U12" s="34" t="s">
        <v>637</v>
      </c>
      <c r="V12" s="706" t="s">
        <v>8</v>
      </c>
      <c r="W12" s="34" t="s">
        <v>637</v>
      </c>
      <c r="X12" s="395" t="s">
        <v>637</v>
      </c>
      <c r="Y12" s="395" t="s">
        <v>637</v>
      </c>
      <c r="Z12" s="395" t="s">
        <v>637</v>
      </c>
      <c r="AA12" s="395" t="s">
        <v>637</v>
      </c>
      <c r="AB12" s="34" t="s">
        <v>637</v>
      </c>
      <c r="AC12" s="34" t="s">
        <v>637</v>
      </c>
      <c r="AD12" s="706" t="s">
        <v>8</v>
      </c>
      <c r="AE12" s="34" t="s">
        <v>637</v>
      </c>
      <c r="AF12" s="395" t="str">
        <f t="shared" si="0"/>
        <v>○</v>
      </c>
      <c r="AG12" s="34" t="s">
        <v>638</v>
      </c>
      <c r="AH12" s="706" t="s">
        <v>8</v>
      </c>
      <c r="AI12" s="706" t="s">
        <v>8</v>
      </c>
      <c r="AJ12" s="36" t="s">
        <v>637</v>
      </c>
      <c r="AK12" s="36" t="s">
        <v>637</v>
      </c>
      <c r="AL12" s="34" t="s">
        <v>637</v>
      </c>
      <c r="AM12" s="428" t="str">
        <f t="shared" si="1"/>
        <v>○</v>
      </c>
      <c r="AN12" s="428"/>
      <c r="AO12" s="428" t="str">
        <f t="shared" si="13"/>
        <v>○</v>
      </c>
      <c r="AP12" s="706" t="s">
        <v>8</v>
      </c>
      <c r="AQ12" s="34" t="s">
        <v>637</v>
      </c>
      <c r="AR12" s="395" t="s">
        <v>637</v>
      </c>
      <c r="AS12" s="706" t="s">
        <v>8</v>
      </c>
      <c r="AT12" s="34" t="s">
        <v>637</v>
      </c>
      <c r="AU12" s="395" t="str">
        <f t="shared" si="2"/>
        <v>○</v>
      </c>
      <c r="AV12" s="395" t="s">
        <v>637</v>
      </c>
      <c r="AW12" s="428" t="str">
        <f t="shared" si="3"/>
        <v>○</v>
      </c>
      <c r="AX12" s="927" t="s">
        <v>8</v>
      </c>
      <c r="AY12" s="706" t="s">
        <v>8</v>
      </c>
      <c r="AZ12" s="928" t="s">
        <v>8</v>
      </c>
      <c r="BA12" s="813" t="str">
        <f t="shared" si="5"/>
        <v>○</v>
      </c>
      <c r="BB12" s="767" t="str">
        <f t="shared" si="6"/>
        <v>○</v>
      </c>
      <c r="BC12" s="768" t="str">
        <f t="shared" si="7"/>
        <v>○</v>
      </c>
      <c r="BD12" s="765" t="str">
        <f t="shared" si="8"/>
        <v>○</v>
      </c>
      <c r="BE12" s="767" t="str">
        <f t="shared" si="9"/>
        <v>○</v>
      </c>
      <c r="BF12" s="768" t="str">
        <f t="shared" si="10"/>
        <v>○</v>
      </c>
      <c r="BG12" s="760" t="s">
        <v>10</v>
      </c>
      <c r="BH12" s="761" t="str">
        <f t="shared" si="12"/>
        <v>○</v>
      </c>
      <c r="BI12" s="758" t="str">
        <f t="shared" si="14"/>
        <v>×</v>
      </c>
      <c r="BJ12" s="761" t="str">
        <f t="shared" si="15"/>
        <v>×</v>
      </c>
      <c r="BK12" s="757" t="str">
        <f t="shared" si="16"/>
        <v>○</v>
      </c>
      <c r="BL12" s="759" t="str">
        <f t="shared" si="17"/>
        <v>○</v>
      </c>
      <c r="BM12" s="760" t="str">
        <f t="shared" si="11"/>
        <v>○</v>
      </c>
      <c r="BN12" s="762" t="str">
        <f t="shared" si="18"/>
        <v>○</v>
      </c>
      <c r="BO12" s="1181"/>
    </row>
    <row r="13" spans="1:67" ht="13.5" customHeight="1">
      <c r="A13" s="1076"/>
      <c r="B13" s="549" t="s">
        <v>691</v>
      </c>
      <c r="C13" s="646">
        <v>0</v>
      </c>
      <c r="D13" s="647">
        <v>64</v>
      </c>
      <c r="E13" s="648">
        <v>105</v>
      </c>
      <c r="F13" s="51" t="s">
        <v>637</v>
      </c>
      <c r="G13" s="568" t="s">
        <v>8</v>
      </c>
      <c r="H13" s="51" t="s">
        <v>58</v>
      </c>
      <c r="I13" s="568" t="s">
        <v>8</v>
      </c>
      <c r="J13" s="568" t="s">
        <v>8</v>
      </c>
      <c r="K13" s="51" t="str">
        <f t="shared" si="4"/>
        <v>○</v>
      </c>
      <c r="L13" s="34" t="s">
        <v>637</v>
      </c>
      <c r="M13" s="51" t="s">
        <v>637</v>
      </c>
      <c r="N13" s="34" t="s">
        <v>637</v>
      </c>
      <c r="O13" s="34" t="s">
        <v>637</v>
      </c>
      <c r="P13" s="34" t="s">
        <v>637</v>
      </c>
      <c r="Q13" s="34" t="s">
        <v>637</v>
      </c>
      <c r="R13" s="34" t="s">
        <v>637</v>
      </c>
      <c r="S13" s="34" t="s">
        <v>637</v>
      </c>
      <c r="T13" s="34" t="s">
        <v>637</v>
      </c>
      <c r="U13" s="34" t="s">
        <v>637</v>
      </c>
      <c r="V13" s="706" t="s">
        <v>8</v>
      </c>
      <c r="W13" s="34" t="s">
        <v>637</v>
      </c>
      <c r="X13" s="395" t="s">
        <v>637</v>
      </c>
      <c r="Y13" s="395" t="s">
        <v>637</v>
      </c>
      <c r="Z13" s="395" t="s">
        <v>637</v>
      </c>
      <c r="AA13" s="395" t="s">
        <v>637</v>
      </c>
      <c r="AB13" s="34" t="s">
        <v>637</v>
      </c>
      <c r="AC13" s="34" t="s">
        <v>637</v>
      </c>
      <c r="AD13" s="706" t="s">
        <v>8</v>
      </c>
      <c r="AE13" s="34" t="s">
        <v>637</v>
      </c>
      <c r="AF13" s="395" t="str">
        <f t="shared" si="0"/>
        <v>○</v>
      </c>
      <c r="AG13" s="34" t="s">
        <v>638</v>
      </c>
      <c r="AH13" s="706" t="s">
        <v>8</v>
      </c>
      <c r="AI13" s="706" t="s">
        <v>8</v>
      </c>
      <c r="AJ13" s="36" t="s">
        <v>637</v>
      </c>
      <c r="AK13" s="36" t="s">
        <v>637</v>
      </c>
      <c r="AL13" s="34" t="s">
        <v>637</v>
      </c>
      <c r="AM13" s="428" t="str">
        <f t="shared" si="1"/>
        <v>○</v>
      </c>
      <c r="AN13" s="428"/>
      <c r="AO13" s="428" t="str">
        <f t="shared" si="13"/>
        <v>○</v>
      </c>
      <c r="AP13" s="706" t="s">
        <v>8</v>
      </c>
      <c r="AQ13" s="34" t="s">
        <v>637</v>
      </c>
      <c r="AR13" s="395" t="s">
        <v>637</v>
      </c>
      <c r="AS13" s="706" t="s">
        <v>8</v>
      </c>
      <c r="AT13" s="34" t="s">
        <v>637</v>
      </c>
      <c r="AU13" s="395" t="str">
        <f t="shared" si="2"/>
        <v>○</v>
      </c>
      <c r="AV13" s="395" t="s">
        <v>637</v>
      </c>
      <c r="AW13" s="428" t="str">
        <f t="shared" si="3"/>
        <v>○</v>
      </c>
      <c r="AX13" s="927" t="s">
        <v>8</v>
      </c>
      <c r="AY13" s="706" t="s">
        <v>8</v>
      </c>
      <c r="AZ13" s="928" t="s">
        <v>8</v>
      </c>
      <c r="BA13" s="813" t="str">
        <f t="shared" si="5"/>
        <v>○</v>
      </c>
      <c r="BB13" s="767" t="str">
        <f t="shared" si="6"/>
        <v>○</v>
      </c>
      <c r="BC13" s="768" t="str">
        <f t="shared" si="7"/>
        <v>○</v>
      </c>
      <c r="BD13" s="765" t="str">
        <f t="shared" si="8"/>
        <v>○</v>
      </c>
      <c r="BE13" s="767" t="str">
        <f t="shared" si="9"/>
        <v>○</v>
      </c>
      <c r="BF13" s="768" t="str">
        <f t="shared" si="10"/>
        <v>○</v>
      </c>
      <c r="BG13" s="760" t="s">
        <v>10</v>
      </c>
      <c r="BH13" s="761" t="str">
        <f t="shared" si="12"/>
        <v>○</v>
      </c>
      <c r="BI13" s="758" t="str">
        <f t="shared" si="14"/>
        <v>×</v>
      </c>
      <c r="BJ13" s="761" t="str">
        <f t="shared" si="15"/>
        <v>×</v>
      </c>
      <c r="BK13" s="757" t="str">
        <f t="shared" si="16"/>
        <v>○</v>
      </c>
      <c r="BL13" s="759" t="str">
        <f t="shared" si="17"/>
        <v>○</v>
      </c>
      <c r="BM13" s="760" t="str">
        <f t="shared" si="11"/>
        <v>○</v>
      </c>
      <c r="BN13" s="762" t="str">
        <f t="shared" si="18"/>
        <v>○</v>
      </c>
      <c r="BO13" s="1182"/>
    </row>
    <row r="14" spans="1:67" ht="13.5" customHeight="1">
      <c r="A14" s="1076"/>
      <c r="B14" s="549" t="s">
        <v>681</v>
      </c>
      <c r="C14" s="417">
        <v>0</v>
      </c>
      <c r="D14" s="647">
        <v>64</v>
      </c>
      <c r="E14" s="419">
        <v>82</v>
      </c>
      <c r="F14" s="51" t="s">
        <v>637</v>
      </c>
      <c r="G14" s="568" t="s">
        <v>8</v>
      </c>
      <c r="H14" s="51" t="s">
        <v>58</v>
      </c>
      <c r="I14" s="568" t="s">
        <v>8</v>
      </c>
      <c r="J14" s="568" t="s">
        <v>8</v>
      </c>
      <c r="K14" s="51" t="str">
        <f t="shared" si="4"/>
        <v>○</v>
      </c>
      <c r="L14" s="34" t="s">
        <v>637</v>
      </c>
      <c r="M14" s="51" t="s">
        <v>637</v>
      </c>
      <c r="N14" s="34" t="s">
        <v>637</v>
      </c>
      <c r="O14" s="34" t="s">
        <v>637</v>
      </c>
      <c r="P14" s="34" t="s">
        <v>637</v>
      </c>
      <c r="Q14" s="34" t="s">
        <v>637</v>
      </c>
      <c r="R14" s="34" t="s">
        <v>637</v>
      </c>
      <c r="S14" s="34" t="s">
        <v>637</v>
      </c>
      <c r="T14" s="34" t="s">
        <v>637</v>
      </c>
      <c r="U14" s="34" t="s">
        <v>637</v>
      </c>
      <c r="V14" s="706" t="s">
        <v>8</v>
      </c>
      <c r="W14" s="34" t="s">
        <v>637</v>
      </c>
      <c r="X14" s="395" t="s">
        <v>637</v>
      </c>
      <c r="Y14" s="395" t="s">
        <v>637</v>
      </c>
      <c r="Z14" s="34" t="s">
        <v>8</v>
      </c>
      <c r="AA14" s="395" t="s">
        <v>637</v>
      </c>
      <c r="AB14" s="34" t="s">
        <v>637</v>
      </c>
      <c r="AC14" s="34" t="s">
        <v>637</v>
      </c>
      <c r="AD14" s="706" t="s">
        <v>8</v>
      </c>
      <c r="AE14" s="34" t="s">
        <v>637</v>
      </c>
      <c r="AF14" s="395" t="str">
        <f t="shared" si="0"/>
        <v>○</v>
      </c>
      <c r="AG14" s="34" t="s">
        <v>637</v>
      </c>
      <c r="AH14" s="706" t="s">
        <v>8</v>
      </c>
      <c r="AI14" s="706" t="s">
        <v>8</v>
      </c>
      <c r="AJ14" s="36" t="s">
        <v>637</v>
      </c>
      <c r="AK14" s="36" t="s">
        <v>637</v>
      </c>
      <c r="AL14" s="34" t="s">
        <v>8</v>
      </c>
      <c r="AM14" s="428" t="str">
        <f t="shared" si="1"/>
        <v>○</v>
      </c>
      <c r="AN14" s="428"/>
      <c r="AO14" s="428" t="str">
        <f t="shared" si="13"/>
        <v>×</v>
      </c>
      <c r="AP14" s="706" t="s">
        <v>8</v>
      </c>
      <c r="AQ14" s="34" t="s">
        <v>8</v>
      </c>
      <c r="AR14" s="34" t="s">
        <v>8</v>
      </c>
      <c r="AS14" s="706" t="s">
        <v>8</v>
      </c>
      <c r="AT14" s="34" t="s">
        <v>8</v>
      </c>
      <c r="AU14" s="34" t="str">
        <f t="shared" si="2"/>
        <v>×</v>
      </c>
      <c r="AV14" s="34" t="s">
        <v>637</v>
      </c>
      <c r="AW14" s="36" t="str">
        <f t="shared" si="3"/>
        <v>○</v>
      </c>
      <c r="AX14" s="927" t="s">
        <v>8</v>
      </c>
      <c r="AY14" s="706" t="s">
        <v>8</v>
      </c>
      <c r="AZ14" s="928" t="s">
        <v>8</v>
      </c>
      <c r="BA14" s="813" t="str">
        <f t="shared" si="5"/>
        <v>×</v>
      </c>
      <c r="BB14" s="767" t="str">
        <f t="shared" si="6"/>
        <v>×</v>
      </c>
      <c r="BC14" s="768" t="str">
        <f t="shared" si="7"/>
        <v>×</v>
      </c>
      <c r="BD14" s="765" t="str">
        <f t="shared" si="8"/>
        <v>×</v>
      </c>
      <c r="BE14" s="767" t="str">
        <f t="shared" si="9"/>
        <v>×</v>
      </c>
      <c r="BF14" s="768" t="str">
        <f t="shared" si="10"/>
        <v>×</v>
      </c>
      <c r="BG14" s="766" t="s">
        <v>150</v>
      </c>
      <c r="BH14" s="761" t="str">
        <f t="shared" si="12"/>
        <v>○</v>
      </c>
      <c r="BI14" s="758" t="str">
        <f t="shared" si="14"/>
        <v>×</v>
      </c>
      <c r="BJ14" s="761" t="str">
        <f t="shared" si="15"/>
        <v>×</v>
      </c>
      <c r="BK14" s="757" t="str">
        <f t="shared" si="16"/>
        <v>×</v>
      </c>
      <c r="BL14" s="759" t="str">
        <f t="shared" si="17"/>
        <v>×</v>
      </c>
      <c r="BM14" s="760" t="str">
        <f t="shared" si="11"/>
        <v>×</v>
      </c>
      <c r="BN14" s="762" t="str">
        <f t="shared" si="18"/>
        <v>×</v>
      </c>
      <c r="BO14" s="1173" t="s">
        <v>306</v>
      </c>
    </row>
    <row r="15" spans="1:67" ht="13.5" customHeight="1">
      <c r="A15" s="1076"/>
      <c r="B15" s="549" t="s">
        <v>692</v>
      </c>
      <c r="C15" s="417">
        <v>0</v>
      </c>
      <c r="D15" s="647">
        <v>64</v>
      </c>
      <c r="E15" s="419">
        <v>82</v>
      </c>
      <c r="F15" s="51" t="s">
        <v>637</v>
      </c>
      <c r="G15" s="568" t="s">
        <v>8</v>
      </c>
      <c r="H15" s="51" t="s">
        <v>58</v>
      </c>
      <c r="I15" s="568" t="s">
        <v>8</v>
      </c>
      <c r="J15" s="568" t="s">
        <v>8</v>
      </c>
      <c r="K15" s="51" t="str">
        <f t="shared" si="4"/>
        <v>○</v>
      </c>
      <c r="L15" s="34" t="s">
        <v>637</v>
      </c>
      <c r="M15" s="51" t="s">
        <v>637</v>
      </c>
      <c r="N15" s="51" t="s">
        <v>58</v>
      </c>
      <c r="O15" s="34" t="s">
        <v>637</v>
      </c>
      <c r="P15" s="34" t="s">
        <v>637</v>
      </c>
      <c r="Q15" s="34" t="s">
        <v>637</v>
      </c>
      <c r="R15" s="34" t="s">
        <v>637</v>
      </c>
      <c r="S15" s="34" t="s">
        <v>637</v>
      </c>
      <c r="T15" s="34" t="s">
        <v>637</v>
      </c>
      <c r="U15" s="34" t="s">
        <v>637</v>
      </c>
      <c r="V15" s="706" t="s">
        <v>8</v>
      </c>
      <c r="W15" s="34" t="s">
        <v>637</v>
      </c>
      <c r="X15" s="395" t="s">
        <v>637</v>
      </c>
      <c r="Y15" s="395" t="s">
        <v>637</v>
      </c>
      <c r="Z15" s="395" t="s">
        <v>637</v>
      </c>
      <c r="AA15" s="395" t="s">
        <v>637</v>
      </c>
      <c r="AB15" s="34" t="s">
        <v>637</v>
      </c>
      <c r="AC15" s="34" t="s">
        <v>637</v>
      </c>
      <c r="AD15" s="706" t="s">
        <v>8</v>
      </c>
      <c r="AE15" s="34" t="s">
        <v>637</v>
      </c>
      <c r="AF15" s="395" t="str">
        <f t="shared" si="0"/>
        <v>○</v>
      </c>
      <c r="AG15" s="34" t="s">
        <v>637</v>
      </c>
      <c r="AH15" s="706" t="s">
        <v>8</v>
      </c>
      <c r="AI15" s="706" t="s">
        <v>8</v>
      </c>
      <c r="AJ15" s="36" t="s">
        <v>637</v>
      </c>
      <c r="AK15" s="36" t="s">
        <v>637</v>
      </c>
      <c r="AL15" s="34" t="s">
        <v>637</v>
      </c>
      <c r="AM15" s="428" t="str">
        <f t="shared" si="1"/>
        <v>○</v>
      </c>
      <c r="AN15" s="428"/>
      <c r="AO15" s="428" t="str">
        <f t="shared" si="13"/>
        <v>○</v>
      </c>
      <c r="AP15" s="706" t="s">
        <v>8</v>
      </c>
      <c r="AQ15" s="34" t="s">
        <v>637</v>
      </c>
      <c r="AR15" s="395" t="s">
        <v>637</v>
      </c>
      <c r="AS15" s="706" t="s">
        <v>8</v>
      </c>
      <c r="AT15" s="34" t="s">
        <v>637</v>
      </c>
      <c r="AU15" s="34" t="str">
        <f t="shared" si="2"/>
        <v>○</v>
      </c>
      <c r="AV15" s="34" t="s">
        <v>637</v>
      </c>
      <c r="AW15" s="36" t="str">
        <f t="shared" si="3"/>
        <v>○</v>
      </c>
      <c r="AX15" s="927" t="s">
        <v>8</v>
      </c>
      <c r="AY15" s="706" t="s">
        <v>8</v>
      </c>
      <c r="AZ15" s="928" t="s">
        <v>8</v>
      </c>
      <c r="BA15" s="813" t="str">
        <f t="shared" si="5"/>
        <v>○</v>
      </c>
      <c r="BB15" s="767" t="str">
        <f t="shared" si="6"/>
        <v>○</v>
      </c>
      <c r="BC15" s="768" t="str">
        <f t="shared" si="7"/>
        <v>○</v>
      </c>
      <c r="BD15" s="765" t="str">
        <f t="shared" si="8"/>
        <v>○</v>
      </c>
      <c r="BE15" s="767" t="str">
        <f t="shared" si="9"/>
        <v>○</v>
      </c>
      <c r="BF15" s="768" t="str">
        <f t="shared" si="10"/>
        <v>○</v>
      </c>
      <c r="BG15" s="760" t="s">
        <v>10</v>
      </c>
      <c r="BH15" s="761" t="str">
        <f t="shared" si="12"/>
        <v>○</v>
      </c>
      <c r="BI15" s="758" t="str">
        <f t="shared" si="14"/>
        <v>×</v>
      </c>
      <c r="BJ15" s="761" t="str">
        <f t="shared" si="15"/>
        <v>×</v>
      </c>
      <c r="BK15" s="757" t="str">
        <f t="shared" si="16"/>
        <v>○</v>
      </c>
      <c r="BL15" s="759" t="str">
        <f t="shared" si="17"/>
        <v>○</v>
      </c>
      <c r="BM15" s="760" t="str">
        <f t="shared" si="11"/>
        <v>○</v>
      </c>
      <c r="BN15" s="762" t="str">
        <f t="shared" si="18"/>
        <v>○</v>
      </c>
      <c r="BO15" s="1174"/>
    </row>
    <row r="16" spans="1:67" ht="13.5" customHeight="1">
      <c r="A16" s="1076"/>
      <c r="B16" s="549" t="s">
        <v>693</v>
      </c>
      <c r="C16" s="417">
        <v>0</v>
      </c>
      <c r="D16" s="647">
        <v>64</v>
      </c>
      <c r="E16" s="419">
        <v>82</v>
      </c>
      <c r="F16" s="416" t="s">
        <v>637</v>
      </c>
      <c r="G16" s="568" t="s">
        <v>8</v>
      </c>
      <c r="H16" s="416" t="s">
        <v>58</v>
      </c>
      <c r="I16" s="568" t="s">
        <v>8</v>
      </c>
      <c r="J16" s="568" t="s">
        <v>8</v>
      </c>
      <c r="K16" s="416" t="str">
        <f t="shared" si="4"/>
        <v>○</v>
      </c>
      <c r="L16" s="34" t="s">
        <v>637</v>
      </c>
      <c r="M16" s="51" t="s">
        <v>637</v>
      </c>
      <c r="N16" s="51" t="s">
        <v>58</v>
      </c>
      <c r="O16" s="34" t="s">
        <v>637</v>
      </c>
      <c r="P16" s="34" t="s">
        <v>637</v>
      </c>
      <c r="Q16" s="34" t="s">
        <v>637</v>
      </c>
      <c r="R16" s="34" t="s">
        <v>637</v>
      </c>
      <c r="S16" s="34" t="s">
        <v>637</v>
      </c>
      <c r="T16" s="34" t="s">
        <v>637</v>
      </c>
      <c r="U16" s="34" t="s">
        <v>637</v>
      </c>
      <c r="V16" s="706" t="s">
        <v>8</v>
      </c>
      <c r="W16" s="34" t="s">
        <v>637</v>
      </c>
      <c r="X16" s="395" t="s">
        <v>637</v>
      </c>
      <c r="Y16" s="395" t="s">
        <v>637</v>
      </c>
      <c r="Z16" s="395" t="s">
        <v>637</v>
      </c>
      <c r="AA16" s="395" t="s">
        <v>637</v>
      </c>
      <c r="AB16" s="34" t="s">
        <v>637</v>
      </c>
      <c r="AC16" s="34" t="s">
        <v>637</v>
      </c>
      <c r="AD16" s="706" t="s">
        <v>8</v>
      </c>
      <c r="AE16" s="34" t="s">
        <v>637</v>
      </c>
      <c r="AF16" s="395" t="str">
        <f t="shared" si="0"/>
        <v>○</v>
      </c>
      <c r="AG16" s="34" t="s">
        <v>637</v>
      </c>
      <c r="AH16" s="706" t="s">
        <v>8</v>
      </c>
      <c r="AI16" s="706" t="s">
        <v>8</v>
      </c>
      <c r="AJ16" s="36" t="s">
        <v>637</v>
      </c>
      <c r="AK16" s="36" t="s">
        <v>637</v>
      </c>
      <c r="AL16" s="34" t="s">
        <v>637</v>
      </c>
      <c r="AM16" s="428" t="str">
        <f t="shared" si="1"/>
        <v>○</v>
      </c>
      <c r="AN16" s="428"/>
      <c r="AO16" s="428" t="str">
        <f t="shared" si="13"/>
        <v>○</v>
      </c>
      <c r="AP16" s="706" t="s">
        <v>8</v>
      </c>
      <c r="AQ16" s="34" t="s">
        <v>637</v>
      </c>
      <c r="AR16" s="395" t="s">
        <v>637</v>
      </c>
      <c r="AS16" s="706" t="s">
        <v>8</v>
      </c>
      <c r="AT16" s="34" t="s">
        <v>637</v>
      </c>
      <c r="AU16" s="34" t="str">
        <f t="shared" si="2"/>
        <v>○</v>
      </c>
      <c r="AV16" s="34" t="s">
        <v>637</v>
      </c>
      <c r="AW16" s="36" t="str">
        <f t="shared" si="3"/>
        <v>○</v>
      </c>
      <c r="AX16" s="927" t="s">
        <v>8</v>
      </c>
      <c r="AY16" s="706" t="s">
        <v>8</v>
      </c>
      <c r="AZ16" s="928" t="s">
        <v>8</v>
      </c>
      <c r="BA16" s="813" t="str">
        <f t="shared" si="5"/>
        <v>○</v>
      </c>
      <c r="BB16" s="767" t="str">
        <f t="shared" si="6"/>
        <v>○</v>
      </c>
      <c r="BC16" s="768" t="str">
        <f t="shared" si="7"/>
        <v>○</v>
      </c>
      <c r="BD16" s="765" t="str">
        <f t="shared" si="8"/>
        <v>○</v>
      </c>
      <c r="BE16" s="767" t="str">
        <f t="shared" si="9"/>
        <v>○</v>
      </c>
      <c r="BF16" s="768" t="str">
        <f t="shared" si="10"/>
        <v>○</v>
      </c>
      <c r="BG16" s="760" t="s">
        <v>10</v>
      </c>
      <c r="BH16" s="761" t="str">
        <f t="shared" si="12"/>
        <v>○</v>
      </c>
      <c r="BI16" s="758" t="str">
        <f t="shared" si="14"/>
        <v>×</v>
      </c>
      <c r="BJ16" s="761" t="str">
        <f t="shared" si="15"/>
        <v>×</v>
      </c>
      <c r="BK16" s="757" t="str">
        <f t="shared" si="16"/>
        <v>○</v>
      </c>
      <c r="BL16" s="759" t="str">
        <f t="shared" si="17"/>
        <v>○</v>
      </c>
      <c r="BM16" s="760" t="str">
        <f t="shared" si="11"/>
        <v>○</v>
      </c>
      <c r="BN16" s="762" t="str">
        <f t="shared" si="18"/>
        <v>○</v>
      </c>
      <c r="BO16" s="1175"/>
    </row>
    <row r="17" spans="1:77" ht="13.5" customHeight="1" thickBot="1">
      <c r="A17" s="1077"/>
      <c r="B17" s="549" t="s">
        <v>694</v>
      </c>
      <c r="C17" s="417">
        <v>0</v>
      </c>
      <c r="D17" s="647">
        <v>64</v>
      </c>
      <c r="E17" s="419">
        <v>82</v>
      </c>
      <c r="F17" s="564" t="s">
        <v>10</v>
      </c>
      <c r="G17" s="568" t="s">
        <v>8</v>
      </c>
      <c r="H17" s="416" t="s">
        <v>846</v>
      </c>
      <c r="I17" s="568" t="s">
        <v>8</v>
      </c>
      <c r="J17" s="568" t="s">
        <v>8</v>
      </c>
      <c r="K17" s="416" t="str">
        <f t="shared" si="4"/>
        <v>○</v>
      </c>
      <c r="L17" s="33" t="s">
        <v>10</v>
      </c>
      <c r="M17" s="47" t="s">
        <v>10</v>
      </c>
      <c r="N17" s="51" t="s">
        <v>58</v>
      </c>
      <c r="O17" s="33" t="s">
        <v>10</v>
      </c>
      <c r="P17" s="33" t="s">
        <v>10</v>
      </c>
      <c r="Q17" s="33" t="s">
        <v>10</v>
      </c>
      <c r="R17" s="33" t="s">
        <v>10</v>
      </c>
      <c r="S17" s="33" t="s">
        <v>10</v>
      </c>
      <c r="T17" s="33" t="s">
        <v>10</v>
      </c>
      <c r="U17" s="33" t="s">
        <v>10</v>
      </c>
      <c r="V17" s="706" t="s">
        <v>8</v>
      </c>
      <c r="W17" s="33" t="s">
        <v>10</v>
      </c>
      <c r="X17" s="565" t="s">
        <v>10</v>
      </c>
      <c r="Y17" s="565" t="s">
        <v>10</v>
      </c>
      <c r="Z17" s="565" t="s">
        <v>10</v>
      </c>
      <c r="AA17" s="565" t="s">
        <v>10</v>
      </c>
      <c r="AB17" s="33" t="s">
        <v>10</v>
      </c>
      <c r="AC17" s="33" t="s">
        <v>10</v>
      </c>
      <c r="AD17" s="706" t="s">
        <v>8</v>
      </c>
      <c r="AE17" s="33" t="s">
        <v>10</v>
      </c>
      <c r="AF17" s="398" t="str">
        <f t="shared" si="0"/>
        <v>○</v>
      </c>
      <c r="AG17" s="33" t="s">
        <v>10</v>
      </c>
      <c r="AH17" s="706" t="s">
        <v>8</v>
      </c>
      <c r="AI17" s="706" t="s">
        <v>8</v>
      </c>
      <c r="AJ17" s="566" t="s">
        <v>10</v>
      </c>
      <c r="AK17" s="566" t="s">
        <v>10</v>
      </c>
      <c r="AL17" s="33" t="s">
        <v>10</v>
      </c>
      <c r="AM17" s="567" t="str">
        <f t="shared" si="1"/>
        <v>○</v>
      </c>
      <c r="AN17" s="567"/>
      <c r="AO17" s="428" t="str">
        <f t="shared" si="13"/>
        <v>○</v>
      </c>
      <c r="AP17" s="706" t="s">
        <v>8</v>
      </c>
      <c r="AQ17" s="33" t="s">
        <v>10</v>
      </c>
      <c r="AR17" s="398" t="s">
        <v>10</v>
      </c>
      <c r="AS17" s="706" t="s">
        <v>8</v>
      </c>
      <c r="AT17" s="33" t="s">
        <v>10</v>
      </c>
      <c r="AU17" s="34" t="str">
        <f t="shared" si="2"/>
        <v>○</v>
      </c>
      <c r="AV17" s="33" t="s">
        <v>10</v>
      </c>
      <c r="AW17" s="566" t="str">
        <f t="shared" si="3"/>
        <v>○</v>
      </c>
      <c r="AX17" s="927" t="s">
        <v>8</v>
      </c>
      <c r="AY17" s="706" t="s">
        <v>8</v>
      </c>
      <c r="AZ17" s="928" t="s">
        <v>8</v>
      </c>
      <c r="BA17" s="813" t="str">
        <f t="shared" si="5"/>
        <v>○</v>
      </c>
      <c r="BB17" s="767" t="str">
        <f t="shared" si="6"/>
        <v>○</v>
      </c>
      <c r="BC17" s="768" t="str">
        <f t="shared" si="7"/>
        <v>○</v>
      </c>
      <c r="BD17" s="765" t="str">
        <f t="shared" si="8"/>
        <v>○</v>
      </c>
      <c r="BE17" s="767" t="str">
        <f t="shared" si="9"/>
        <v>○</v>
      </c>
      <c r="BF17" s="768" t="str">
        <f t="shared" si="10"/>
        <v>○</v>
      </c>
      <c r="BG17" s="760" t="s">
        <v>10</v>
      </c>
      <c r="BH17" s="761" t="str">
        <f t="shared" si="12"/>
        <v>○</v>
      </c>
      <c r="BI17" s="758" t="str">
        <f t="shared" si="14"/>
        <v>×</v>
      </c>
      <c r="BJ17" s="761" t="str">
        <f t="shared" si="15"/>
        <v>×</v>
      </c>
      <c r="BK17" s="757" t="str">
        <f t="shared" si="16"/>
        <v>○</v>
      </c>
      <c r="BL17" s="759" t="str">
        <f t="shared" si="17"/>
        <v>○</v>
      </c>
      <c r="BM17" s="760" t="str">
        <f t="shared" si="11"/>
        <v>○</v>
      </c>
      <c r="BN17" s="762" t="str">
        <f t="shared" si="18"/>
        <v>○</v>
      </c>
      <c r="BO17" s="381"/>
    </row>
    <row r="18" spans="1:77" ht="13.5" customHeight="1" thickBot="1">
      <c r="A18" s="156" t="s">
        <v>486</v>
      </c>
      <c r="B18" s="549" t="s">
        <v>682</v>
      </c>
      <c r="C18" s="417">
        <v>0</v>
      </c>
      <c r="D18" s="418">
        <v>52</v>
      </c>
      <c r="E18" s="419">
        <v>63</v>
      </c>
      <c r="F18" s="416" t="s">
        <v>637</v>
      </c>
      <c r="G18" s="568" t="s">
        <v>8</v>
      </c>
      <c r="H18" s="416" t="s">
        <v>58</v>
      </c>
      <c r="I18" s="568" t="s">
        <v>8</v>
      </c>
      <c r="J18" s="568" t="s">
        <v>8</v>
      </c>
      <c r="K18" s="416" t="str">
        <f t="shared" si="4"/>
        <v>○</v>
      </c>
      <c r="L18" s="34" t="s">
        <v>637</v>
      </c>
      <c r="M18" s="51" t="s">
        <v>637</v>
      </c>
      <c r="N18" s="33" t="s">
        <v>10</v>
      </c>
      <c r="O18" s="33" t="s">
        <v>10</v>
      </c>
      <c r="P18" s="33" t="s">
        <v>10</v>
      </c>
      <c r="Q18" s="33" t="s">
        <v>10</v>
      </c>
      <c r="R18" s="33" t="s">
        <v>10</v>
      </c>
      <c r="S18" s="34" t="s">
        <v>637</v>
      </c>
      <c r="T18" s="34" t="s">
        <v>637</v>
      </c>
      <c r="U18" s="34" t="s">
        <v>637</v>
      </c>
      <c r="V18" s="706" t="s">
        <v>8</v>
      </c>
      <c r="W18" s="34" t="s">
        <v>637</v>
      </c>
      <c r="X18" s="395" t="s">
        <v>637</v>
      </c>
      <c r="Y18" s="395" t="s">
        <v>637</v>
      </c>
      <c r="Z18" s="190" t="s">
        <v>10</v>
      </c>
      <c r="AA18" s="34" t="s">
        <v>8</v>
      </c>
      <c r="AB18" s="34" t="s">
        <v>637</v>
      </c>
      <c r="AC18" s="34" t="s">
        <v>637</v>
      </c>
      <c r="AD18" s="706" t="s">
        <v>8</v>
      </c>
      <c r="AE18" s="34" t="s">
        <v>637</v>
      </c>
      <c r="AF18" s="34" t="str">
        <f t="shared" si="0"/>
        <v>○</v>
      </c>
      <c r="AG18" s="34" t="s">
        <v>637</v>
      </c>
      <c r="AH18" s="706" t="s">
        <v>8</v>
      </c>
      <c r="AI18" s="706" t="s">
        <v>8</v>
      </c>
      <c r="AJ18" s="34" t="s">
        <v>637</v>
      </c>
      <c r="AK18" s="36" t="s">
        <v>8</v>
      </c>
      <c r="AL18" s="34" t="s">
        <v>8</v>
      </c>
      <c r="AM18" s="36" t="str">
        <f t="shared" si="1"/>
        <v>○</v>
      </c>
      <c r="AN18" s="36"/>
      <c r="AO18" s="428" t="str">
        <f t="shared" si="13"/>
        <v>○</v>
      </c>
      <c r="AP18" s="706" t="s">
        <v>8</v>
      </c>
      <c r="AQ18" s="34" t="s">
        <v>637</v>
      </c>
      <c r="AR18" s="395" t="s">
        <v>637</v>
      </c>
      <c r="AS18" s="706" t="s">
        <v>8</v>
      </c>
      <c r="AT18" s="34" t="s">
        <v>8</v>
      </c>
      <c r="AU18" s="34" t="str">
        <f t="shared" si="2"/>
        <v>○</v>
      </c>
      <c r="AV18" s="34" t="s">
        <v>8</v>
      </c>
      <c r="AW18" s="36" t="str">
        <f t="shared" si="3"/>
        <v>×</v>
      </c>
      <c r="AX18" s="927" t="s">
        <v>8</v>
      </c>
      <c r="AY18" s="706" t="s">
        <v>8</v>
      </c>
      <c r="AZ18" s="928" t="s">
        <v>8</v>
      </c>
      <c r="BA18" s="813" t="str">
        <f t="shared" si="5"/>
        <v>×</v>
      </c>
      <c r="BB18" s="767" t="str">
        <f t="shared" si="6"/>
        <v>×</v>
      </c>
      <c r="BC18" s="768" t="str">
        <f t="shared" si="7"/>
        <v>×</v>
      </c>
      <c r="BD18" s="765" t="str">
        <f t="shared" si="8"/>
        <v>○</v>
      </c>
      <c r="BE18" s="767" t="str">
        <f t="shared" si="9"/>
        <v>○</v>
      </c>
      <c r="BF18" s="768" t="str">
        <f t="shared" si="10"/>
        <v>○</v>
      </c>
      <c r="BG18" s="760" t="s">
        <v>10</v>
      </c>
      <c r="BH18" s="761" t="str">
        <f t="shared" si="12"/>
        <v>○</v>
      </c>
      <c r="BI18" s="758" t="str">
        <f t="shared" si="14"/>
        <v>×</v>
      </c>
      <c r="BJ18" s="761" t="str">
        <f t="shared" si="15"/>
        <v>×</v>
      </c>
      <c r="BK18" s="757" t="str">
        <f t="shared" si="16"/>
        <v>×</v>
      </c>
      <c r="BL18" s="759" t="str">
        <f t="shared" si="17"/>
        <v>×</v>
      </c>
      <c r="BM18" s="760" t="str">
        <f t="shared" si="11"/>
        <v>○</v>
      </c>
      <c r="BN18" s="762" t="str">
        <f t="shared" si="18"/>
        <v>○</v>
      </c>
      <c r="BO18" s="382"/>
    </row>
    <row r="19" spans="1:77" ht="13.5" customHeight="1">
      <c r="A19" s="1075" t="s">
        <v>213</v>
      </c>
      <c r="B19" s="549" t="s">
        <v>695</v>
      </c>
      <c r="C19" s="417">
        <v>0</v>
      </c>
      <c r="D19" s="418">
        <v>106</v>
      </c>
      <c r="E19" s="419">
        <v>176</v>
      </c>
      <c r="F19" s="51" t="s">
        <v>639</v>
      </c>
      <c r="G19" s="568" t="s">
        <v>8</v>
      </c>
      <c r="H19" s="51" t="s">
        <v>637</v>
      </c>
      <c r="I19" s="568" t="s">
        <v>8</v>
      </c>
      <c r="J19" s="568" t="s">
        <v>8</v>
      </c>
      <c r="K19" s="51" t="str">
        <f t="shared" si="4"/>
        <v>○</v>
      </c>
      <c r="L19" s="34" t="s">
        <v>637</v>
      </c>
      <c r="M19" s="51" t="s">
        <v>637</v>
      </c>
      <c r="N19" s="34" t="s">
        <v>637</v>
      </c>
      <c r="O19" s="34" t="s">
        <v>637</v>
      </c>
      <c r="P19" s="34" t="s">
        <v>637</v>
      </c>
      <c r="Q19" s="34" t="s">
        <v>637</v>
      </c>
      <c r="R19" s="34" t="s">
        <v>637</v>
      </c>
      <c r="S19" s="34" t="s">
        <v>637</v>
      </c>
      <c r="T19" s="34" t="s">
        <v>637</v>
      </c>
      <c r="U19" s="34" t="s">
        <v>637</v>
      </c>
      <c r="V19" s="706" t="s">
        <v>8</v>
      </c>
      <c r="W19" s="34" t="s">
        <v>637</v>
      </c>
      <c r="X19" s="395" t="s">
        <v>637</v>
      </c>
      <c r="Y19" s="395" t="s">
        <v>637</v>
      </c>
      <c r="Z19" s="428" t="s">
        <v>644</v>
      </c>
      <c r="AA19" s="395" t="s">
        <v>8</v>
      </c>
      <c r="AB19" s="34" t="s">
        <v>637</v>
      </c>
      <c r="AC19" s="34" t="s">
        <v>637</v>
      </c>
      <c r="AD19" s="706" t="s">
        <v>8</v>
      </c>
      <c r="AE19" s="34" t="s">
        <v>637</v>
      </c>
      <c r="AF19" s="395" t="str">
        <f t="shared" si="0"/>
        <v>○</v>
      </c>
      <c r="AG19" s="34" t="s">
        <v>637</v>
      </c>
      <c r="AH19" s="706" t="s">
        <v>8</v>
      </c>
      <c r="AI19" s="706" t="s">
        <v>8</v>
      </c>
      <c r="AJ19" s="36" t="s">
        <v>637</v>
      </c>
      <c r="AK19" s="36" t="s">
        <v>8</v>
      </c>
      <c r="AL19" s="34" t="s">
        <v>644</v>
      </c>
      <c r="AM19" s="428" t="str">
        <f t="shared" si="1"/>
        <v>○</v>
      </c>
      <c r="AN19" s="428"/>
      <c r="AO19" s="428" t="str">
        <f t="shared" si="13"/>
        <v>○(1)</v>
      </c>
      <c r="AP19" s="706" t="s">
        <v>8</v>
      </c>
      <c r="AQ19" s="34" t="s">
        <v>637</v>
      </c>
      <c r="AR19" s="34" t="s">
        <v>637</v>
      </c>
      <c r="AS19" s="706" t="s">
        <v>8</v>
      </c>
      <c r="AT19" s="34" t="s">
        <v>644</v>
      </c>
      <c r="AU19" s="34" t="str">
        <f>$Z:$Z</f>
        <v>○(1)</v>
      </c>
      <c r="AV19" s="34" t="s">
        <v>58</v>
      </c>
      <c r="AW19" s="36" t="str">
        <f t="shared" si="3"/>
        <v>×</v>
      </c>
      <c r="AX19" s="927" t="s">
        <v>8</v>
      </c>
      <c r="AY19" s="706" t="s">
        <v>8</v>
      </c>
      <c r="AZ19" s="928" t="s">
        <v>8</v>
      </c>
      <c r="BA19" s="813" t="str">
        <f t="shared" si="5"/>
        <v>×</v>
      </c>
      <c r="BB19" s="767" t="str">
        <f t="shared" si="6"/>
        <v>○</v>
      </c>
      <c r="BC19" s="768" t="str">
        <f t="shared" si="7"/>
        <v>○</v>
      </c>
      <c r="BD19" s="765" t="str">
        <f t="shared" si="8"/>
        <v>×</v>
      </c>
      <c r="BE19" s="767" t="str">
        <f t="shared" si="9"/>
        <v>○</v>
      </c>
      <c r="BF19" s="768" t="str">
        <f t="shared" si="10"/>
        <v>○</v>
      </c>
      <c r="BG19" s="766" t="s">
        <v>8</v>
      </c>
      <c r="BH19" s="761" t="str">
        <f t="shared" si="12"/>
        <v>○</v>
      </c>
      <c r="BI19" s="758" t="str">
        <f t="shared" si="14"/>
        <v>×</v>
      </c>
      <c r="BJ19" s="761" t="str">
        <f t="shared" si="15"/>
        <v>×</v>
      </c>
      <c r="BK19" s="757" t="str">
        <f t="shared" si="16"/>
        <v>○(1)</v>
      </c>
      <c r="BL19" s="759" t="str">
        <f t="shared" si="17"/>
        <v>○(1)</v>
      </c>
      <c r="BM19" s="760" t="str">
        <f t="shared" si="11"/>
        <v>○(1)</v>
      </c>
      <c r="BN19" s="762" t="str">
        <f t="shared" si="18"/>
        <v>○(1)</v>
      </c>
      <c r="BO19" s="1200" t="s">
        <v>1072</v>
      </c>
    </row>
    <row r="20" spans="1:77" s="840" customFormat="1" ht="13.5" customHeight="1">
      <c r="A20" s="1076"/>
      <c r="B20" s="832" t="s">
        <v>696</v>
      </c>
      <c r="C20" s="833">
        <v>0</v>
      </c>
      <c r="D20" s="834">
        <v>0</v>
      </c>
      <c r="E20" s="835">
        <v>0</v>
      </c>
      <c r="F20" s="708" t="s">
        <v>8</v>
      </c>
      <c r="G20" s="836" t="s">
        <v>8</v>
      </c>
      <c r="H20" s="708" t="s">
        <v>8</v>
      </c>
      <c r="I20" s="836" t="s">
        <v>8</v>
      </c>
      <c r="J20" s="836" t="s">
        <v>8</v>
      </c>
      <c r="K20" s="708" t="str">
        <f t="shared" si="4"/>
        <v>×</v>
      </c>
      <c r="L20" s="706" t="s">
        <v>8</v>
      </c>
      <c r="M20" s="708" t="s">
        <v>8</v>
      </c>
      <c r="N20" s="706" t="s">
        <v>8</v>
      </c>
      <c r="O20" s="706" t="s">
        <v>8</v>
      </c>
      <c r="P20" s="706" t="s">
        <v>8</v>
      </c>
      <c r="Q20" s="706" t="s">
        <v>8</v>
      </c>
      <c r="R20" s="706" t="s">
        <v>8</v>
      </c>
      <c r="S20" s="706" t="s">
        <v>8</v>
      </c>
      <c r="T20" s="706" t="s">
        <v>8</v>
      </c>
      <c r="U20" s="706" t="s">
        <v>8</v>
      </c>
      <c r="V20" s="706" t="s">
        <v>8</v>
      </c>
      <c r="W20" s="706" t="s">
        <v>8</v>
      </c>
      <c r="X20" s="706" t="s">
        <v>8</v>
      </c>
      <c r="Y20" s="706" t="s">
        <v>8</v>
      </c>
      <c r="Z20" s="706" t="s">
        <v>8</v>
      </c>
      <c r="AA20" s="706" t="s">
        <v>8</v>
      </c>
      <c r="AB20" s="706" t="s">
        <v>8</v>
      </c>
      <c r="AC20" s="706" t="s">
        <v>8</v>
      </c>
      <c r="AD20" s="706" t="s">
        <v>8</v>
      </c>
      <c r="AE20" s="706" t="s">
        <v>8</v>
      </c>
      <c r="AF20" s="706" t="str">
        <f t="shared" si="0"/>
        <v>×</v>
      </c>
      <c r="AG20" s="706" t="s">
        <v>8</v>
      </c>
      <c r="AH20" s="706" t="s">
        <v>8</v>
      </c>
      <c r="AI20" s="706" t="s">
        <v>8</v>
      </c>
      <c r="AJ20" s="837" t="s">
        <v>8</v>
      </c>
      <c r="AK20" s="837" t="s">
        <v>8</v>
      </c>
      <c r="AL20" s="706" t="s">
        <v>8</v>
      </c>
      <c r="AM20" s="837" t="str">
        <f t="shared" si="1"/>
        <v>×</v>
      </c>
      <c r="AN20" s="837"/>
      <c r="AO20" s="837" t="str">
        <f t="shared" si="13"/>
        <v>×</v>
      </c>
      <c r="AP20" s="706" t="s">
        <v>8</v>
      </c>
      <c r="AQ20" s="706" t="s">
        <v>8</v>
      </c>
      <c r="AR20" s="706" t="s">
        <v>8</v>
      </c>
      <c r="AS20" s="706" t="s">
        <v>8</v>
      </c>
      <c r="AT20" s="706" t="s">
        <v>8</v>
      </c>
      <c r="AU20" s="739" t="str">
        <f>$Z:$Z</f>
        <v>×</v>
      </c>
      <c r="AV20" s="706" t="s">
        <v>58</v>
      </c>
      <c r="AW20" s="837" t="str">
        <f t="shared" si="3"/>
        <v>×</v>
      </c>
      <c r="AX20" s="927" t="s">
        <v>8</v>
      </c>
      <c r="AY20" s="706" t="s">
        <v>8</v>
      </c>
      <c r="AZ20" s="928" t="s">
        <v>8</v>
      </c>
      <c r="BA20" s="839" t="str">
        <f t="shared" si="5"/>
        <v>×</v>
      </c>
      <c r="BB20" s="798" t="str">
        <f t="shared" si="6"/>
        <v>×</v>
      </c>
      <c r="BC20" s="797" t="str">
        <f t="shared" si="7"/>
        <v>×</v>
      </c>
      <c r="BD20" s="796" t="str">
        <f t="shared" si="8"/>
        <v>×</v>
      </c>
      <c r="BE20" s="838" t="str">
        <f t="shared" si="9"/>
        <v>×</v>
      </c>
      <c r="BF20" s="797" t="str">
        <f t="shared" si="10"/>
        <v>×</v>
      </c>
      <c r="BG20" s="799" t="s">
        <v>150</v>
      </c>
      <c r="BH20" s="800" t="str">
        <f t="shared" si="12"/>
        <v>×</v>
      </c>
      <c r="BI20" s="798" t="str">
        <f t="shared" si="14"/>
        <v>×</v>
      </c>
      <c r="BJ20" s="800" t="str">
        <f t="shared" si="15"/>
        <v>×</v>
      </c>
      <c r="BK20" s="796" t="str">
        <f t="shared" si="16"/>
        <v>×</v>
      </c>
      <c r="BL20" s="797" t="str">
        <f t="shared" si="17"/>
        <v>×</v>
      </c>
      <c r="BM20" s="799" t="str">
        <f t="shared" si="11"/>
        <v>×</v>
      </c>
      <c r="BN20" s="801" t="str">
        <f t="shared" si="18"/>
        <v>×</v>
      </c>
      <c r="BO20" s="1174"/>
    </row>
    <row r="21" spans="1:77" ht="13.5" customHeight="1">
      <c r="A21" s="1076"/>
      <c r="B21" s="548" t="s">
        <v>697</v>
      </c>
      <c r="C21" s="209">
        <v>0</v>
      </c>
      <c r="D21" s="418">
        <v>106</v>
      </c>
      <c r="E21" s="419">
        <v>176</v>
      </c>
      <c r="F21" s="416" t="s">
        <v>637</v>
      </c>
      <c r="G21" s="568" t="s">
        <v>8</v>
      </c>
      <c r="H21" s="51" t="s">
        <v>637</v>
      </c>
      <c r="I21" s="568" t="s">
        <v>8</v>
      </c>
      <c r="J21" s="568" t="s">
        <v>8</v>
      </c>
      <c r="K21" s="416" t="str">
        <f t="shared" si="4"/>
        <v>○</v>
      </c>
      <c r="L21" s="395" t="s">
        <v>637</v>
      </c>
      <c r="M21" s="416" t="s">
        <v>637</v>
      </c>
      <c r="N21" s="33" t="s">
        <v>10</v>
      </c>
      <c r="O21" s="33" t="s">
        <v>10</v>
      </c>
      <c r="P21" s="33" t="s">
        <v>10</v>
      </c>
      <c r="Q21" s="33" t="s">
        <v>10</v>
      </c>
      <c r="R21" s="34" t="s">
        <v>8</v>
      </c>
      <c r="S21" s="34" t="s">
        <v>637</v>
      </c>
      <c r="T21" s="34" t="s">
        <v>637</v>
      </c>
      <c r="U21" s="34" t="s">
        <v>637</v>
      </c>
      <c r="V21" s="706" t="s">
        <v>8</v>
      </c>
      <c r="W21" s="34" t="s">
        <v>637</v>
      </c>
      <c r="X21" s="395" t="s">
        <v>637</v>
      </c>
      <c r="Y21" s="395" t="s">
        <v>637</v>
      </c>
      <c r="Z21" s="34" t="s">
        <v>8</v>
      </c>
      <c r="AA21" s="395" t="s">
        <v>8</v>
      </c>
      <c r="AB21" s="34" t="s">
        <v>637</v>
      </c>
      <c r="AC21" s="34" t="s">
        <v>637</v>
      </c>
      <c r="AD21" s="706" t="s">
        <v>8</v>
      </c>
      <c r="AE21" s="34" t="s">
        <v>637</v>
      </c>
      <c r="AF21" s="395" t="str">
        <f t="shared" si="0"/>
        <v>○</v>
      </c>
      <c r="AG21" s="34" t="s">
        <v>637</v>
      </c>
      <c r="AH21" s="706" t="s">
        <v>8</v>
      </c>
      <c r="AI21" s="706" t="s">
        <v>8</v>
      </c>
      <c r="AJ21" s="36" t="s">
        <v>637</v>
      </c>
      <c r="AK21" s="36" t="s">
        <v>8</v>
      </c>
      <c r="AL21" s="34" t="s">
        <v>8</v>
      </c>
      <c r="AM21" s="428" t="str">
        <f t="shared" si="1"/>
        <v>○</v>
      </c>
      <c r="AN21" s="428"/>
      <c r="AO21" s="428" t="str">
        <f t="shared" si="13"/>
        <v>×</v>
      </c>
      <c r="AP21" s="706" t="s">
        <v>8</v>
      </c>
      <c r="AQ21" s="34" t="s">
        <v>637</v>
      </c>
      <c r="AR21" s="395" t="s">
        <v>637</v>
      </c>
      <c r="AS21" s="706" t="s">
        <v>8</v>
      </c>
      <c r="AT21" s="34" t="s">
        <v>8</v>
      </c>
      <c r="AU21" s="395" t="str">
        <f t="shared" ref="AU21" si="19">$Z:$Z</f>
        <v>×</v>
      </c>
      <c r="AV21" s="395" t="s">
        <v>58</v>
      </c>
      <c r="AW21" s="428" t="str">
        <f t="shared" si="3"/>
        <v>×</v>
      </c>
      <c r="AX21" s="927" t="s">
        <v>8</v>
      </c>
      <c r="AY21" s="706" t="s">
        <v>8</v>
      </c>
      <c r="AZ21" s="928" t="s">
        <v>8</v>
      </c>
      <c r="BA21" s="813" t="str">
        <f t="shared" si="5"/>
        <v>×</v>
      </c>
      <c r="BB21" s="767" t="str">
        <f t="shared" si="6"/>
        <v>×</v>
      </c>
      <c r="BC21" s="768" t="str">
        <f t="shared" si="7"/>
        <v>×</v>
      </c>
      <c r="BD21" s="765" t="str">
        <f t="shared" si="8"/>
        <v>×</v>
      </c>
      <c r="BE21" s="767" t="str">
        <f t="shared" si="9"/>
        <v>×</v>
      </c>
      <c r="BF21" s="768" t="str">
        <f t="shared" si="10"/>
        <v>×</v>
      </c>
      <c r="BG21" s="760" t="s">
        <v>8</v>
      </c>
      <c r="BH21" s="761" t="str">
        <f t="shared" si="12"/>
        <v>×</v>
      </c>
      <c r="BI21" s="758" t="str">
        <f t="shared" si="14"/>
        <v>×</v>
      </c>
      <c r="BJ21" s="761" t="str">
        <f t="shared" si="15"/>
        <v>×</v>
      </c>
      <c r="BK21" s="757" t="str">
        <f t="shared" si="16"/>
        <v>×</v>
      </c>
      <c r="BL21" s="759" t="str">
        <f t="shared" si="17"/>
        <v>×</v>
      </c>
      <c r="BM21" s="760" t="str">
        <f t="shared" si="11"/>
        <v>×</v>
      </c>
      <c r="BN21" s="762" t="str">
        <f t="shared" si="18"/>
        <v>×</v>
      </c>
      <c r="BO21" s="1175"/>
    </row>
    <row r="22" spans="1:77" ht="13.5" customHeight="1">
      <c r="A22" s="1076"/>
      <c r="B22" s="548" t="s">
        <v>698</v>
      </c>
      <c r="C22" s="209">
        <v>0</v>
      </c>
      <c r="D22" s="418">
        <v>177</v>
      </c>
      <c r="E22" s="419">
        <v>220</v>
      </c>
      <c r="F22" s="416" t="s">
        <v>637</v>
      </c>
      <c r="G22" s="568" t="s">
        <v>8</v>
      </c>
      <c r="H22" s="51" t="s">
        <v>637</v>
      </c>
      <c r="I22" s="568" t="s">
        <v>8</v>
      </c>
      <c r="J22" s="568" t="s">
        <v>8</v>
      </c>
      <c r="K22" s="416" t="str">
        <f t="shared" si="4"/>
        <v>○</v>
      </c>
      <c r="L22" s="395" t="s">
        <v>637</v>
      </c>
      <c r="M22" s="395" t="s">
        <v>637</v>
      </c>
      <c r="N22" s="34" t="s">
        <v>637</v>
      </c>
      <c r="O22" s="34" t="s">
        <v>637</v>
      </c>
      <c r="P22" s="34" t="s">
        <v>637</v>
      </c>
      <c r="Q22" s="34" t="s">
        <v>637</v>
      </c>
      <c r="R22" s="34" t="s">
        <v>637</v>
      </c>
      <c r="S22" s="34" t="s">
        <v>637</v>
      </c>
      <c r="T22" s="34" t="s">
        <v>637</v>
      </c>
      <c r="U22" s="34" t="s">
        <v>637</v>
      </c>
      <c r="V22" s="706" t="s">
        <v>8</v>
      </c>
      <c r="W22" s="34" t="s">
        <v>637</v>
      </c>
      <c r="X22" s="395" t="s">
        <v>637</v>
      </c>
      <c r="Y22" s="395" t="s">
        <v>637</v>
      </c>
      <c r="Z22" s="428" t="s">
        <v>645</v>
      </c>
      <c r="AA22" s="395" t="s">
        <v>8</v>
      </c>
      <c r="AB22" s="34" t="s">
        <v>637</v>
      </c>
      <c r="AC22" s="34" t="s">
        <v>637</v>
      </c>
      <c r="AD22" s="706" t="s">
        <v>8</v>
      </c>
      <c r="AE22" s="34" t="s">
        <v>637</v>
      </c>
      <c r="AF22" s="395" t="str">
        <f t="shared" si="0"/>
        <v>○</v>
      </c>
      <c r="AG22" s="34" t="s">
        <v>637</v>
      </c>
      <c r="AH22" s="706" t="s">
        <v>8</v>
      </c>
      <c r="AI22" s="706" t="s">
        <v>8</v>
      </c>
      <c r="AJ22" s="36" t="s">
        <v>637</v>
      </c>
      <c r="AK22" s="36" t="s">
        <v>8</v>
      </c>
      <c r="AL22" s="34" t="s">
        <v>645</v>
      </c>
      <c r="AM22" s="395" t="str">
        <f t="shared" si="1"/>
        <v>○</v>
      </c>
      <c r="AN22" s="428"/>
      <c r="AO22" s="428" t="str">
        <f t="shared" si="13"/>
        <v>○(2)</v>
      </c>
      <c r="AP22" s="706" t="s">
        <v>8</v>
      </c>
      <c r="AQ22" s="34" t="s">
        <v>638</v>
      </c>
      <c r="AR22" s="34" t="s">
        <v>638</v>
      </c>
      <c r="AS22" s="706" t="s">
        <v>8</v>
      </c>
      <c r="AT22" s="34" t="s">
        <v>646</v>
      </c>
      <c r="AU22" s="62" t="str">
        <f>$Z:$Z</f>
        <v>○(2)</v>
      </c>
      <c r="AV22" s="34" t="s">
        <v>58</v>
      </c>
      <c r="AW22" s="428" t="str">
        <f t="shared" si="3"/>
        <v>×</v>
      </c>
      <c r="AX22" s="927" t="s">
        <v>8</v>
      </c>
      <c r="AY22" s="706" t="s">
        <v>8</v>
      </c>
      <c r="AZ22" s="928" t="s">
        <v>8</v>
      </c>
      <c r="BA22" s="813" t="str">
        <f t="shared" si="5"/>
        <v>×</v>
      </c>
      <c r="BB22" s="767" t="str">
        <f t="shared" si="6"/>
        <v>○</v>
      </c>
      <c r="BC22" s="768" t="str">
        <f t="shared" si="7"/>
        <v>○</v>
      </c>
      <c r="BD22" s="765" t="str">
        <f t="shared" si="8"/>
        <v>×</v>
      </c>
      <c r="BE22" s="818" t="str">
        <f t="shared" si="9"/>
        <v>○</v>
      </c>
      <c r="BF22" s="768" t="str">
        <f t="shared" si="10"/>
        <v>○</v>
      </c>
      <c r="BG22" s="760" t="s">
        <v>8</v>
      </c>
      <c r="BH22" s="761" t="str">
        <f t="shared" si="12"/>
        <v>○</v>
      </c>
      <c r="BI22" s="758" t="str">
        <f t="shared" si="14"/>
        <v>×</v>
      </c>
      <c r="BJ22" s="761" t="str">
        <f t="shared" si="15"/>
        <v>×</v>
      </c>
      <c r="BK22" s="757" t="str">
        <f t="shared" si="16"/>
        <v>○(2)</v>
      </c>
      <c r="BL22" s="759" t="str">
        <f t="shared" si="17"/>
        <v>○(2)</v>
      </c>
      <c r="BM22" s="766" t="str">
        <f t="shared" si="11"/>
        <v>○(2)</v>
      </c>
      <c r="BN22" s="762" t="str">
        <f t="shared" si="18"/>
        <v>○(2)</v>
      </c>
      <c r="BO22" s="1188" t="s">
        <v>1071</v>
      </c>
    </row>
    <row r="23" spans="1:77" ht="13.5" customHeight="1">
      <c r="A23" s="1076"/>
      <c r="B23" s="548" t="s">
        <v>699</v>
      </c>
      <c r="C23" s="27">
        <v>0</v>
      </c>
      <c r="D23" s="418">
        <v>177</v>
      </c>
      <c r="E23" s="419">
        <v>220</v>
      </c>
      <c r="F23" s="416" t="s">
        <v>637</v>
      </c>
      <c r="G23" s="568" t="s">
        <v>8</v>
      </c>
      <c r="H23" s="51" t="s">
        <v>637</v>
      </c>
      <c r="I23" s="568" t="s">
        <v>8</v>
      </c>
      <c r="J23" s="568" t="s">
        <v>8</v>
      </c>
      <c r="K23" s="416" t="str">
        <f t="shared" si="4"/>
        <v>○</v>
      </c>
      <c r="L23" s="395" t="s">
        <v>637</v>
      </c>
      <c r="M23" s="395" t="s">
        <v>637</v>
      </c>
      <c r="N23" s="33" t="s">
        <v>10</v>
      </c>
      <c r="O23" s="33" t="s">
        <v>10</v>
      </c>
      <c r="P23" s="33" t="s">
        <v>10</v>
      </c>
      <c r="Q23" s="33" t="s">
        <v>10</v>
      </c>
      <c r="R23" s="34" t="s">
        <v>8</v>
      </c>
      <c r="S23" s="34" t="s">
        <v>637</v>
      </c>
      <c r="T23" s="190" t="s">
        <v>1</v>
      </c>
      <c r="U23" s="34" t="s">
        <v>637</v>
      </c>
      <c r="V23" s="706" t="s">
        <v>8</v>
      </c>
      <c r="W23" s="34" t="s">
        <v>638</v>
      </c>
      <c r="X23" s="395" t="s">
        <v>637</v>
      </c>
      <c r="Y23" s="395" t="s">
        <v>637</v>
      </c>
      <c r="Z23" s="34" t="s">
        <v>8</v>
      </c>
      <c r="AA23" s="395" t="s">
        <v>8</v>
      </c>
      <c r="AB23" s="34" t="s">
        <v>637</v>
      </c>
      <c r="AC23" s="34" t="s">
        <v>637</v>
      </c>
      <c r="AD23" s="706" t="s">
        <v>8</v>
      </c>
      <c r="AE23" s="34" t="s">
        <v>638</v>
      </c>
      <c r="AF23" s="395" t="str">
        <f t="shared" si="0"/>
        <v>○</v>
      </c>
      <c r="AG23" s="34" t="s">
        <v>637</v>
      </c>
      <c r="AH23" s="706" t="s">
        <v>8</v>
      </c>
      <c r="AI23" s="706" t="s">
        <v>8</v>
      </c>
      <c r="AJ23" s="34" t="s">
        <v>638</v>
      </c>
      <c r="AK23" s="36" t="s">
        <v>8</v>
      </c>
      <c r="AL23" s="34" t="s">
        <v>8</v>
      </c>
      <c r="AM23" s="395" t="str">
        <f t="shared" si="1"/>
        <v>○</v>
      </c>
      <c r="AN23" s="428"/>
      <c r="AO23" s="428" t="str">
        <f t="shared" si="13"/>
        <v>×</v>
      </c>
      <c r="AP23" s="706" t="s">
        <v>8</v>
      </c>
      <c r="AQ23" s="34" t="s">
        <v>638</v>
      </c>
      <c r="AR23" s="34" t="s">
        <v>638</v>
      </c>
      <c r="AS23" s="706" t="s">
        <v>8</v>
      </c>
      <c r="AT23" s="34" t="s">
        <v>8</v>
      </c>
      <c r="AU23" s="34" t="str">
        <f t="shared" ref="AU23:AU25" si="20">$Z:$Z</f>
        <v>×</v>
      </c>
      <c r="AV23" s="34" t="s">
        <v>58</v>
      </c>
      <c r="AW23" s="428" t="str">
        <f t="shared" si="3"/>
        <v>×</v>
      </c>
      <c r="AX23" s="927" t="s">
        <v>8</v>
      </c>
      <c r="AY23" s="706" t="s">
        <v>8</v>
      </c>
      <c r="AZ23" s="928" t="s">
        <v>8</v>
      </c>
      <c r="BA23" s="813" t="str">
        <f t="shared" si="5"/>
        <v>×</v>
      </c>
      <c r="BB23" s="767" t="str">
        <f t="shared" si="6"/>
        <v>×</v>
      </c>
      <c r="BC23" s="768" t="str">
        <f t="shared" si="7"/>
        <v>×</v>
      </c>
      <c r="BD23" s="765" t="str">
        <f t="shared" si="8"/>
        <v>×</v>
      </c>
      <c r="BE23" s="767" t="str">
        <f t="shared" si="9"/>
        <v>×</v>
      </c>
      <c r="BF23" s="768" t="str">
        <f t="shared" si="10"/>
        <v>×</v>
      </c>
      <c r="BG23" s="766" t="s">
        <v>8</v>
      </c>
      <c r="BH23" s="761" t="str">
        <f t="shared" si="12"/>
        <v>×</v>
      </c>
      <c r="BI23" s="758" t="str">
        <f t="shared" si="14"/>
        <v>×</v>
      </c>
      <c r="BJ23" s="761" t="str">
        <f t="shared" si="15"/>
        <v>×</v>
      </c>
      <c r="BK23" s="757" t="str">
        <f t="shared" si="16"/>
        <v>×</v>
      </c>
      <c r="BL23" s="759" t="str">
        <f t="shared" si="17"/>
        <v>×</v>
      </c>
      <c r="BM23" s="760" t="str">
        <f t="shared" si="11"/>
        <v>×</v>
      </c>
      <c r="BN23" s="762" t="str">
        <f t="shared" si="18"/>
        <v>×</v>
      </c>
      <c r="BO23" s="1189"/>
    </row>
    <row r="24" spans="1:77" ht="13.5" customHeight="1">
      <c r="A24" s="1076"/>
      <c r="B24" s="548" t="s">
        <v>700</v>
      </c>
      <c r="C24" s="27">
        <v>0</v>
      </c>
      <c r="D24" s="456">
        <v>221</v>
      </c>
      <c r="E24" s="420">
        <v>300</v>
      </c>
      <c r="F24" s="416" t="s">
        <v>637</v>
      </c>
      <c r="G24" s="568" t="s">
        <v>8</v>
      </c>
      <c r="H24" s="51" t="s">
        <v>637</v>
      </c>
      <c r="I24" s="568" t="s">
        <v>8</v>
      </c>
      <c r="J24" s="568" t="s">
        <v>8</v>
      </c>
      <c r="K24" s="416" t="str">
        <f t="shared" si="4"/>
        <v>○</v>
      </c>
      <c r="L24" s="395" t="s">
        <v>637</v>
      </c>
      <c r="M24" s="395" t="s">
        <v>637</v>
      </c>
      <c r="N24" s="34" t="s">
        <v>638</v>
      </c>
      <c r="O24" s="34" t="s">
        <v>638</v>
      </c>
      <c r="P24" s="34" t="s">
        <v>638</v>
      </c>
      <c r="Q24" s="34" t="s">
        <v>638</v>
      </c>
      <c r="R24" s="34" t="s">
        <v>638</v>
      </c>
      <c r="S24" s="34" t="s">
        <v>637</v>
      </c>
      <c r="T24" s="34" t="s">
        <v>637</v>
      </c>
      <c r="U24" s="34" t="s">
        <v>637</v>
      </c>
      <c r="V24" s="706" t="s">
        <v>8</v>
      </c>
      <c r="W24" s="34" t="s">
        <v>638</v>
      </c>
      <c r="X24" s="395" t="s">
        <v>637</v>
      </c>
      <c r="Y24" s="34" t="s">
        <v>637</v>
      </c>
      <c r="Z24" s="36" t="s">
        <v>645</v>
      </c>
      <c r="AA24" s="395" t="s">
        <v>58</v>
      </c>
      <c r="AB24" s="34" t="s">
        <v>637</v>
      </c>
      <c r="AC24" s="34" t="s">
        <v>637</v>
      </c>
      <c r="AD24" s="706" t="s">
        <v>8</v>
      </c>
      <c r="AE24" s="34" t="s">
        <v>638</v>
      </c>
      <c r="AF24" s="34" t="str">
        <f t="shared" si="0"/>
        <v>○</v>
      </c>
      <c r="AG24" s="34" t="s">
        <v>637</v>
      </c>
      <c r="AH24" s="706" t="s">
        <v>8</v>
      </c>
      <c r="AI24" s="706" t="s">
        <v>8</v>
      </c>
      <c r="AJ24" s="34" t="s">
        <v>638</v>
      </c>
      <c r="AK24" s="36" t="s">
        <v>8</v>
      </c>
      <c r="AL24" s="34" t="s">
        <v>8</v>
      </c>
      <c r="AM24" s="395" t="str">
        <f t="shared" si="1"/>
        <v>○</v>
      </c>
      <c r="AN24" s="428"/>
      <c r="AO24" s="428" t="str">
        <f t="shared" si="13"/>
        <v>○(2)</v>
      </c>
      <c r="AP24" s="706" t="s">
        <v>8</v>
      </c>
      <c r="AQ24" s="34" t="s">
        <v>8</v>
      </c>
      <c r="AR24" s="34" t="s">
        <v>8</v>
      </c>
      <c r="AS24" s="706" t="s">
        <v>8</v>
      </c>
      <c r="AT24" s="34" t="s">
        <v>8</v>
      </c>
      <c r="AU24" s="34" t="str">
        <f t="shared" si="20"/>
        <v>○(2)</v>
      </c>
      <c r="AV24" s="34" t="s">
        <v>58</v>
      </c>
      <c r="AW24" s="428" t="str">
        <f t="shared" si="3"/>
        <v>×</v>
      </c>
      <c r="AX24" s="927" t="s">
        <v>8</v>
      </c>
      <c r="AY24" s="706" t="s">
        <v>8</v>
      </c>
      <c r="AZ24" s="928" t="s">
        <v>8</v>
      </c>
      <c r="BA24" s="813" t="str">
        <f t="shared" si="5"/>
        <v>×</v>
      </c>
      <c r="BB24" s="767" t="str">
        <f t="shared" si="6"/>
        <v>×</v>
      </c>
      <c r="BC24" s="768" t="str">
        <f t="shared" si="7"/>
        <v>×</v>
      </c>
      <c r="BD24" s="765" t="str">
        <f t="shared" si="8"/>
        <v>×</v>
      </c>
      <c r="BE24" s="767" t="str">
        <f t="shared" si="9"/>
        <v>○</v>
      </c>
      <c r="BF24" s="768" t="str">
        <f t="shared" si="10"/>
        <v>○</v>
      </c>
      <c r="BG24" s="760" t="s">
        <v>8</v>
      </c>
      <c r="BH24" s="761" t="str">
        <f t="shared" si="12"/>
        <v>○</v>
      </c>
      <c r="BI24" s="758" t="str">
        <f t="shared" si="14"/>
        <v>×</v>
      </c>
      <c r="BJ24" s="761" t="str">
        <f t="shared" si="15"/>
        <v>×</v>
      </c>
      <c r="BK24" s="757" t="str">
        <f t="shared" si="16"/>
        <v>×</v>
      </c>
      <c r="BL24" s="759" t="str">
        <f t="shared" si="17"/>
        <v>×</v>
      </c>
      <c r="BM24" s="760" t="str">
        <f t="shared" si="11"/>
        <v>○(2)</v>
      </c>
      <c r="BN24" s="762" t="str">
        <f t="shared" si="18"/>
        <v>○(2)</v>
      </c>
      <c r="BO24" s="1189"/>
    </row>
    <row r="25" spans="1:77" ht="13.5" customHeight="1">
      <c r="A25" s="1076"/>
      <c r="B25" s="548" t="s">
        <v>701</v>
      </c>
      <c r="C25" s="27">
        <v>0</v>
      </c>
      <c r="D25" s="456">
        <v>221</v>
      </c>
      <c r="E25" s="420">
        <v>300</v>
      </c>
      <c r="F25" s="416" t="s">
        <v>637</v>
      </c>
      <c r="G25" s="568" t="s">
        <v>8</v>
      </c>
      <c r="H25" s="51" t="s">
        <v>637</v>
      </c>
      <c r="I25" s="568" t="s">
        <v>8</v>
      </c>
      <c r="J25" s="568" t="s">
        <v>8</v>
      </c>
      <c r="K25" s="416" t="str">
        <f t="shared" si="4"/>
        <v>○</v>
      </c>
      <c r="L25" s="395" t="s">
        <v>637</v>
      </c>
      <c r="M25" s="395" t="s">
        <v>637</v>
      </c>
      <c r="N25" s="33" t="s">
        <v>10</v>
      </c>
      <c r="O25" s="33" t="s">
        <v>10</v>
      </c>
      <c r="P25" s="33" t="s">
        <v>10</v>
      </c>
      <c r="Q25" s="33" t="s">
        <v>10</v>
      </c>
      <c r="R25" s="34" t="s">
        <v>8</v>
      </c>
      <c r="S25" s="34" t="s">
        <v>637</v>
      </c>
      <c r="T25" s="34" t="s">
        <v>637</v>
      </c>
      <c r="U25" s="34" t="s">
        <v>637</v>
      </c>
      <c r="V25" s="706" t="s">
        <v>8</v>
      </c>
      <c r="W25" s="34" t="s">
        <v>638</v>
      </c>
      <c r="X25" s="395" t="s">
        <v>637</v>
      </c>
      <c r="Y25" s="34" t="s">
        <v>637</v>
      </c>
      <c r="Z25" s="34" t="s">
        <v>8</v>
      </c>
      <c r="AA25" s="395" t="s">
        <v>8</v>
      </c>
      <c r="AB25" s="34" t="s">
        <v>637</v>
      </c>
      <c r="AC25" s="34" t="s">
        <v>637</v>
      </c>
      <c r="AD25" s="706" t="s">
        <v>8</v>
      </c>
      <c r="AE25" s="34" t="s">
        <v>638</v>
      </c>
      <c r="AF25" s="34" t="str">
        <f t="shared" si="0"/>
        <v>○</v>
      </c>
      <c r="AG25" s="34" t="s">
        <v>637</v>
      </c>
      <c r="AH25" s="706" t="s">
        <v>8</v>
      </c>
      <c r="AI25" s="706" t="s">
        <v>8</v>
      </c>
      <c r="AJ25" s="34" t="s">
        <v>638</v>
      </c>
      <c r="AK25" s="36" t="s">
        <v>8</v>
      </c>
      <c r="AL25" s="34" t="s">
        <v>8</v>
      </c>
      <c r="AM25" s="395" t="str">
        <f t="shared" si="1"/>
        <v>○</v>
      </c>
      <c r="AN25" s="428"/>
      <c r="AO25" s="428" t="str">
        <f t="shared" si="13"/>
        <v>×</v>
      </c>
      <c r="AP25" s="706" t="s">
        <v>8</v>
      </c>
      <c r="AQ25" s="34" t="s">
        <v>8</v>
      </c>
      <c r="AR25" s="34" t="s">
        <v>8</v>
      </c>
      <c r="AS25" s="706" t="s">
        <v>8</v>
      </c>
      <c r="AT25" s="34" t="s">
        <v>8</v>
      </c>
      <c r="AU25" s="34" t="str">
        <f t="shared" si="20"/>
        <v>×</v>
      </c>
      <c r="AV25" s="34" t="s">
        <v>58</v>
      </c>
      <c r="AW25" s="428" t="str">
        <f t="shared" si="3"/>
        <v>×</v>
      </c>
      <c r="AX25" s="927" t="s">
        <v>8</v>
      </c>
      <c r="AY25" s="706" t="s">
        <v>8</v>
      </c>
      <c r="AZ25" s="928" t="s">
        <v>8</v>
      </c>
      <c r="BA25" s="813" t="str">
        <f t="shared" si="5"/>
        <v>×</v>
      </c>
      <c r="BB25" s="767" t="str">
        <f t="shared" si="6"/>
        <v>×</v>
      </c>
      <c r="BC25" s="768" t="str">
        <f t="shared" si="7"/>
        <v>×</v>
      </c>
      <c r="BD25" s="765" t="str">
        <f t="shared" si="8"/>
        <v>×</v>
      </c>
      <c r="BE25" s="767" t="str">
        <f t="shared" si="9"/>
        <v>×</v>
      </c>
      <c r="BF25" s="768" t="str">
        <f t="shared" si="10"/>
        <v>×</v>
      </c>
      <c r="BG25" s="760" t="s">
        <v>8</v>
      </c>
      <c r="BH25" s="761" t="str">
        <f t="shared" si="12"/>
        <v>×</v>
      </c>
      <c r="BI25" s="758" t="str">
        <f t="shared" si="14"/>
        <v>×</v>
      </c>
      <c r="BJ25" s="761" t="str">
        <f t="shared" si="15"/>
        <v>×</v>
      </c>
      <c r="BK25" s="757" t="str">
        <f t="shared" si="16"/>
        <v>×</v>
      </c>
      <c r="BL25" s="759" t="str">
        <f t="shared" si="17"/>
        <v>×</v>
      </c>
      <c r="BM25" s="760" t="str">
        <f t="shared" si="11"/>
        <v>×</v>
      </c>
      <c r="BN25" s="762" t="str">
        <f t="shared" si="18"/>
        <v>×</v>
      </c>
      <c r="BO25" s="1189"/>
    </row>
    <row r="26" spans="1:77" s="840" customFormat="1" ht="13.5" customHeight="1">
      <c r="A26" s="1076"/>
      <c r="B26" s="832" t="s">
        <v>702</v>
      </c>
      <c r="C26" s="841">
        <v>0</v>
      </c>
      <c r="D26" s="842">
        <v>0</v>
      </c>
      <c r="E26" s="843">
        <v>0</v>
      </c>
      <c r="F26" s="708" t="s">
        <v>8</v>
      </c>
      <c r="G26" s="836" t="s">
        <v>8</v>
      </c>
      <c r="H26" s="708" t="s">
        <v>8</v>
      </c>
      <c r="I26" s="836" t="s">
        <v>8</v>
      </c>
      <c r="J26" s="836" t="s">
        <v>8</v>
      </c>
      <c r="K26" s="708" t="str">
        <f t="shared" si="4"/>
        <v>×</v>
      </c>
      <c r="L26" s="706" t="s">
        <v>8</v>
      </c>
      <c r="M26" s="708" t="s">
        <v>8</v>
      </c>
      <c r="N26" s="706" t="s">
        <v>8</v>
      </c>
      <c r="O26" s="706" t="s">
        <v>8</v>
      </c>
      <c r="P26" s="706" t="s">
        <v>8</v>
      </c>
      <c r="Q26" s="706" t="s">
        <v>8</v>
      </c>
      <c r="R26" s="706" t="s">
        <v>8</v>
      </c>
      <c r="S26" s="706" t="s">
        <v>8</v>
      </c>
      <c r="T26" s="706" t="s">
        <v>8</v>
      </c>
      <c r="U26" s="706" t="s">
        <v>8</v>
      </c>
      <c r="V26" s="706" t="s">
        <v>8</v>
      </c>
      <c r="W26" s="706" t="s">
        <v>8</v>
      </c>
      <c r="X26" s="706" t="s">
        <v>8</v>
      </c>
      <c r="Y26" s="706" t="s">
        <v>8</v>
      </c>
      <c r="Z26" s="706" t="s">
        <v>8</v>
      </c>
      <c r="AA26" s="706" t="s">
        <v>8</v>
      </c>
      <c r="AB26" s="706" t="s">
        <v>8</v>
      </c>
      <c r="AC26" s="706" t="s">
        <v>8</v>
      </c>
      <c r="AD26" s="706" t="s">
        <v>8</v>
      </c>
      <c r="AE26" s="706" t="s">
        <v>8</v>
      </c>
      <c r="AF26" s="706" t="str">
        <f t="shared" si="0"/>
        <v>×</v>
      </c>
      <c r="AG26" s="706" t="s">
        <v>8</v>
      </c>
      <c r="AH26" s="706" t="s">
        <v>8</v>
      </c>
      <c r="AI26" s="706" t="s">
        <v>8</v>
      </c>
      <c r="AJ26" s="837" t="s">
        <v>8</v>
      </c>
      <c r="AK26" s="837" t="s">
        <v>8</v>
      </c>
      <c r="AL26" s="706" t="s">
        <v>8</v>
      </c>
      <c r="AM26" s="837" t="str">
        <f t="shared" si="1"/>
        <v>×</v>
      </c>
      <c r="AN26" s="837"/>
      <c r="AO26" s="837" t="str">
        <f t="shared" si="13"/>
        <v>×</v>
      </c>
      <c r="AP26" s="706" t="s">
        <v>8</v>
      </c>
      <c r="AQ26" s="706" t="s">
        <v>8</v>
      </c>
      <c r="AR26" s="706" t="s">
        <v>8</v>
      </c>
      <c r="AS26" s="706" t="s">
        <v>8</v>
      </c>
      <c r="AT26" s="706" t="s">
        <v>8</v>
      </c>
      <c r="AU26" s="706" t="s">
        <v>8</v>
      </c>
      <c r="AV26" s="706" t="s">
        <v>58</v>
      </c>
      <c r="AW26" s="837" t="str">
        <f t="shared" si="3"/>
        <v>×</v>
      </c>
      <c r="AX26" s="927" t="s">
        <v>8</v>
      </c>
      <c r="AY26" s="706" t="s">
        <v>8</v>
      </c>
      <c r="AZ26" s="928" t="s">
        <v>8</v>
      </c>
      <c r="BA26" s="839" t="str">
        <f t="shared" si="5"/>
        <v>×</v>
      </c>
      <c r="BB26" s="798" t="str">
        <f t="shared" si="6"/>
        <v>×</v>
      </c>
      <c r="BC26" s="797" t="str">
        <f t="shared" si="7"/>
        <v>×</v>
      </c>
      <c r="BD26" s="796" t="str">
        <f t="shared" si="8"/>
        <v>×</v>
      </c>
      <c r="BE26" s="798" t="str">
        <f t="shared" si="9"/>
        <v>×</v>
      </c>
      <c r="BF26" s="797" t="str">
        <f t="shared" si="10"/>
        <v>×</v>
      </c>
      <c r="BG26" s="799" t="s">
        <v>8</v>
      </c>
      <c r="BH26" s="800" t="str">
        <f t="shared" si="12"/>
        <v>×</v>
      </c>
      <c r="BI26" s="798" t="str">
        <f t="shared" si="14"/>
        <v>×</v>
      </c>
      <c r="BJ26" s="800" t="str">
        <f t="shared" si="15"/>
        <v>×</v>
      </c>
      <c r="BK26" s="796" t="str">
        <f t="shared" si="16"/>
        <v>×</v>
      </c>
      <c r="BL26" s="797" t="str">
        <f t="shared" si="17"/>
        <v>×</v>
      </c>
      <c r="BM26" s="799" t="str">
        <f t="shared" si="11"/>
        <v>×</v>
      </c>
      <c r="BN26" s="801" t="str">
        <f t="shared" si="18"/>
        <v>×</v>
      </c>
      <c r="BO26" s="1189"/>
    </row>
    <row r="27" spans="1:77" s="840" customFormat="1" ht="13.5" customHeight="1">
      <c r="A27" s="1076"/>
      <c r="B27" s="832" t="s">
        <v>703</v>
      </c>
      <c r="C27" s="841">
        <v>0</v>
      </c>
      <c r="D27" s="842">
        <v>0</v>
      </c>
      <c r="E27" s="843">
        <v>0</v>
      </c>
      <c r="F27" s="708" t="s">
        <v>8</v>
      </c>
      <c r="G27" s="836" t="s">
        <v>8</v>
      </c>
      <c r="H27" s="708" t="s">
        <v>8</v>
      </c>
      <c r="I27" s="836" t="s">
        <v>8</v>
      </c>
      <c r="J27" s="836" t="s">
        <v>8</v>
      </c>
      <c r="K27" s="708" t="str">
        <f t="shared" si="4"/>
        <v>×</v>
      </c>
      <c r="L27" s="706" t="s">
        <v>8</v>
      </c>
      <c r="M27" s="708" t="s">
        <v>8</v>
      </c>
      <c r="N27" s="706" t="s">
        <v>8</v>
      </c>
      <c r="O27" s="706" t="s">
        <v>8</v>
      </c>
      <c r="P27" s="706" t="s">
        <v>8</v>
      </c>
      <c r="Q27" s="706" t="s">
        <v>8</v>
      </c>
      <c r="R27" s="706" t="s">
        <v>8</v>
      </c>
      <c r="S27" s="706" t="s">
        <v>8</v>
      </c>
      <c r="T27" s="706" t="s">
        <v>8</v>
      </c>
      <c r="U27" s="706" t="s">
        <v>8</v>
      </c>
      <c r="V27" s="706" t="s">
        <v>8</v>
      </c>
      <c r="W27" s="706" t="s">
        <v>8</v>
      </c>
      <c r="X27" s="706" t="s">
        <v>8</v>
      </c>
      <c r="Y27" s="706" t="s">
        <v>8</v>
      </c>
      <c r="Z27" s="706" t="s">
        <v>8</v>
      </c>
      <c r="AA27" s="706" t="s">
        <v>8</v>
      </c>
      <c r="AB27" s="706" t="s">
        <v>8</v>
      </c>
      <c r="AC27" s="706" t="s">
        <v>8</v>
      </c>
      <c r="AD27" s="706" t="s">
        <v>8</v>
      </c>
      <c r="AE27" s="706" t="s">
        <v>8</v>
      </c>
      <c r="AF27" s="706" t="str">
        <f t="shared" si="0"/>
        <v>×</v>
      </c>
      <c r="AG27" s="706" t="s">
        <v>8</v>
      </c>
      <c r="AH27" s="706" t="s">
        <v>8</v>
      </c>
      <c r="AI27" s="706" t="s">
        <v>8</v>
      </c>
      <c r="AJ27" s="837" t="s">
        <v>8</v>
      </c>
      <c r="AK27" s="837" t="s">
        <v>8</v>
      </c>
      <c r="AL27" s="706" t="s">
        <v>8</v>
      </c>
      <c r="AM27" s="837" t="str">
        <f t="shared" si="1"/>
        <v>×</v>
      </c>
      <c r="AN27" s="837"/>
      <c r="AO27" s="837" t="str">
        <f t="shared" si="13"/>
        <v>×</v>
      </c>
      <c r="AP27" s="706" t="s">
        <v>8</v>
      </c>
      <c r="AQ27" s="706" t="s">
        <v>8</v>
      </c>
      <c r="AR27" s="706" t="s">
        <v>8</v>
      </c>
      <c r="AS27" s="706" t="s">
        <v>8</v>
      </c>
      <c r="AT27" s="706" t="s">
        <v>8</v>
      </c>
      <c r="AU27" s="706" t="s">
        <v>8</v>
      </c>
      <c r="AV27" s="706" t="s">
        <v>58</v>
      </c>
      <c r="AW27" s="837" t="str">
        <f t="shared" si="3"/>
        <v>×</v>
      </c>
      <c r="AX27" s="927" t="s">
        <v>8</v>
      </c>
      <c r="AY27" s="706" t="s">
        <v>8</v>
      </c>
      <c r="AZ27" s="928" t="s">
        <v>8</v>
      </c>
      <c r="BA27" s="839" t="str">
        <f t="shared" si="5"/>
        <v>×</v>
      </c>
      <c r="BB27" s="798" t="str">
        <f t="shared" si="6"/>
        <v>×</v>
      </c>
      <c r="BC27" s="797" t="str">
        <f t="shared" si="7"/>
        <v>×</v>
      </c>
      <c r="BD27" s="796" t="str">
        <f t="shared" si="8"/>
        <v>×</v>
      </c>
      <c r="BE27" s="798" t="str">
        <f t="shared" si="9"/>
        <v>×</v>
      </c>
      <c r="BF27" s="797" t="str">
        <f t="shared" si="10"/>
        <v>×</v>
      </c>
      <c r="BG27" s="799" t="s">
        <v>8</v>
      </c>
      <c r="BH27" s="800" t="str">
        <f t="shared" si="12"/>
        <v>×</v>
      </c>
      <c r="BI27" s="798" t="str">
        <f t="shared" si="14"/>
        <v>×</v>
      </c>
      <c r="BJ27" s="800" t="str">
        <f t="shared" si="15"/>
        <v>×</v>
      </c>
      <c r="BK27" s="796" t="str">
        <f t="shared" si="16"/>
        <v>×</v>
      </c>
      <c r="BL27" s="797" t="str">
        <f t="shared" si="17"/>
        <v>×</v>
      </c>
      <c r="BM27" s="799" t="str">
        <f t="shared" si="11"/>
        <v>×</v>
      </c>
      <c r="BN27" s="801" t="str">
        <f t="shared" si="18"/>
        <v>×</v>
      </c>
      <c r="BO27" s="1189"/>
    </row>
    <row r="28" spans="1:77" s="840" customFormat="1" ht="13.5" customHeight="1">
      <c r="A28" s="1076"/>
      <c r="B28" s="844" t="s">
        <v>704</v>
      </c>
      <c r="C28" s="841">
        <v>0</v>
      </c>
      <c r="D28" s="842">
        <v>0</v>
      </c>
      <c r="E28" s="843">
        <v>0</v>
      </c>
      <c r="F28" s="708" t="s">
        <v>8</v>
      </c>
      <c r="G28" s="836" t="s">
        <v>8</v>
      </c>
      <c r="H28" s="708" t="s">
        <v>8</v>
      </c>
      <c r="I28" s="836" t="s">
        <v>8</v>
      </c>
      <c r="J28" s="836" t="s">
        <v>8</v>
      </c>
      <c r="K28" s="708" t="str">
        <f t="shared" si="4"/>
        <v>×</v>
      </c>
      <c r="L28" s="706" t="s">
        <v>8</v>
      </c>
      <c r="M28" s="708" t="s">
        <v>8</v>
      </c>
      <c r="N28" s="706" t="s">
        <v>8</v>
      </c>
      <c r="O28" s="706" t="s">
        <v>8</v>
      </c>
      <c r="P28" s="706" t="s">
        <v>8</v>
      </c>
      <c r="Q28" s="706" t="s">
        <v>8</v>
      </c>
      <c r="R28" s="706" t="s">
        <v>8</v>
      </c>
      <c r="S28" s="706" t="s">
        <v>8</v>
      </c>
      <c r="T28" s="706" t="s">
        <v>8</v>
      </c>
      <c r="U28" s="706" t="s">
        <v>8</v>
      </c>
      <c r="V28" s="706" t="s">
        <v>8</v>
      </c>
      <c r="W28" s="706" t="s">
        <v>8</v>
      </c>
      <c r="X28" s="706" t="s">
        <v>8</v>
      </c>
      <c r="Y28" s="706" t="s">
        <v>8</v>
      </c>
      <c r="Z28" s="706" t="s">
        <v>8</v>
      </c>
      <c r="AA28" s="706" t="s">
        <v>8</v>
      </c>
      <c r="AB28" s="706" t="s">
        <v>8</v>
      </c>
      <c r="AC28" s="706" t="s">
        <v>8</v>
      </c>
      <c r="AD28" s="706" t="s">
        <v>8</v>
      </c>
      <c r="AE28" s="706" t="s">
        <v>8</v>
      </c>
      <c r="AF28" s="706" t="str">
        <f t="shared" si="0"/>
        <v>×</v>
      </c>
      <c r="AG28" s="706" t="s">
        <v>8</v>
      </c>
      <c r="AH28" s="706" t="s">
        <v>8</v>
      </c>
      <c r="AI28" s="706" t="s">
        <v>8</v>
      </c>
      <c r="AJ28" s="837" t="s">
        <v>8</v>
      </c>
      <c r="AK28" s="837" t="s">
        <v>8</v>
      </c>
      <c r="AL28" s="706" t="s">
        <v>8</v>
      </c>
      <c r="AM28" s="837" t="str">
        <f t="shared" si="1"/>
        <v>×</v>
      </c>
      <c r="AN28" s="837"/>
      <c r="AO28" s="837" t="str">
        <f t="shared" si="13"/>
        <v>×</v>
      </c>
      <c r="AP28" s="706" t="s">
        <v>8</v>
      </c>
      <c r="AQ28" s="706" t="s">
        <v>8</v>
      </c>
      <c r="AR28" s="706" t="s">
        <v>8</v>
      </c>
      <c r="AS28" s="706" t="s">
        <v>8</v>
      </c>
      <c r="AT28" s="706" t="s">
        <v>8</v>
      </c>
      <c r="AU28" s="706" t="s">
        <v>8</v>
      </c>
      <c r="AV28" s="706" t="s">
        <v>58</v>
      </c>
      <c r="AW28" s="837" t="str">
        <f t="shared" si="3"/>
        <v>×</v>
      </c>
      <c r="AX28" s="927" t="s">
        <v>8</v>
      </c>
      <c r="AY28" s="706" t="s">
        <v>8</v>
      </c>
      <c r="AZ28" s="928" t="s">
        <v>8</v>
      </c>
      <c r="BA28" s="839" t="str">
        <f t="shared" si="5"/>
        <v>×</v>
      </c>
      <c r="BB28" s="798" t="str">
        <f t="shared" si="6"/>
        <v>×</v>
      </c>
      <c r="BC28" s="797" t="str">
        <f t="shared" si="7"/>
        <v>×</v>
      </c>
      <c r="BD28" s="796" t="str">
        <f t="shared" si="8"/>
        <v>×</v>
      </c>
      <c r="BE28" s="798" t="str">
        <f t="shared" si="9"/>
        <v>×</v>
      </c>
      <c r="BF28" s="797" t="str">
        <f t="shared" si="10"/>
        <v>×</v>
      </c>
      <c r="BG28" s="799" t="s">
        <v>8</v>
      </c>
      <c r="BH28" s="800" t="str">
        <f t="shared" si="12"/>
        <v>×</v>
      </c>
      <c r="BI28" s="798" t="str">
        <f t="shared" si="14"/>
        <v>×</v>
      </c>
      <c r="BJ28" s="800" t="str">
        <f t="shared" si="15"/>
        <v>×</v>
      </c>
      <c r="BK28" s="796" t="str">
        <f t="shared" si="16"/>
        <v>×</v>
      </c>
      <c r="BL28" s="797" t="str">
        <f t="shared" si="17"/>
        <v>×</v>
      </c>
      <c r="BM28" s="799" t="str">
        <f t="shared" si="11"/>
        <v>×</v>
      </c>
      <c r="BN28" s="801" t="str">
        <f t="shared" si="18"/>
        <v>×</v>
      </c>
      <c r="BO28" s="1189"/>
    </row>
    <row r="29" spans="1:77" s="847" customFormat="1" ht="12" customHeight="1">
      <c r="A29" s="1076"/>
      <c r="B29" s="844" t="s">
        <v>705</v>
      </c>
      <c r="C29" s="834"/>
      <c r="D29" s="842">
        <v>0</v>
      </c>
      <c r="E29" s="843">
        <v>0</v>
      </c>
      <c r="F29" s="708" t="s">
        <v>8</v>
      </c>
      <c r="G29" s="836" t="s">
        <v>8</v>
      </c>
      <c r="H29" s="708" t="s">
        <v>8</v>
      </c>
      <c r="I29" s="836" t="s">
        <v>8</v>
      </c>
      <c r="J29" s="836" t="s">
        <v>8</v>
      </c>
      <c r="K29" s="708" t="str">
        <f t="shared" si="4"/>
        <v>×</v>
      </c>
      <c r="L29" s="706" t="s">
        <v>8</v>
      </c>
      <c r="M29" s="708" t="s">
        <v>8</v>
      </c>
      <c r="N29" s="706" t="s">
        <v>8</v>
      </c>
      <c r="O29" s="706" t="s">
        <v>8</v>
      </c>
      <c r="P29" s="706" t="s">
        <v>8</v>
      </c>
      <c r="Q29" s="706" t="s">
        <v>8</v>
      </c>
      <c r="R29" s="706" t="s">
        <v>8</v>
      </c>
      <c r="S29" s="706" t="s">
        <v>8</v>
      </c>
      <c r="T29" s="706" t="s">
        <v>8</v>
      </c>
      <c r="U29" s="706" t="s">
        <v>8</v>
      </c>
      <c r="V29" s="706" t="s">
        <v>8</v>
      </c>
      <c r="W29" s="706" t="s">
        <v>8</v>
      </c>
      <c r="X29" s="706" t="s">
        <v>8</v>
      </c>
      <c r="Y29" s="706" t="s">
        <v>8</v>
      </c>
      <c r="Z29" s="706" t="s">
        <v>8</v>
      </c>
      <c r="AA29" s="706" t="s">
        <v>8</v>
      </c>
      <c r="AB29" s="706" t="s">
        <v>8</v>
      </c>
      <c r="AC29" s="706" t="s">
        <v>8</v>
      </c>
      <c r="AD29" s="706" t="s">
        <v>8</v>
      </c>
      <c r="AE29" s="706" t="s">
        <v>8</v>
      </c>
      <c r="AF29" s="706" t="str">
        <f t="shared" si="0"/>
        <v>×</v>
      </c>
      <c r="AG29" s="706" t="s">
        <v>8</v>
      </c>
      <c r="AH29" s="706" t="s">
        <v>8</v>
      </c>
      <c r="AI29" s="706" t="s">
        <v>8</v>
      </c>
      <c r="AJ29" s="837" t="s">
        <v>8</v>
      </c>
      <c r="AK29" s="837" t="s">
        <v>8</v>
      </c>
      <c r="AL29" s="706" t="s">
        <v>8</v>
      </c>
      <c r="AM29" s="837" t="str">
        <f t="shared" si="1"/>
        <v>×</v>
      </c>
      <c r="AN29" s="837"/>
      <c r="AO29" s="837" t="str">
        <f t="shared" si="13"/>
        <v>×</v>
      </c>
      <c r="AP29" s="706" t="s">
        <v>8</v>
      </c>
      <c r="AQ29" s="706" t="s">
        <v>8</v>
      </c>
      <c r="AR29" s="706" t="s">
        <v>8</v>
      </c>
      <c r="AS29" s="706" t="s">
        <v>8</v>
      </c>
      <c r="AT29" s="706" t="s">
        <v>8</v>
      </c>
      <c r="AU29" s="706" t="s">
        <v>8</v>
      </c>
      <c r="AV29" s="706" t="s">
        <v>58</v>
      </c>
      <c r="AW29" s="837" t="str">
        <f t="shared" si="3"/>
        <v>×</v>
      </c>
      <c r="AX29" s="927" t="s">
        <v>8</v>
      </c>
      <c r="AY29" s="706" t="s">
        <v>8</v>
      </c>
      <c r="AZ29" s="928" t="s">
        <v>8</v>
      </c>
      <c r="BA29" s="839" t="str">
        <f t="shared" si="5"/>
        <v>×</v>
      </c>
      <c r="BB29" s="798" t="str">
        <f t="shared" si="6"/>
        <v>×</v>
      </c>
      <c r="BC29" s="797" t="str">
        <f t="shared" si="7"/>
        <v>×</v>
      </c>
      <c r="BD29" s="796" t="str">
        <f t="shared" si="8"/>
        <v>×</v>
      </c>
      <c r="BE29" s="798" t="str">
        <f t="shared" si="9"/>
        <v>×</v>
      </c>
      <c r="BF29" s="797" t="str">
        <f t="shared" si="10"/>
        <v>×</v>
      </c>
      <c r="BG29" s="799" t="s">
        <v>8</v>
      </c>
      <c r="BH29" s="800" t="str">
        <f t="shared" si="12"/>
        <v>×</v>
      </c>
      <c r="BI29" s="798" t="str">
        <f t="shared" si="14"/>
        <v>×</v>
      </c>
      <c r="BJ29" s="800" t="str">
        <f t="shared" si="15"/>
        <v>×</v>
      </c>
      <c r="BK29" s="796" t="str">
        <f t="shared" si="16"/>
        <v>×</v>
      </c>
      <c r="BL29" s="797" t="str">
        <f t="shared" si="17"/>
        <v>×</v>
      </c>
      <c r="BM29" s="799" t="str">
        <f t="shared" si="11"/>
        <v>×</v>
      </c>
      <c r="BN29" s="801" t="str">
        <f t="shared" si="18"/>
        <v>×</v>
      </c>
      <c r="BO29" s="1189"/>
      <c r="BP29" s="845"/>
      <c r="BQ29" s="845"/>
      <c r="BR29" s="845"/>
      <c r="BS29" s="845"/>
      <c r="BT29" s="845"/>
      <c r="BU29" s="845"/>
      <c r="BV29" s="845"/>
      <c r="BW29" s="846"/>
      <c r="BX29" s="846"/>
      <c r="BY29" s="1165"/>
    </row>
    <row r="30" spans="1:77" s="847" customFormat="1" ht="12" customHeight="1">
      <c r="A30" s="1076"/>
      <c r="B30" s="844" t="s">
        <v>706</v>
      </c>
      <c r="C30" s="834"/>
      <c r="D30" s="842">
        <v>0</v>
      </c>
      <c r="E30" s="843">
        <v>0</v>
      </c>
      <c r="F30" s="708" t="s">
        <v>8</v>
      </c>
      <c r="G30" s="836" t="s">
        <v>8</v>
      </c>
      <c r="H30" s="708" t="s">
        <v>8</v>
      </c>
      <c r="I30" s="836" t="s">
        <v>8</v>
      </c>
      <c r="J30" s="836" t="s">
        <v>8</v>
      </c>
      <c r="K30" s="708" t="str">
        <f t="shared" si="4"/>
        <v>×</v>
      </c>
      <c r="L30" s="706" t="s">
        <v>8</v>
      </c>
      <c r="M30" s="708" t="s">
        <v>8</v>
      </c>
      <c r="N30" s="706" t="s">
        <v>8</v>
      </c>
      <c r="O30" s="706" t="s">
        <v>8</v>
      </c>
      <c r="P30" s="706" t="s">
        <v>8</v>
      </c>
      <c r="Q30" s="706" t="s">
        <v>8</v>
      </c>
      <c r="R30" s="706" t="s">
        <v>8</v>
      </c>
      <c r="S30" s="706" t="s">
        <v>8</v>
      </c>
      <c r="T30" s="706" t="s">
        <v>8</v>
      </c>
      <c r="U30" s="706" t="s">
        <v>8</v>
      </c>
      <c r="V30" s="706" t="s">
        <v>8</v>
      </c>
      <c r="W30" s="706" t="s">
        <v>8</v>
      </c>
      <c r="X30" s="706" t="s">
        <v>8</v>
      </c>
      <c r="Y30" s="706" t="s">
        <v>8</v>
      </c>
      <c r="Z30" s="706" t="s">
        <v>8</v>
      </c>
      <c r="AA30" s="706" t="s">
        <v>8</v>
      </c>
      <c r="AB30" s="706" t="s">
        <v>8</v>
      </c>
      <c r="AC30" s="706" t="s">
        <v>8</v>
      </c>
      <c r="AD30" s="706" t="s">
        <v>8</v>
      </c>
      <c r="AE30" s="706" t="s">
        <v>8</v>
      </c>
      <c r="AF30" s="706" t="str">
        <f t="shared" si="0"/>
        <v>×</v>
      </c>
      <c r="AG30" s="706" t="s">
        <v>8</v>
      </c>
      <c r="AH30" s="706" t="s">
        <v>8</v>
      </c>
      <c r="AI30" s="706" t="s">
        <v>8</v>
      </c>
      <c r="AJ30" s="837" t="s">
        <v>8</v>
      </c>
      <c r="AK30" s="837" t="s">
        <v>8</v>
      </c>
      <c r="AL30" s="706" t="s">
        <v>8</v>
      </c>
      <c r="AM30" s="837" t="str">
        <f t="shared" si="1"/>
        <v>×</v>
      </c>
      <c r="AN30" s="837"/>
      <c r="AO30" s="837" t="str">
        <f t="shared" si="13"/>
        <v>×</v>
      </c>
      <c r="AP30" s="706" t="s">
        <v>8</v>
      </c>
      <c r="AQ30" s="706" t="s">
        <v>8</v>
      </c>
      <c r="AR30" s="706" t="s">
        <v>8</v>
      </c>
      <c r="AS30" s="706" t="s">
        <v>8</v>
      </c>
      <c r="AT30" s="706" t="s">
        <v>8</v>
      </c>
      <c r="AU30" s="706" t="s">
        <v>8</v>
      </c>
      <c r="AV30" s="706" t="s">
        <v>58</v>
      </c>
      <c r="AW30" s="837" t="str">
        <f t="shared" si="3"/>
        <v>×</v>
      </c>
      <c r="AX30" s="927" t="s">
        <v>8</v>
      </c>
      <c r="AY30" s="706" t="s">
        <v>8</v>
      </c>
      <c r="AZ30" s="928" t="s">
        <v>8</v>
      </c>
      <c r="BA30" s="839" t="str">
        <f t="shared" si="5"/>
        <v>×</v>
      </c>
      <c r="BB30" s="798" t="str">
        <f t="shared" si="6"/>
        <v>×</v>
      </c>
      <c r="BC30" s="797" t="str">
        <f t="shared" si="7"/>
        <v>×</v>
      </c>
      <c r="BD30" s="796" t="str">
        <f t="shared" si="8"/>
        <v>×</v>
      </c>
      <c r="BE30" s="798" t="str">
        <f t="shared" si="9"/>
        <v>×</v>
      </c>
      <c r="BF30" s="797" t="str">
        <f t="shared" si="10"/>
        <v>×</v>
      </c>
      <c r="BG30" s="799" t="s">
        <v>8</v>
      </c>
      <c r="BH30" s="800" t="str">
        <f t="shared" si="12"/>
        <v>×</v>
      </c>
      <c r="BI30" s="798" t="str">
        <f t="shared" si="14"/>
        <v>×</v>
      </c>
      <c r="BJ30" s="800" t="str">
        <f t="shared" si="15"/>
        <v>×</v>
      </c>
      <c r="BK30" s="796" t="str">
        <f t="shared" si="16"/>
        <v>×</v>
      </c>
      <c r="BL30" s="797" t="str">
        <f t="shared" si="17"/>
        <v>×</v>
      </c>
      <c r="BM30" s="799" t="str">
        <f t="shared" si="11"/>
        <v>×</v>
      </c>
      <c r="BN30" s="801" t="str">
        <f t="shared" si="18"/>
        <v>×</v>
      </c>
      <c r="BO30" s="1189"/>
      <c r="BP30" s="845"/>
      <c r="BQ30" s="845"/>
      <c r="BR30" s="845"/>
      <c r="BS30" s="845"/>
      <c r="BT30" s="845"/>
      <c r="BU30" s="845"/>
      <c r="BV30" s="845"/>
      <c r="BW30" s="846"/>
      <c r="BX30" s="846"/>
      <c r="BY30" s="1166"/>
    </row>
    <row r="31" spans="1:77" s="847" customFormat="1" ht="12" customHeight="1">
      <c r="A31" s="1076"/>
      <c r="B31" s="844" t="s">
        <v>707</v>
      </c>
      <c r="C31" s="842"/>
      <c r="D31" s="842">
        <v>0</v>
      </c>
      <c r="E31" s="843">
        <v>0</v>
      </c>
      <c r="F31" s="708" t="s">
        <v>8</v>
      </c>
      <c r="G31" s="836" t="s">
        <v>8</v>
      </c>
      <c r="H31" s="708" t="s">
        <v>8</v>
      </c>
      <c r="I31" s="836" t="s">
        <v>8</v>
      </c>
      <c r="J31" s="836" t="s">
        <v>8</v>
      </c>
      <c r="K31" s="708" t="str">
        <f t="shared" si="4"/>
        <v>×</v>
      </c>
      <c r="L31" s="706" t="s">
        <v>8</v>
      </c>
      <c r="M31" s="708" t="s">
        <v>8</v>
      </c>
      <c r="N31" s="706" t="s">
        <v>8</v>
      </c>
      <c r="O31" s="706" t="s">
        <v>8</v>
      </c>
      <c r="P31" s="706" t="s">
        <v>8</v>
      </c>
      <c r="Q31" s="706" t="s">
        <v>8</v>
      </c>
      <c r="R31" s="706" t="s">
        <v>8</v>
      </c>
      <c r="S31" s="706" t="s">
        <v>8</v>
      </c>
      <c r="T31" s="706" t="s">
        <v>8</v>
      </c>
      <c r="U31" s="706" t="s">
        <v>8</v>
      </c>
      <c r="V31" s="706" t="s">
        <v>8</v>
      </c>
      <c r="W31" s="706" t="s">
        <v>8</v>
      </c>
      <c r="X31" s="706" t="s">
        <v>8</v>
      </c>
      <c r="Y31" s="706" t="s">
        <v>8</v>
      </c>
      <c r="Z31" s="706" t="s">
        <v>8</v>
      </c>
      <c r="AA31" s="706" t="s">
        <v>8</v>
      </c>
      <c r="AB31" s="706" t="s">
        <v>8</v>
      </c>
      <c r="AC31" s="706" t="s">
        <v>8</v>
      </c>
      <c r="AD31" s="706" t="s">
        <v>8</v>
      </c>
      <c r="AE31" s="706" t="s">
        <v>8</v>
      </c>
      <c r="AF31" s="706" t="str">
        <f t="shared" si="0"/>
        <v>×</v>
      </c>
      <c r="AG31" s="706" t="s">
        <v>8</v>
      </c>
      <c r="AH31" s="706" t="s">
        <v>8</v>
      </c>
      <c r="AI31" s="706" t="s">
        <v>8</v>
      </c>
      <c r="AJ31" s="837" t="s">
        <v>8</v>
      </c>
      <c r="AK31" s="837" t="s">
        <v>8</v>
      </c>
      <c r="AL31" s="706" t="s">
        <v>8</v>
      </c>
      <c r="AM31" s="837" t="str">
        <f t="shared" si="1"/>
        <v>×</v>
      </c>
      <c r="AN31" s="837"/>
      <c r="AO31" s="837" t="str">
        <f t="shared" si="13"/>
        <v>×</v>
      </c>
      <c r="AP31" s="706" t="s">
        <v>8</v>
      </c>
      <c r="AQ31" s="706" t="s">
        <v>8</v>
      </c>
      <c r="AR31" s="706" t="s">
        <v>8</v>
      </c>
      <c r="AS31" s="706" t="s">
        <v>8</v>
      </c>
      <c r="AT31" s="706" t="s">
        <v>8</v>
      </c>
      <c r="AU31" s="706" t="s">
        <v>8</v>
      </c>
      <c r="AV31" s="706" t="s">
        <v>58</v>
      </c>
      <c r="AW31" s="837" t="str">
        <f t="shared" si="3"/>
        <v>×</v>
      </c>
      <c r="AX31" s="927" t="s">
        <v>8</v>
      </c>
      <c r="AY31" s="706" t="s">
        <v>8</v>
      </c>
      <c r="AZ31" s="928" t="s">
        <v>8</v>
      </c>
      <c r="BA31" s="839" t="str">
        <f t="shared" si="5"/>
        <v>×</v>
      </c>
      <c r="BB31" s="798" t="str">
        <f t="shared" si="6"/>
        <v>×</v>
      </c>
      <c r="BC31" s="797" t="str">
        <f t="shared" si="7"/>
        <v>×</v>
      </c>
      <c r="BD31" s="796" t="str">
        <f t="shared" si="8"/>
        <v>×</v>
      </c>
      <c r="BE31" s="798" t="str">
        <f t="shared" si="9"/>
        <v>×</v>
      </c>
      <c r="BF31" s="797" t="str">
        <f t="shared" si="10"/>
        <v>×</v>
      </c>
      <c r="BG31" s="799" t="s">
        <v>8</v>
      </c>
      <c r="BH31" s="800" t="str">
        <f t="shared" si="12"/>
        <v>×</v>
      </c>
      <c r="BI31" s="798" t="str">
        <f t="shared" si="14"/>
        <v>×</v>
      </c>
      <c r="BJ31" s="800" t="str">
        <f t="shared" si="15"/>
        <v>×</v>
      </c>
      <c r="BK31" s="796" t="str">
        <f t="shared" si="16"/>
        <v>×</v>
      </c>
      <c r="BL31" s="797" t="str">
        <f t="shared" si="17"/>
        <v>×</v>
      </c>
      <c r="BM31" s="799" t="str">
        <f t="shared" si="11"/>
        <v>×</v>
      </c>
      <c r="BN31" s="801" t="str">
        <f t="shared" si="18"/>
        <v>×</v>
      </c>
      <c r="BO31" s="1189"/>
      <c r="BP31" s="845"/>
      <c r="BQ31" s="845"/>
      <c r="BR31" s="845"/>
      <c r="BS31" s="845"/>
      <c r="BT31" s="845"/>
      <c r="BU31" s="845"/>
      <c r="BV31" s="845"/>
      <c r="BW31" s="846"/>
      <c r="BX31" s="846"/>
      <c r="BY31" s="1166"/>
    </row>
    <row r="32" spans="1:77" s="847" customFormat="1" ht="12" customHeight="1">
      <c r="A32" s="1076"/>
      <c r="B32" s="844" t="s">
        <v>708</v>
      </c>
      <c r="C32" s="842"/>
      <c r="D32" s="842">
        <v>0</v>
      </c>
      <c r="E32" s="843">
        <v>0</v>
      </c>
      <c r="F32" s="708" t="s">
        <v>8</v>
      </c>
      <c r="G32" s="836" t="s">
        <v>8</v>
      </c>
      <c r="H32" s="708" t="s">
        <v>8</v>
      </c>
      <c r="I32" s="836" t="s">
        <v>8</v>
      </c>
      <c r="J32" s="836" t="s">
        <v>8</v>
      </c>
      <c r="K32" s="708" t="str">
        <f t="shared" si="4"/>
        <v>×</v>
      </c>
      <c r="L32" s="706" t="s">
        <v>8</v>
      </c>
      <c r="M32" s="708" t="s">
        <v>8</v>
      </c>
      <c r="N32" s="706" t="s">
        <v>8</v>
      </c>
      <c r="O32" s="706" t="s">
        <v>8</v>
      </c>
      <c r="P32" s="706" t="s">
        <v>8</v>
      </c>
      <c r="Q32" s="706" t="s">
        <v>8</v>
      </c>
      <c r="R32" s="706" t="s">
        <v>8</v>
      </c>
      <c r="S32" s="706" t="s">
        <v>8</v>
      </c>
      <c r="T32" s="706" t="s">
        <v>8</v>
      </c>
      <c r="U32" s="706" t="s">
        <v>8</v>
      </c>
      <c r="V32" s="706" t="s">
        <v>8</v>
      </c>
      <c r="W32" s="706" t="s">
        <v>8</v>
      </c>
      <c r="X32" s="706" t="s">
        <v>8</v>
      </c>
      <c r="Y32" s="706" t="s">
        <v>8</v>
      </c>
      <c r="Z32" s="706" t="s">
        <v>8</v>
      </c>
      <c r="AA32" s="706" t="s">
        <v>8</v>
      </c>
      <c r="AB32" s="706" t="s">
        <v>8</v>
      </c>
      <c r="AC32" s="706" t="s">
        <v>8</v>
      </c>
      <c r="AD32" s="706" t="s">
        <v>8</v>
      </c>
      <c r="AE32" s="706" t="s">
        <v>8</v>
      </c>
      <c r="AF32" s="706" t="str">
        <f t="shared" si="0"/>
        <v>×</v>
      </c>
      <c r="AG32" s="706" t="s">
        <v>8</v>
      </c>
      <c r="AH32" s="706" t="s">
        <v>8</v>
      </c>
      <c r="AI32" s="706" t="s">
        <v>8</v>
      </c>
      <c r="AJ32" s="837" t="s">
        <v>8</v>
      </c>
      <c r="AK32" s="837" t="s">
        <v>8</v>
      </c>
      <c r="AL32" s="706" t="s">
        <v>8</v>
      </c>
      <c r="AM32" s="837" t="str">
        <f t="shared" si="1"/>
        <v>×</v>
      </c>
      <c r="AN32" s="837"/>
      <c r="AO32" s="837" t="str">
        <f t="shared" si="13"/>
        <v>×</v>
      </c>
      <c r="AP32" s="706" t="s">
        <v>8</v>
      </c>
      <c r="AQ32" s="706" t="s">
        <v>8</v>
      </c>
      <c r="AR32" s="706" t="s">
        <v>8</v>
      </c>
      <c r="AS32" s="706" t="s">
        <v>8</v>
      </c>
      <c r="AT32" s="706" t="s">
        <v>8</v>
      </c>
      <c r="AU32" s="706" t="s">
        <v>8</v>
      </c>
      <c r="AV32" s="706" t="s">
        <v>58</v>
      </c>
      <c r="AW32" s="837" t="str">
        <f t="shared" si="3"/>
        <v>×</v>
      </c>
      <c r="AX32" s="927" t="s">
        <v>8</v>
      </c>
      <c r="AY32" s="706" t="s">
        <v>8</v>
      </c>
      <c r="AZ32" s="928" t="s">
        <v>8</v>
      </c>
      <c r="BA32" s="839" t="str">
        <f t="shared" si="5"/>
        <v>×</v>
      </c>
      <c r="BB32" s="798" t="str">
        <f t="shared" si="6"/>
        <v>×</v>
      </c>
      <c r="BC32" s="797" t="str">
        <f t="shared" si="7"/>
        <v>×</v>
      </c>
      <c r="BD32" s="796" t="str">
        <f t="shared" si="8"/>
        <v>×</v>
      </c>
      <c r="BE32" s="798" t="str">
        <f t="shared" si="9"/>
        <v>×</v>
      </c>
      <c r="BF32" s="797" t="str">
        <f t="shared" si="10"/>
        <v>×</v>
      </c>
      <c r="BG32" s="799" t="s">
        <v>8</v>
      </c>
      <c r="BH32" s="800" t="str">
        <f t="shared" si="12"/>
        <v>×</v>
      </c>
      <c r="BI32" s="798" t="str">
        <f t="shared" si="14"/>
        <v>×</v>
      </c>
      <c r="BJ32" s="800" t="str">
        <f t="shared" si="15"/>
        <v>×</v>
      </c>
      <c r="BK32" s="796" t="str">
        <f t="shared" si="16"/>
        <v>×</v>
      </c>
      <c r="BL32" s="797" t="str">
        <f t="shared" si="17"/>
        <v>×</v>
      </c>
      <c r="BM32" s="799" t="str">
        <f t="shared" si="11"/>
        <v>×</v>
      </c>
      <c r="BN32" s="801" t="str">
        <f t="shared" si="18"/>
        <v>×</v>
      </c>
      <c r="BO32" s="1189"/>
      <c r="BP32" s="845"/>
      <c r="BQ32" s="845"/>
      <c r="BR32" s="845"/>
      <c r="BS32" s="845"/>
      <c r="BT32" s="845"/>
      <c r="BU32" s="845"/>
      <c r="BV32" s="845"/>
      <c r="BW32" s="846"/>
      <c r="BX32" s="846"/>
      <c r="BY32" s="1166"/>
    </row>
    <row r="33" spans="1:77" s="337" customFormat="1" ht="12" customHeight="1">
      <c r="A33" s="1076"/>
      <c r="B33" s="581" t="s">
        <v>851</v>
      </c>
      <c r="C33" s="591"/>
      <c r="D33" s="456">
        <v>106</v>
      </c>
      <c r="E33" s="420">
        <v>220</v>
      </c>
      <c r="F33" s="51" t="s">
        <v>637</v>
      </c>
      <c r="G33" s="586" t="s">
        <v>849</v>
      </c>
      <c r="H33" s="51" t="s">
        <v>637</v>
      </c>
      <c r="I33" s="592" t="s">
        <v>849</v>
      </c>
      <c r="J33" s="592" t="s">
        <v>849</v>
      </c>
      <c r="K33" s="51" t="s">
        <v>637</v>
      </c>
      <c r="L33" s="51" t="s">
        <v>637</v>
      </c>
      <c r="M33" s="34" t="s">
        <v>8</v>
      </c>
      <c r="N33" s="34" t="s">
        <v>637</v>
      </c>
      <c r="O33" s="34" t="s">
        <v>637</v>
      </c>
      <c r="P33" s="34" t="s">
        <v>637</v>
      </c>
      <c r="Q33" s="34" t="s">
        <v>637</v>
      </c>
      <c r="R33" s="34" t="s">
        <v>8</v>
      </c>
      <c r="S33" s="34" t="s">
        <v>850</v>
      </c>
      <c r="T33" s="34" t="s">
        <v>637</v>
      </c>
      <c r="U33" s="34" t="s">
        <v>637</v>
      </c>
      <c r="V33" s="706" t="s">
        <v>8</v>
      </c>
      <c r="W33" s="34" t="s">
        <v>8</v>
      </c>
      <c r="X33" s="34" t="s">
        <v>637</v>
      </c>
      <c r="Y33" s="34" t="s">
        <v>8</v>
      </c>
      <c r="Z33" s="34" t="s">
        <v>8</v>
      </c>
      <c r="AA33" s="34" t="s">
        <v>8</v>
      </c>
      <c r="AB33" s="34" t="s">
        <v>8</v>
      </c>
      <c r="AC33" s="34" t="s">
        <v>8</v>
      </c>
      <c r="AD33" s="706" t="s">
        <v>8</v>
      </c>
      <c r="AE33" s="34" t="s">
        <v>8</v>
      </c>
      <c r="AF33" s="34" t="str">
        <f t="shared" si="0"/>
        <v>×</v>
      </c>
      <c r="AG33" s="34" t="s">
        <v>8</v>
      </c>
      <c r="AH33" s="706" t="s">
        <v>8</v>
      </c>
      <c r="AI33" s="706" t="s">
        <v>8</v>
      </c>
      <c r="AJ33" s="36" t="s">
        <v>8</v>
      </c>
      <c r="AK33" s="36" t="s">
        <v>8</v>
      </c>
      <c r="AL33" s="34" t="s">
        <v>8</v>
      </c>
      <c r="AM33" s="36" t="str">
        <f t="shared" si="1"/>
        <v>×</v>
      </c>
      <c r="AN33" s="36"/>
      <c r="AO33" s="428" t="str">
        <f t="shared" si="13"/>
        <v>×</v>
      </c>
      <c r="AP33" s="706" t="s">
        <v>8</v>
      </c>
      <c r="AQ33" s="34" t="s">
        <v>8</v>
      </c>
      <c r="AR33" s="34" t="s">
        <v>8</v>
      </c>
      <c r="AS33" s="706" t="s">
        <v>8</v>
      </c>
      <c r="AT33" s="34" t="s">
        <v>8</v>
      </c>
      <c r="AU33" s="34" t="s">
        <v>8</v>
      </c>
      <c r="AV33" s="34" t="s">
        <v>849</v>
      </c>
      <c r="AW33" s="36" t="str">
        <f t="shared" si="3"/>
        <v>×</v>
      </c>
      <c r="AX33" s="927" t="s">
        <v>8</v>
      </c>
      <c r="AY33" s="706" t="s">
        <v>8</v>
      </c>
      <c r="AZ33" s="928" t="s">
        <v>8</v>
      </c>
      <c r="BA33" s="813" t="str">
        <f t="shared" si="5"/>
        <v>×</v>
      </c>
      <c r="BB33" s="767" t="str">
        <f t="shared" si="6"/>
        <v>×</v>
      </c>
      <c r="BC33" s="768" t="str">
        <f t="shared" si="7"/>
        <v>×</v>
      </c>
      <c r="BD33" s="765" t="str">
        <f t="shared" si="8"/>
        <v>×</v>
      </c>
      <c r="BE33" s="767" t="str">
        <f t="shared" si="9"/>
        <v>×</v>
      </c>
      <c r="BF33" s="768" t="str">
        <f t="shared" si="10"/>
        <v>×</v>
      </c>
      <c r="BG33" s="766" t="s">
        <v>8</v>
      </c>
      <c r="BH33" s="761" t="str">
        <f t="shared" si="12"/>
        <v>×</v>
      </c>
      <c r="BI33" s="758" t="str">
        <f t="shared" si="14"/>
        <v>×</v>
      </c>
      <c r="BJ33" s="761" t="str">
        <f t="shared" si="15"/>
        <v>×</v>
      </c>
      <c r="BK33" s="757" t="str">
        <f t="shared" si="16"/>
        <v>×</v>
      </c>
      <c r="BL33" s="759" t="str">
        <f t="shared" si="17"/>
        <v>×</v>
      </c>
      <c r="BM33" s="766" t="str">
        <f t="shared" si="11"/>
        <v>×</v>
      </c>
      <c r="BN33" s="762" t="str">
        <f t="shared" si="18"/>
        <v>×</v>
      </c>
      <c r="BO33" s="1189"/>
      <c r="BP33" s="339"/>
      <c r="BQ33" s="339"/>
      <c r="BR33" s="339"/>
      <c r="BS33" s="339"/>
      <c r="BT33" s="339"/>
      <c r="BU33" s="339"/>
      <c r="BV33" s="339"/>
      <c r="BW33" s="340"/>
      <c r="BX33" s="340"/>
      <c r="BY33" s="341"/>
    </row>
    <row r="34" spans="1:77" s="853" customFormat="1" ht="12" customHeight="1">
      <c r="A34" s="1076"/>
      <c r="B34" s="848" t="s">
        <v>709</v>
      </c>
      <c r="C34" s="849">
        <v>0</v>
      </c>
      <c r="D34" s="842">
        <v>0</v>
      </c>
      <c r="E34" s="843">
        <v>0</v>
      </c>
      <c r="F34" s="708" t="s">
        <v>8</v>
      </c>
      <c r="G34" s="836" t="s">
        <v>8</v>
      </c>
      <c r="H34" s="708" t="s">
        <v>8</v>
      </c>
      <c r="I34" s="836" t="s">
        <v>8</v>
      </c>
      <c r="J34" s="836" t="s">
        <v>8</v>
      </c>
      <c r="K34" s="708" t="str">
        <f>F34</f>
        <v>×</v>
      </c>
      <c r="L34" s="706" t="s">
        <v>8</v>
      </c>
      <c r="M34" s="708" t="s">
        <v>8</v>
      </c>
      <c r="N34" s="706" t="s">
        <v>8</v>
      </c>
      <c r="O34" s="706" t="s">
        <v>8</v>
      </c>
      <c r="P34" s="706" t="s">
        <v>8</v>
      </c>
      <c r="Q34" s="706" t="s">
        <v>8</v>
      </c>
      <c r="R34" s="706" t="s">
        <v>8</v>
      </c>
      <c r="S34" s="706" t="s">
        <v>8</v>
      </c>
      <c r="T34" s="706" t="s">
        <v>8</v>
      </c>
      <c r="U34" s="706" t="s">
        <v>8</v>
      </c>
      <c r="V34" s="706" t="s">
        <v>8</v>
      </c>
      <c r="W34" s="706" t="s">
        <v>8</v>
      </c>
      <c r="X34" s="706" t="s">
        <v>8</v>
      </c>
      <c r="Y34" s="706" t="s">
        <v>8</v>
      </c>
      <c r="Z34" s="706" t="s">
        <v>8</v>
      </c>
      <c r="AA34" s="706" t="s">
        <v>8</v>
      </c>
      <c r="AB34" s="706" t="s">
        <v>8</v>
      </c>
      <c r="AC34" s="706" t="s">
        <v>8</v>
      </c>
      <c r="AD34" s="706" t="s">
        <v>8</v>
      </c>
      <c r="AE34" s="706" t="s">
        <v>8</v>
      </c>
      <c r="AF34" s="706" t="str">
        <f t="shared" si="0"/>
        <v>×</v>
      </c>
      <c r="AG34" s="706" t="s">
        <v>8</v>
      </c>
      <c r="AH34" s="706" t="s">
        <v>8</v>
      </c>
      <c r="AI34" s="706" t="s">
        <v>8</v>
      </c>
      <c r="AJ34" s="837" t="s">
        <v>8</v>
      </c>
      <c r="AK34" s="837" t="s">
        <v>8</v>
      </c>
      <c r="AL34" s="706" t="s">
        <v>8</v>
      </c>
      <c r="AM34" s="837" t="str">
        <f t="shared" si="1"/>
        <v>×</v>
      </c>
      <c r="AN34" s="837"/>
      <c r="AO34" s="837" t="str">
        <f t="shared" si="13"/>
        <v>×</v>
      </c>
      <c r="AP34" s="706" t="s">
        <v>8</v>
      </c>
      <c r="AQ34" s="706" t="s">
        <v>8</v>
      </c>
      <c r="AR34" s="706" t="s">
        <v>8</v>
      </c>
      <c r="AS34" s="706" t="s">
        <v>8</v>
      </c>
      <c r="AT34" s="706" t="s">
        <v>8</v>
      </c>
      <c r="AU34" s="706" t="s">
        <v>8</v>
      </c>
      <c r="AV34" s="706" t="s">
        <v>58</v>
      </c>
      <c r="AW34" s="837" t="str">
        <f t="shared" si="3"/>
        <v>×</v>
      </c>
      <c r="AX34" s="927" t="s">
        <v>8</v>
      </c>
      <c r="AY34" s="706" t="s">
        <v>8</v>
      </c>
      <c r="AZ34" s="928" t="s">
        <v>8</v>
      </c>
      <c r="BA34" s="839" t="str">
        <f t="shared" si="5"/>
        <v>×</v>
      </c>
      <c r="BB34" s="798" t="str">
        <f t="shared" si="6"/>
        <v>×</v>
      </c>
      <c r="BC34" s="797" t="str">
        <f t="shared" si="7"/>
        <v>×</v>
      </c>
      <c r="BD34" s="796" t="str">
        <f t="shared" si="8"/>
        <v>×</v>
      </c>
      <c r="BE34" s="798" t="str">
        <f t="shared" si="9"/>
        <v>×</v>
      </c>
      <c r="BF34" s="797" t="str">
        <f t="shared" si="10"/>
        <v>×</v>
      </c>
      <c r="BG34" s="799" t="s">
        <v>8</v>
      </c>
      <c r="BH34" s="800" t="str">
        <f t="shared" si="12"/>
        <v>×</v>
      </c>
      <c r="BI34" s="798" t="str">
        <f t="shared" si="14"/>
        <v>×</v>
      </c>
      <c r="BJ34" s="800" t="str">
        <f t="shared" si="15"/>
        <v>×</v>
      </c>
      <c r="BK34" s="796" t="str">
        <f t="shared" si="16"/>
        <v>×</v>
      </c>
      <c r="BL34" s="797" t="str">
        <f t="shared" si="17"/>
        <v>×</v>
      </c>
      <c r="BM34" s="799" t="str">
        <f t="shared" si="11"/>
        <v>×</v>
      </c>
      <c r="BN34" s="801" t="str">
        <f t="shared" si="18"/>
        <v>×</v>
      </c>
      <c r="BO34" s="1189"/>
      <c r="BP34" s="850"/>
      <c r="BQ34" s="850"/>
      <c r="BR34" s="850"/>
      <c r="BS34" s="850"/>
      <c r="BT34" s="850"/>
      <c r="BU34" s="850"/>
      <c r="BV34" s="850"/>
      <c r="BW34" s="851"/>
      <c r="BX34" s="851"/>
      <c r="BY34" s="852"/>
    </row>
    <row r="35" spans="1:77" ht="13.5" customHeight="1">
      <c r="A35" s="1076"/>
      <c r="B35" s="549" t="s">
        <v>683</v>
      </c>
      <c r="C35" s="27">
        <v>0</v>
      </c>
      <c r="D35" s="160">
        <v>0</v>
      </c>
      <c r="E35" s="161">
        <v>0</v>
      </c>
      <c r="F35" s="51" t="s">
        <v>8</v>
      </c>
      <c r="G35" s="568" t="s">
        <v>8</v>
      </c>
      <c r="H35" s="51" t="s">
        <v>637</v>
      </c>
      <c r="I35" s="568" t="s">
        <v>8</v>
      </c>
      <c r="J35" s="568" t="s">
        <v>8</v>
      </c>
      <c r="K35" s="51" t="str">
        <f>F35</f>
        <v>×</v>
      </c>
      <c r="L35" s="34" t="s">
        <v>637</v>
      </c>
      <c r="M35" s="34" t="s">
        <v>8</v>
      </c>
      <c r="N35" s="34" t="s">
        <v>637</v>
      </c>
      <c r="O35" s="34" t="s">
        <v>637</v>
      </c>
      <c r="P35" s="34" t="s">
        <v>637</v>
      </c>
      <c r="Q35" s="34" t="s">
        <v>637</v>
      </c>
      <c r="R35" s="34" t="s">
        <v>58</v>
      </c>
      <c r="S35" s="34" t="s">
        <v>637</v>
      </c>
      <c r="T35" s="34" t="s">
        <v>637</v>
      </c>
      <c r="U35" s="34" t="s">
        <v>637</v>
      </c>
      <c r="V35" s="706" t="s">
        <v>8</v>
      </c>
      <c r="W35" s="34" t="s">
        <v>8</v>
      </c>
      <c r="X35" s="34" t="s">
        <v>637</v>
      </c>
      <c r="Y35" s="395" t="s">
        <v>8</v>
      </c>
      <c r="Z35" s="395" t="s">
        <v>8</v>
      </c>
      <c r="AA35" s="395" t="s">
        <v>8</v>
      </c>
      <c r="AB35" s="34" t="s">
        <v>637</v>
      </c>
      <c r="AC35" s="34" t="s">
        <v>8</v>
      </c>
      <c r="AD35" s="706" t="s">
        <v>8</v>
      </c>
      <c r="AE35" s="34" t="s">
        <v>8</v>
      </c>
      <c r="AF35" s="395" t="str">
        <f t="shared" si="0"/>
        <v>×</v>
      </c>
      <c r="AG35" s="34" t="s">
        <v>8</v>
      </c>
      <c r="AH35" s="706" t="s">
        <v>8</v>
      </c>
      <c r="AI35" s="706" t="s">
        <v>8</v>
      </c>
      <c r="AJ35" s="36" t="s">
        <v>8</v>
      </c>
      <c r="AK35" s="36" t="s">
        <v>8</v>
      </c>
      <c r="AL35" s="34" t="s">
        <v>8</v>
      </c>
      <c r="AM35" s="428" t="str">
        <f t="shared" si="1"/>
        <v>×</v>
      </c>
      <c r="AN35" s="428"/>
      <c r="AO35" s="428" t="str">
        <f t="shared" si="13"/>
        <v>×</v>
      </c>
      <c r="AP35" s="706" t="s">
        <v>8</v>
      </c>
      <c r="AQ35" s="34" t="s">
        <v>8</v>
      </c>
      <c r="AR35" s="395" t="s">
        <v>8</v>
      </c>
      <c r="AS35" s="706" t="s">
        <v>8</v>
      </c>
      <c r="AT35" s="34" t="s">
        <v>8</v>
      </c>
      <c r="AU35" s="34" t="s">
        <v>8</v>
      </c>
      <c r="AV35" s="395" t="s">
        <v>58</v>
      </c>
      <c r="AW35" s="428" t="str">
        <f t="shared" si="3"/>
        <v>×</v>
      </c>
      <c r="AX35" s="927" t="s">
        <v>8</v>
      </c>
      <c r="AY35" s="706" t="s">
        <v>8</v>
      </c>
      <c r="AZ35" s="928" t="s">
        <v>8</v>
      </c>
      <c r="BA35" s="813" t="str">
        <f t="shared" si="5"/>
        <v>×</v>
      </c>
      <c r="BB35" s="767" t="str">
        <f t="shared" si="6"/>
        <v>×</v>
      </c>
      <c r="BC35" s="768" t="str">
        <f t="shared" si="7"/>
        <v>×</v>
      </c>
      <c r="BD35" s="765" t="str">
        <f t="shared" si="8"/>
        <v>×</v>
      </c>
      <c r="BE35" s="767" t="str">
        <f t="shared" si="9"/>
        <v>×</v>
      </c>
      <c r="BF35" s="768" t="str">
        <f t="shared" si="10"/>
        <v>×</v>
      </c>
      <c r="BG35" s="760" t="s">
        <v>8</v>
      </c>
      <c r="BH35" s="761" t="str">
        <f t="shared" si="12"/>
        <v>×</v>
      </c>
      <c r="BI35" s="758" t="str">
        <f t="shared" si="14"/>
        <v>×</v>
      </c>
      <c r="BJ35" s="761" t="str">
        <f t="shared" si="15"/>
        <v>×</v>
      </c>
      <c r="BK35" s="757" t="str">
        <f t="shared" si="16"/>
        <v>×</v>
      </c>
      <c r="BL35" s="759" t="str">
        <f t="shared" si="17"/>
        <v>×</v>
      </c>
      <c r="BM35" s="760" t="str">
        <f t="shared" si="11"/>
        <v>×</v>
      </c>
      <c r="BN35" s="762" t="str">
        <f t="shared" si="18"/>
        <v>×</v>
      </c>
      <c r="BO35" s="1189"/>
    </row>
    <row r="36" spans="1:77" s="853" customFormat="1" ht="12" customHeight="1" thickBot="1">
      <c r="A36" s="856"/>
      <c r="B36" s="848" t="s">
        <v>710</v>
      </c>
      <c r="C36" s="849">
        <v>0</v>
      </c>
      <c r="D36" s="857">
        <v>0</v>
      </c>
      <c r="E36" s="858">
        <v>0</v>
      </c>
      <c r="F36" s="859" t="s">
        <v>8</v>
      </c>
      <c r="G36" s="836" t="s">
        <v>8</v>
      </c>
      <c r="H36" s="860" t="s">
        <v>8</v>
      </c>
      <c r="I36" s="836" t="s">
        <v>8</v>
      </c>
      <c r="J36" s="836" t="s">
        <v>8</v>
      </c>
      <c r="K36" s="860" t="s">
        <v>8</v>
      </c>
      <c r="L36" s="860" t="s">
        <v>8</v>
      </c>
      <c r="M36" s="860" t="s">
        <v>8</v>
      </c>
      <c r="N36" s="860" t="s">
        <v>8</v>
      </c>
      <c r="O36" s="860" t="s">
        <v>8</v>
      </c>
      <c r="P36" s="860" t="s">
        <v>8</v>
      </c>
      <c r="Q36" s="860" t="s">
        <v>8</v>
      </c>
      <c r="R36" s="860" t="s">
        <v>8</v>
      </c>
      <c r="S36" s="860" t="s">
        <v>8</v>
      </c>
      <c r="T36" s="860" t="s">
        <v>8</v>
      </c>
      <c r="U36" s="860" t="s">
        <v>8</v>
      </c>
      <c r="V36" s="706" t="s">
        <v>8</v>
      </c>
      <c r="W36" s="860" t="s">
        <v>8</v>
      </c>
      <c r="X36" s="860" t="str">
        <f>$V:$V</f>
        <v>×</v>
      </c>
      <c r="Y36" s="860" t="s">
        <v>8</v>
      </c>
      <c r="Z36" s="860" t="s">
        <v>8</v>
      </c>
      <c r="AA36" s="706" t="s">
        <v>8</v>
      </c>
      <c r="AB36" s="860" t="s">
        <v>8</v>
      </c>
      <c r="AC36" s="860" t="s">
        <v>8</v>
      </c>
      <c r="AD36" s="706" t="s">
        <v>8</v>
      </c>
      <c r="AE36" s="860" t="s">
        <v>8</v>
      </c>
      <c r="AF36" s="860" t="str">
        <f t="shared" si="0"/>
        <v>×</v>
      </c>
      <c r="AG36" s="860" t="s">
        <v>8</v>
      </c>
      <c r="AH36" s="706" t="s">
        <v>8</v>
      </c>
      <c r="AI36" s="706" t="s">
        <v>8</v>
      </c>
      <c r="AJ36" s="860" t="s">
        <v>8</v>
      </c>
      <c r="AK36" s="837" t="s">
        <v>8</v>
      </c>
      <c r="AL36" s="860" t="s">
        <v>8</v>
      </c>
      <c r="AM36" s="860" t="str">
        <f t="shared" si="1"/>
        <v>×</v>
      </c>
      <c r="AN36" s="860"/>
      <c r="AO36" s="837" t="str">
        <f t="shared" si="13"/>
        <v>×</v>
      </c>
      <c r="AP36" s="706" t="s">
        <v>8</v>
      </c>
      <c r="AQ36" s="860" t="str">
        <f>$X:$X</f>
        <v>×</v>
      </c>
      <c r="AR36" s="860" t="str">
        <f>$Z:$Z</f>
        <v>×</v>
      </c>
      <c r="AS36" s="706" t="s">
        <v>8</v>
      </c>
      <c r="AT36" s="860" t="str">
        <f>$AB:$AB</f>
        <v>×</v>
      </c>
      <c r="AU36" s="706" t="s">
        <v>8</v>
      </c>
      <c r="AV36" s="706" t="s">
        <v>58</v>
      </c>
      <c r="AW36" s="919" t="str">
        <f t="shared" si="3"/>
        <v>×</v>
      </c>
      <c r="AX36" s="927" t="s">
        <v>8</v>
      </c>
      <c r="AY36" s="706" t="s">
        <v>8</v>
      </c>
      <c r="AZ36" s="928" t="s">
        <v>8</v>
      </c>
      <c r="BA36" s="839" t="str">
        <f t="shared" si="5"/>
        <v>×</v>
      </c>
      <c r="BB36" s="798" t="str">
        <f t="shared" si="6"/>
        <v>×</v>
      </c>
      <c r="BC36" s="797" t="str">
        <f t="shared" si="7"/>
        <v>×</v>
      </c>
      <c r="BD36" s="861" t="str">
        <f t="shared" si="8"/>
        <v>×</v>
      </c>
      <c r="BE36" s="798" t="str">
        <f t="shared" si="9"/>
        <v>×</v>
      </c>
      <c r="BF36" s="797" t="str">
        <f t="shared" si="10"/>
        <v>×</v>
      </c>
      <c r="BG36" s="862" t="s">
        <v>8</v>
      </c>
      <c r="BH36" s="800" t="str">
        <f t="shared" si="12"/>
        <v>×</v>
      </c>
      <c r="BI36" s="798" t="str">
        <f t="shared" si="14"/>
        <v>×</v>
      </c>
      <c r="BJ36" s="800" t="str">
        <f t="shared" si="15"/>
        <v>×</v>
      </c>
      <c r="BK36" s="796" t="str">
        <f t="shared" si="16"/>
        <v>×</v>
      </c>
      <c r="BL36" s="797" t="str">
        <f t="shared" si="17"/>
        <v>×</v>
      </c>
      <c r="BM36" s="799" t="str">
        <f t="shared" si="11"/>
        <v>×</v>
      </c>
      <c r="BN36" s="801" t="str">
        <f t="shared" si="18"/>
        <v>×</v>
      </c>
      <c r="BO36" s="1190"/>
      <c r="BP36" s="850"/>
      <c r="BQ36" s="850"/>
      <c r="BR36" s="850"/>
      <c r="BS36" s="850"/>
      <c r="BT36" s="850"/>
      <c r="BU36" s="850"/>
      <c r="BV36" s="850"/>
      <c r="BW36" s="851"/>
      <c r="BX36" s="851"/>
      <c r="BY36" s="852"/>
    </row>
    <row r="37" spans="1:77" ht="13.5" customHeight="1">
      <c r="A37" s="1211" t="s">
        <v>207</v>
      </c>
      <c r="B37" s="548" t="s">
        <v>711</v>
      </c>
      <c r="C37" s="27">
        <v>0</v>
      </c>
      <c r="D37" s="162">
        <v>106</v>
      </c>
      <c r="E37" s="420">
        <v>176</v>
      </c>
      <c r="F37" s="51" t="s">
        <v>637</v>
      </c>
      <c r="G37" s="568" t="s">
        <v>8</v>
      </c>
      <c r="H37" s="51" t="s">
        <v>58</v>
      </c>
      <c r="I37" s="568" t="s">
        <v>8</v>
      </c>
      <c r="J37" s="568" t="s">
        <v>8</v>
      </c>
      <c r="K37" s="51" t="str">
        <f t="shared" ref="K37:K56" si="21">F37</f>
        <v>○</v>
      </c>
      <c r="L37" s="34" t="s">
        <v>637</v>
      </c>
      <c r="M37" s="51" t="s">
        <v>637</v>
      </c>
      <c r="N37" s="34" t="s">
        <v>637</v>
      </c>
      <c r="O37" s="34" t="s">
        <v>637</v>
      </c>
      <c r="P37" s="34" t="s">
        <v>637</v>
      </c>
      <c r="Q37" s="34" t="s">
        <v>637</v>
      </c>
      <c r="R37" s="34" t="s">
        <v>637</v>
      </c>
      <c r="S37" s="34" t="s">
        <v>637</v>
      </c>
      <c r="T37" s="34" t="s">
        <v>637</v>
      </c>
      <c r="U37" s="34" t="s">
        <v>637</v>
      </c>
      <c r="V37" s="706" t="s">
        <v>8</v>
      </c>
      <c r="W37" s="34" t="s">
        <v>637</v>
      </c>
      <c r="X37" s="395" t="s">
        <v>637</v>
      </c>
      <c r="Y37" s="395" t="s">
        <v>637</v>
      </c>
      <c r="Z37" s="34" t="s">
        <v>637</v>
      </c>
      <c r="AA37" s="34" t="s">
        <v>8</v>
      </c>
      <c r="AB37" s="34" t="s">
        <v>637</v>
      </c>
      <c r="AC37" s="34" t="s">
        <v>637</v>
      </c>
      <c r="AD37" s="706" t="s">
        <v>8</v>
      </c>
      <c r="AE37" s="34" t="s">
        <v>637</v>
      </c>
      <c r="AF37" s="34" t="str">
        <f t="shared" ref="AF37:AF68" si="22">$Y:$Y</f>
        <v>○</v>
      </c>
      <c r="AG37" s="34" t="s">
        <v>637</v>
      </c>
      <c r="AH37" s="706" t="s">
        <v>8</v>
      </c>
      <c r="AI37" s="706" t="s">
        <v>8</v>
      </c>
      <c r="AJ37" s="36" t="s">
        <v>637</v>
      </c>
      <c r="AK37" s="36" t="s">
        <v>8</v>
      </c>
      <c r="AL37" s="34" t="s">
        <v>8</v>
      </c>
      <c r="AM37" s="36" t="str">
        <f t="shared" ref="AM37:AM68" si="23">$Y:$Y</f>
        <v>○</v>
      </c>
      <c r="AN37" s="36"/>
      <c r="AO37" s="428" t="str">
        <f t="shared" si="13"/>
        <v>○</v>
      </c>
      <c r="AP37" s="706" t="s">
        <v>8</v>
      </c>
      <c r="AQ37" s="34" t="s">
        <v>637</v>
      </c>
      <c r="AR37" s="34" t="s">
        <v>637</v>
      </c>
      <c r="AS37" s="706" t="s">
        <v>8</v>
      </c>
      <c r="AT37" s="34" t="s">
        <v>8</v>
      </c>
      <c r="AU37" s="34" t="str">
        <f t="shared" ref="AU37" si="24">$Z:$Z</f>
        <v>○</v>
      </c>
      <c r="AV37" s="395" t="s">
        <v>58</v>
      </c>
      <c r="AW37" s="428" t="str">
        <f t="shared" ref="AW37:AW68" si="25">$AA:$AA</f>
        <v>×</v>
      </c>
      <c r="AX37" s="927" t="s">
        <v>8</v>
      </c>
      <c r="AY37" s="706" t="s">
        <v>8</v>
      </c>
      <c r="AZ37" s="928" t="s">
        <v>8</v>
      </c>
      <c r="BA37" s="813" t="str">
        <f t="shared" si="5"/>
        <v>×</v>
      </c>
      <c r="BB37" s="767" t="str">
        <f t="shared" si="6"/>
        <v>×</v>
      </c>
      <c r="BC37" s="768" t="str">
        <f t="shared" si="7"/>
        <v>×</v>
      </c>
      <c r="BD37" s="765" t="str">
        <f t="shared" si="8"/>
        <v>×</v>
      </c>
      <c r="BE37" s="767" t="str">
        <f t="shared" si="9"/>
        <v>○</v>
      </c>
      <c r="BF37" s="768" t="str">
        <f t="shared" si="10"/>
        <v>○</v>
      </c>
      <c r="BG37" s="766" t="s">
        <v>8</v>
      </c>
      <c r="BH37" s="761" t="str">
        <f t="shared" si="12"/>
        <v>○</v>
      </c>
      <c r="BI37" s="758" t="str">
        <f t="shared" si="14"/>
        <v>×</v>
      </c>
      <c r="BJ37" s="761" t="str">
        <f t="shared" si="15"/>
        <v>×</v>
      </c>
      <c r="BK37" s="757" t="str">
        <f t="shared" si="16"/>
        <v>×</v>
      </c>
      <c r="BL37" s="759" t="str">
        <f t="shared" si="17"/>
        <v>×</v>
      </c>
      <c r="BM37" s="760" t="str">
        <f t="shared" si="11"/>
        <v>○</v>
      </c>
      <c r="BN37" s="762" t="str">
        <f t="shared" si="18"/>
        <v>○</v>
      </c>
      <c r="BO37" s="381"/>
    </row>
    <row r="38" spans="1:77" s="840" customFormat="1" ht="13.5" customHeight="1">
      <c r="A38" s="1167"/>
      <c r="B38" s="832" t="s">
        <v>712</v>
      </c>
      <c r="C38" s="841">
        <v>0</v>
      </c>
      <c r="D38" s="842">
        <v>0</v>
      </c>
      <c r="E38" s="843">
        <v>0</v>
      </c>
      <c r="F38" s="708" t="s">
        <v>8</v>
      </c>
      <c r="G38" s="836" t="s">
        <v>8</v>
      </c>
      <c r="H38" s="708" t="s">
        <v>8</v>
      </c>
      <c r="I38" s="836" t="s">
        <v>8</v>
      </c>
      <c r="J38" s="836" t="s">
        <v>8</v>
      </c>
      <c r="K38" s="708" t="str">
        <f t="shared" si="21"/>
        <v>×</v>
      </c>
      <c r="L38" s="706" t="s">
        <v>8</v>
      </c>
      <c r="M38" s="708" t="s">
        <v>8</v>
      </c>
      <c r="N38" s="706" t="s">
        <v>8</v>
      </c>
      <c r="O38" s="706" t="s">
        <v>8</v>
      </c>
      <c r="P38" s="706" t="s">
        <v>8</v>
      </c>
      <c r="Q38" s="706" t="s">
        <v>8</v>
      </c>
      <c r="R38" s="706" t="s">
        <v>8</v>
      </c>
      <c r="S38" s="706" t="s">
        <v>8</v>
      </c>
      <c r="T38" s="706" t="s">
        <v>8</v>
      </c>
      <c r="U38" s="706" t="s">
        <v>8</v>
      </c>
      <c r="V38" s="706" t="s">
        <v>8</v>
      </c>
      <c r="W38" s="706" t="s">
        <v>8</v>
      </c>
      <c r="X38" s="706" t="s">
        <v>8</v>
      </c>
      <c r="Y38" s="706" t="s">
        <v>8</v>
      </c>
      <c r="Z38" s="706" t="s">
        <v>8</v>
      </c>
      <c r="AA38" s="706" t="s">
        <v>8</v>
      </c>
      <c r="AB38" s="706" t="s">
        <v>8</v>
      </c>
      <c r="AC38" s="706" t="s">
        <v>8</v>
      </c>
      <c r="AD38" s="706" t="s">
        <v>8</v>
      </c>
      <c r="AE38" s="706" t="s">
        <v>8</v>
      </c>
      <c r="AF38" s="706" t="str">
        <f t="shared" si="22"/>
        <v>×</v>
      </c>
      <c r="AG38" s="706" t="s">
        <v>8</v>
      </c>
      <c r="AH38" s="706" t="s">
        <v>8</v>
      </c>
      <c r="AI38" s="706" t="s">
        <v>8</v>
      </c>
      <c r="AJ38" s="837" t="s">
        <v>8</v>
      </c>
      <c r="AK38" s="837" t="s">
        <v>8</v>
      </c>
      <c r="AL38" s="706" t="s">
        <v>8</v>
      </c>
      <c r="AM38" s="837" t="str">
        <f t="shared" si="23"/>
        <v>×</v>
      </c>
      <c r="AN38" s="837"/>
      <c r="AO38" s="837" t="str">
        <f t="shared" si="13"/>
        <v>×</v>
      </c>
      <c r="AP38" s="706" t="s">
        <v>8</v>
      </c>
      <c r="AQ38" s="706" t="s">
        <v>8</v>
      </c>
      <c r="AR38" s="706" t="s">
        <v>8</v>
      </c>
      <c r="AS38" s="706" t="s">
        <v>8</v>
      </c>
      <c r="AT38" s="706" t="s">
        <v>8</v>
      </c>
      <c r="AU38" s="706" t="s">
        <v>8</v>
      </c>
      <c r="AV38" s="739" t="s">
        <v>58</v>
      </c>
      <c r="AW38" s="920" t="str">
        <f t="shared" si="25"/>
        <v>×</v>
      </c>
      <c r="AX38" s="927" t="s">
        <v>8</v>
      </c>
      <c r="AY38" s="706" t="s">
        <v>8</v>
      </c>
      <c r="AZ38" s="928" t="s">
        <v>8</v>
      </c>
      <c r="BA38" s="839" t="str">
        <f t="shared" si="5"/>
        <v>×</v>
      </c>
      <c r="BB38" s="798" t="str">
        <f t="shared" si="6"/>
        <v>×</v>
      </c>
      <c r="BC38" s="797" t="str">
        <f t="shared" si="7"/>
        <v>×</v>
      </c>
      <c r="BD38" s="796" t="str">
        <f t="shared" si="8"/>
        <v>×</v>
      </c>
      <c r="BE38" s="798" t="str">
        <f t="shared" si="9"/>
        <v>×</v>
      </c>
      <c r="BF38" s="854" t="str">
        <f t="shared" si="10"/>
        <v>×</v>
      </c>
      <c r="BG38" s="799" t="s">
        <v>8</v>
      </c>
      <c r="BH38" s="800" t="str">
        <f t="shared" si="12"/>
        <v>×</v>
      </c>
      <c r="BI38" s="798" t="str">
        <f t="shared" si="14"/>
        <v>×</v>
      </c>
      <c r="BJ38" s="800" t="str">
        <f t="shared" si="15"/>
        <v>×</v>
      </c>
      <c r="BK38" s="796" t="str">
        <f t="shared" si="16"/>
        <v>×</v>
      </c>
      <c r="BL38" s="797" t="str">
        <f t="shared" si="17"/>
        <v>×</v>
      </c>
      <c r="BM38" s="802" t="str">
        <f t="shared" si="11"/>
        <v>×</v>
      </c>
      <c r="BN38" s="801" t="str">
        <f t="shared" si="18"/>
        <v>×</v>
      </c>
      <c r="BO38" s="855"/>
    </row>
    <row r="39" spans="1:77" ht="13.5" customHeight="1">
      <c r="A39" s="1167"/>
      <c r="B39" s="882" t="s">
        <v>1037</v>
      </c>
      <c r="C39" s="27">
        <v>0</v>
      </c>
      <c r="D39" s="456">
        <v>106</v>
      </c>
      <c r="E39" s="420">
        <v>176</v>
      </c>
      <c r="F39" s="51" t="s">
        <v>637</v>
      </c>
      <c r="G39" s="568" t="s">
        <v>8</v>
      </c>
      <c r="H39" s="51" t="s">
        <v>58</v>
      </c>
      <c r="I39" s="568" t="s">
        <v>8</v>
      </c>
      <c r="J39" s="568" t="s">
        <v>8</v>
      </c>
      <c r="K39" s="51" t="str">
        <f t="shared" si="21"/>
        <v>○</v>
      </c>
      <c r="L39" s="34" t="s">
        <v>637</v>
      </c>
      <c r="M39" s="51" t="s">
        <v>637</v>
      </c>
      <c r="N39" s="34" t="s">
        <v>637</v>
      </c>
      <c r="O39" s="34" t="s">
        <v>637</v>
      </c>
      <c r="P39" s="34" t="s">
        <v>637</v>
      </c>
      <c r="Q39" s="34" t="s">
        <v>637</v>
      </c>
      <c r="R39" s="34" t="s">
        <v>8</v>
      </c>
      <c r="S39" s="34" t="s">
        <v>637</v>
      </c>
      <c r="T39" s="34" t="s">
        <v>637</v>
      </c>
      <c r="U39" s="34" t="s">
        <v>637</v>
      </c>
      <c r="V39" s="706" t="s">
        <v>8</v>
      </c>
      <c r="W39" s="34" t="s">
        <v>637</v>
      </c>
      <c r="X39" s="395" t="s">
        <v>637</v>
      </c>
      <c r="Y39" s="395" t="s">
        <v>637</v>
      </c>
      <c r="Z39" s="34" t="s">
        <v>8</v>
      </c>
      <c r="AA39" s="34" t="s">
        <v>8</v>
      </c>
      <c r="AB39" s="34" t="s">
        <v>637</v>
      </c>
      <c r="AC39" s="34" t="s">
        <v>637</v>
      </c>
      <c r="AD39" s="706" t="s">
        <v>8</v>
      </c>
      <c r="AE39" s="34" t="s">
        <v>637</v>
      </c>
      <c r="AF39" s="34" t="str">
        <f t="shared" si="22"/>
        <v>○</v>
      </c>
      <c r="AG39" s="34" t="s">
        <v>637</v>
      </c>
      <c r="AH39" s="706" t="s">
        <v>8</v>
      </c>
      <c r="AI39" s="706" t="s">
        <v>8</v>
      </c>
      <c r="AJ39" s="36" t="s">
        <v>637</v>
      </c>
      <c r="AK39" s="36" t="s">
        <v>8</v>
      </c>
      <c r="AL39" s="34" t="s">
        <v>8</v>
      </c>
      <c r="AM39" s="36" t="str">
        <f t="shared" si="23"/>
        <v>○</v>
      </c>
      <c r="AN39" s="36"/>
      <c r="AO39" s="428" t="str">
        <f t="shared" si="13"/>
        <v>×</v>
      </c>
      <c r="AP39" s="706" t="s">
        <v>8</v>
      </c>
      <c r="AQ39" s="34" t="s">
        <v>637</v>
      </c>
      <c r="AR39" s="34" t="s">
        <v>637</v>
      </c>
      <c r="AS39" s="706" t="s">
        <v>8</v>
      </c>
      <c r="AT39" s="34" t="s">
        <v>8</v>
      </c>
      <c r="AU39" s="34" t="str">
        <f t="shared" ref="AU39:AU43" si="26">$Z:$Z</f>
        <v>×</v>
      </c>
      <c r="AV39" s="62" t="s">
        <v>58</v>
      </c>
      <c r="AW39" s="36" t="str">
        <f t="shared" si="25"/>
        <v>×</v>
      </c>
      <c r="AX39" s="927" t="s">
        <v>8</v>
      </c>
      <c r="AY39" s="706" t="s">
        <v>8</v>
      </c>
      <c r="AZ39" s="928" t="s">
        <v>8</v>
      </c>
      <c r="BA39" s="813" t="str">
        <f t="shared" si="5"/>
        <v>×</v>
      </c>
      <c r="BB39" s="767" t="str">
        <f t="shared" si="6"/>
        <v>×</v>
      </c>
      <c r="BC39" s="768" t="str">
        <f t="shared" si="7"/>
        <v>×</v>
      </c>
      <c r="BD39" s="765" t="str">
        <f t="shared" si="8"/>
        <v>×</v>
      </c>
      <c r="BE39" s="767" t="str">
        <f t="shared" si="9"/>
        <v>×</v>
      </c>
      <c r="BF39" s="819" t="str">
        <f t="shared" si="10"/>
        <v>×</v>
      </c>
      <c r="BG39" s="766" t="s">
        <v>8</v>
      </c>
      <c r="BH39" s="761" t="str">
        <f t="shared" si="12"/>
        <v>×</v>
      </c>
      <c r="BI39" s="758" t="str">
        <f t="shared" si="14"/>
        <v>×</v>
      </c>
      <c r="BJ39" s="761" t="str">
        <f t="shared" si="15"/>
        <v>×</v>
      </c>
      <c r="BK39" s="757" t="str">
        <f t="shared" si="16"/>
        <v>×</v>
      </c>
      <c r="BL39" s="759" t="str">
        <f t="shared" si="17"/>
        <v>×</v>
      </c>
      <c r="BM39" s="786" t="str">
        <f t="shared" si="11"/>
        <v>×</v>
      </c>
      <c r="BN39" s="762" t="str">
        <f t="shared" si="18"/>
        <v>×</v>
      </c>
      <c r="BO39" s="537"/>
    </row>
    <row r="40" spans="1:77" ht="13.5" customHeight="1">
      <c r="A40" s="1167"/>
      <c r="B40" s="548" t="s">
        <v>714</v>
      </c>
      <c r="C40" s="27">
        <v>0</v>
      </c>
      <c r="D40" s="456">
        <v>177</v>
      </c>
      <c r="E40" s="420">
        <v>220</v>
      </c>
      <c r="F40" s="51" t="s">
        <v>637</v>
      </c>
      <c r="G40" s="568" t="s">
        <v>8</v>
      </c>
      <c r="H40" s="51" t="s">
        <v>58</v>
      </c>
      <c r="I40" s="568" t="s">
        <v>8</v>
      </c>
      <c r="J40" s="568" t="s">
        <v>8</v>
      </c>
      <c r="K40" s="51" t="str">
        <f t="shared" si="21"/>
        <v>○</v>
      </c>
      <c r="L40" s="34" t="s">
        <v>637</v>
      </c>
      <c r="M40" s="34" t="s">
        <v>637</v>
      </c>
      <c r="N40" s="34" t="s">
        <v>637</v>
      </c>
      <c r="O40" s="34" t="s">
        <v>637</v>
      </c>
      <c r="P40" s="34" t="s">
        <v>637</v>
      </c>
      <c r="Q40" s="34" t="s">
        <v>637</v>
      </c>
      <c r="R40" s="34" t="s">
        <v>637</v>
      </c>
      <c r="S40" s="34" t="s">
        <v>637</v>
      </c>
      <c r="T40" s="34" t="s">
        <v>637</v>
      </c>
      <c r="U40" s="34" t="s">
        <v>637</v>
      </c>
      <c r="V40" s="706" t="s">
        <v>8</v>
      </c>
      <c r="W40" s="34" t="s">
        <v>637</v>
      </c>
      <c r="X40" s="395" t="s">
        <v>637</v>
      </c>
      <c r="Y40" s="395" t="s">
        <v>637</v>
      </c>
      <c r="Z40" s="34" t="s">
        <v>637</v>
      </c>
      <c r="AA40" s="34" t="s">
        <v>8</v>
      </c>
      <c r="AB40" s="34" t="s">
        <v>637</v>
      </c>
      <c r="AC40" s="34" t="s">
        <v>637</v>
      </c>
      <c r="AD40" s="706" t="s">
        <v>8</v>
      </c>
      <c r="AE40" s="34" t="s">
        <v>637</v>
      </c>
      <c r="AF40" s="34" t="str">
        <f t="shared" si="22"/>
        <v>○</v>
      </c>
      <c r="AG40" s="34" t="s">
        <v>637</v>
      </c>
      <c r="AH40" s="706" t="s">
        <v>8</v>
      </c>
      <c r="AI40" s="706" t="s">
        <v>8</v>
      </c>
      <c r="AJ40" s="36" t="s">
        <v>637</v>
      </c>
      <c r="AK40" s="36" t="s">
        <v>8</v>
      </c>
      <c r="AL40" s="34" t="s">
        <v>8</v>
      </c>
      <c r="AM40" s="34" t="str">
        <f t="shared" si="23"/>
        <v>○</v>
      </c>
      <c r="AN40" s="36"/>
      <c r="AO40" s="428" t="str">
        <f t="shared" si="13"/>
        <v>○</v>
      </c>
      <c r="AP40" s="706" t="s">
        <v>8</v>
      </c>
      <c r="AQ40" s="34" t="s">
        <v>8</v>
      </c>
      <c r="AR40" s="34" t="s">
        <v>638</v>
      </c>
      <c r="AS40" s="706" t="s">
        <v>8</v>
      </c>
      <c r="AT40" s="34" t="s">
        <v>8</v>
      </c>
      <c r="AU40" s="34" t="str">
        <f t="shared" si="26"/>
        <v>○</v>
      </c>
      <c r="AV40" s="62" t="s">
        <v>58</v>
      </c>
      <c r="AW40" s="36" t="str">
        <f t="shared" si="25"/>
        <v>×</v>
      </c>
      <c r="AX40" s="927" t="s">
        <v>8</v>
      </c>
      <c r="AY40" s="706" t="s">
        <v>8</v>
      </c>
      <c r="AZ40" s="928" t="s">
        <v>8</v>
      </c>
      <c r="BA40" s="813" t="str">
        <f t="shared" si="5"/>
        <v>×</v>
      </c>
      <c r="BB40" s="767" t="str">
        <f t="shared" si="6"/>
        <v>×</v>
      </c>
      <c r="BC40" s="768" t="str">
        <f t="shared" si="7"/>
        <v>×</v>
      </c>
      <c r="BD40" s="765" t="str">
        <f t="shared" si="8"/>
        <v>×</v>
      </c>
      <c r="BE40" s="767" t="str">
        <f t="shared" si="9"/>
        <v>○</v>
      </c>
      <c r="BF40" s="819" t="str">
        <f t="shared" si="10"/>
        <v>○</v>
      </c>
      <c r="BG40" s="766" t="s">
        <v>8</v>
      </c>
      <c r="BH40" s="761" t="str">
        <f t="shared" si="12"/>
        <v>○</v>
      </c>
      <c r="BI40" s="758" t="str">
        <f t="shared" si="14"/>
        <v>×</v>
      </c>
      <c r="BJ40" s="761" t="str">
        <f t="shared" si="15"/>
        <v>×</v>
      </c>
      <c r="BK40" s="757" t="str">
        <f t="shared" si="16"/>
        <v>×</v>
      </c>
      <c r="BL40" s="759" t="str">
        <f t="shared" si="17"/>
        <v>×</v>
      </c>
      <c r="BM40" s="786" t="str">
        <f t="shared" si="11"/>
        <v>○</v>
      </c>
      <c r="BN40" s="762" t="str">
        <f t="shared" si="18"/>
        <v>○</v>
      </c>
      <c r="BO40" s="537"/>
    </row>
    <row r="41" spans="1:77" ht="13.5" customHeight="1">
      <c r="A41" s="1167"/>
      <c r="B41" s="882" t="s">
        <v>1038</v>
      </c>
      <c r="C41" s="27">
        <v>0</v>
      </c>
      <c r="D41" s="456">
        <v>177</v>
      </c>
      <c r="E41" s="420">
        <v>220</v>
      </c>
      <c r="F41" s="51" t="s">
        <v>637</v>
      </c>
      <c r="G41" s="568" t="s">
        <v>8</v>
      </c>
      <c r="H41" s="51" t="s">
        <v>58</v>
      </c>
      <c r="I41" s="568" t="s">
        <v>8</v>
      </c>
      <c r="J41" s="568" t="s">
        <v>8</v>
      </c>
      <c r="K41" s="51" t="str">
        <f t="shared" si="21"/>
        <v>○</v>
      </c>
      <c r="L41" s="34" t="s">
        <v>637</v>
      </c>
      <c r="M41" s="34" t="s">
        <v>637</v>
      </c>
      <c r="N41" s="34" t="s">
        <v>637</v>
      </c>
      <c r="O41" s="34" t="s">
        <v>637</v>
      </c>
      <c r="P41" s="34" t="s">
        <v>637</v>
      </c>
      <c r="Q41" s="34" t="s">
        <v>637</v>
      </c>
      <c r="R41" s="34" t="s">
        <v>8</v>
      </c>
      <c r="S41" s="34" t="s">
        <v>637</v>
      </c>
      <c r="T41" s="34" t="s">
        <v>637</v>
      </c>
      <c r="U41" s="34" t="s">
        <v>637</v>
      </c>
      <c r="V41" s="706" t="s">
        <v>8</v>
      </c>
      <c r="W41" s="34" t="s">
        <v>637</v>
      </c>
      <c r="X41" s="395" t="s">
        <v>637</v>
      </c>
      <c r="Y41" s="395" t="s">
        <v>637</v>
      </c>
      <c r="Z41" s="34" t="s">
        <v>8</v>
      </c>
      <c r="AA41" s="34" t="s">
        <v>8</v>
      </c>
      <c r="AB41" s="34" t="s">
        <v>637</v>
      </c>
      <c r="AC41" s="34" t="s">
        <v>637</v>
      </c>
      <c r="AD41" s="706" t="s">
        <v>8</v>
      </c>
      <c r="AE41" s="34" t="s">
        <v>637</v>
      </c>
      <c r="AF41" s="34" t="str">
        <f t="shared" si="22"/>
        <v>○</v>
      </c>
      <c r="AG41" s="34" t="s">
        <v>637</v>
      </c>
      <c r="AH41" s="706" t="s">
        <v>8</v>
      </c>
      <c r="AI41" s="706" t="s">
        <v>8</v>
      </c>
      <c r="AJ41" s="36" t="s">
        <v>637</v>
      </c>
      <c r="AK41" s="36" t="s">
        <v>8</v>
      </c>
      <c r="AL41" s="34" t="s">
        <v>8</v>
      </c>
      <c r="AM41" s="34" t="str">
        <f t="shared" si="23"/>
        <v>○</v>
      </c>
      <c r="AN41" s="36"/>
      <c r="AO41" s="428" t="str">
        <f t="shared" si="13"/>
        <v>×</v>
      </c>
      <c r="AP41" s="706" t="s">
        <v>8</v>
      </c>
      <c r="AQ41" s="34" t="s">
        <v>8</v>
      </c>
      <c r="AR41" s="34" t="s">
        <v>638</v>
      </c>
      <c r="AS41" s="706" t="s">
        <v>8</v>
      </c>
      <c r="AT41" s="34" t="s">
        <v>8</v>
      </c>
      <c r="AU41" s="34" t="str">
        <f t="shared" si="26"/>
        <v>×</v>
      </c>
      <c r="AV41" s="62" t="s">
        <v>58</v>
      </c>
      <c r="AW41" s="36" t="str">
        <f t="shared" si="25"/>
        <v>×</v>
      </c>
      <c r="AX41" s="927" t="s">
        <v>8</v>
      </c>
      <c r="AY41" s="706" t="s">
        <v>8</v>
      </c>
      <c r="AZ41" s="928" t="s">
        <v>8</v>
      </c>
      <c r="BA41" s="813" t="str">
        <f t="shared" si="5"/>
        <v>×</v>
      </c>
      <c r="BB41" s="767" t="str">
        <f t="shared" si="6"/>
        <v>×</v>
      </c>
      <c r="BC41" s="768" t="str">
        <f t="shared" si="7"/>
        <v>×</v>
      </c>
      <c r="BD41" s="765" t="str">
        <f t="shared" si="8"/>
        <v>×</v>
      </c>
      <c r="BE41" s="767" t="str">
        <f t="shared" si="9"/>
        <v>×</v>
      </c>
      <c r="BF41" s="819" t="str">
        <f t="shared" si="10"/>
        <v>×</v>
      </c>
      <c r="BG41" s="766" t="s">
        <v>8</v>
      </c>
      <c r="BH41" s="761" t="str">
        <f t="shared" si="12"/>
        <v>×</v>
      </c>
      <c r="BI41" s="758" t="str">
        <f t="shared" si="14"/>
        <v>×</v>
      </c>
      <c r="BJ41" s="761" t="str">
        <f t="shared" si="15"/>
        <v>×</v>
      </c>
      <c r="BK41" s="757" t="str">
        <f t="shared" si="16"/>
        <v>×</v>
      </c>
      <c r="BL41" s="759" t="str">
        <f t="shared" si="17"/>
        <v>×</v>
      </c>
      <c r="BM41" s="786" t="str">
        <f t="shared" si="11"/>
        <v>×</v>
      </c>
      <c r="BN41" s="762" t="str">
        <f t="shared" si="18"/>
        <v>×</v>
      </c>
      <c r="BO41" s="537"/>
    </row>
    <row r="42" spans="1:77" ht="13.5" customHeight="1">
      <c r="A42" s="1167"/>
      <c r="B42" s="551" t="s">
        <v>716</v>
      </c>
      <c r="C42" s="422">
        <v>0</v>
      </c>
      <c r="D42" s="456">
        <v>221</v>
      </c>
      <c r="E42" s="420">
        <v>300</v>
      </c>
      <c r="F42" s="51" t="s">
        <v>637</v>
      </c>
      <c r="G42" s="592" t="s">
        <v>8</v>
      </c>
      <c r="H42" s="51" t="s">
        <v>8</v>
      </c>
      <c r="I42" s="592" t="s">
        <v>8</v>
      </c>
      <c r="J42" s="592" t="s">
        <v>8</v>
      </c>
      <c r="K42" s="51" t="str">
        <f t="shared" si="21"/>
        <v>○</v>
      </c>
      <c r="L42" s="34" t="s">
        <v>637</v>
      </c>
      <c r="M42" s="34" t="s">
        <v>637</v>
      </c>
      <c r="N42" s="34" t="s">
        <v>637</v>
      </c>
      <c r="O42" s="34" t="s">
        <v>637</v>
      </c>
      <c r="P42" s="34" t="s">
        <v>637</v>
      </c>
      <c r="Q42" s="34" t="s">
        <v>637</v>
      </c>
      <c r="R42" s="34" t="s">
        <v>637</v>
      </c>
      <c r="S42" s="34" t="s">
        <v>637</v>
      </c>
      <c r="T42" s="34" t="s">
        <v>637</v>
      </c>
      <c r="U42" s="34" t="s">
        <v>637</v>
      </c>
      <c r="V42" s="706" t="s">
        <v>8</v>
      </c>
      <c r="W42" s="34" t="s">
        <v>638</v>
      </c>
      <c r="X42" s="34" t="s">
        <v>637</v>
      </c>
      <c r="Y42" s="34" t="s">
        <v>637</v>
      </c>
      <c r="Z42" s="34" t="s">
        <v>8</v>
      </c>
      <c r="AA42" s="34" t="s">
        <v>8</v>
      </c>
      <c r="AB42" s="34" t="s">
        <v>637</v>
      </c>
      <c r="AC42" s="34" t="s">
        <v>637</v>
      </c>
      <c r="AD42" s="706" t="s">
        <v>8</v>
      </c>
      <c r="AE42" s="34" t="s">
        <v>637</v>
      </c>
      <c r="AF42" s="34" t="str">
        <f t="shared" si="22"/>
        <v>○</v>
      </c>
      <c r="AG42" s="34" t="s">
        <v>637</v>
      </c>
      <c r="AH42" s="706" t="s">
        <v>8</v>
      </c>
      <c r="AI42" s="706" t="s">
        <v>8</v>
      </c>
      <c r="AJ42" s="34" t="s">
        <v>638</v>
      </c>
      <c r="AK42" s="36" t="s">
        <v>8</v>
      </c>
      <c r="AL42" s="34" t="s">
        <v>8</v>
      </c>
      <c r="AM42" s="34" t="str">
        <f t="shared" si="23"/>
        <v>○</v>
      </c>
      <c r="AN42" s="34"/>
      <c r="AO42" s="428" t="str">
        <f t="shared" si="13"/>
        <v>×</v>
      </c>
      <c r="AP42" s="706" t="s">
        <v>8</v>
      </c>
      <c r="AQ42" s="34" t="s">
        <v>8</v>
      </c>
      <c r="AR42" s="34" t="s">
        <v>8</v>
      </c>
      <c r="AS42" s="706" t="s">
        <v>8</v>
      </c>
      <c r="AT42" s="34" t="s">
        <v>8</v>
      </c>
      <c r="AU42" s="34" t="str">
        <f t="shared" si="26"/>
        <v>×</v>
      </c>
      <c r="AV42" s="62" t="s">
        <v>58</v>
      </c>
      <c r="AW42" s="301" t="str">
        <f t="shared" si="25"/>
        <v>×</v>
      </c>
      <c r="AX42" s="927" t="s">
        <v>8</v>
      </c>
      <c r="AY42" s="706" t="s">
        <v>8</v>
      </c>
      <c r="AZ42" s="928" t="s">
        <v>8</v>
      </c>
      <c r="BA42" s="813" t="str">
        <f t="shared" si="5"/>
        <v>×</v>
      </c>
      <c r="BB42" s="767" t="str">
        <f t="shared" si="6"/>
        <v>×</v>
      </c>
      <c r="BC42" s="768" t="str">
        <f t="shared" si="7"/>
        <v>×</v>
      </c>
      <c r="BD42" s="765" t="str">
        <f t="shared" si="8"/>
        <v>×</v>
      </c>
      <c r="BE42" s="767" t="str">
        <f t="shared" si="9"/>
        <v>×</v>
      </c>
      <c r="BF42" s="819" t="str">
        <f t="shared" si="10"/>
        <v>×</v>
      </c>
      <c r="BG42" s="766" t="s">
        <v>8</v>
      </c>
      <c r="BH42" s="761" t="str">
        <f t="shared" si="12"/>
        <v>○</v>
      </c>
      <c r="BI42" s="758" t="str">
        <f t="shared" si="14"/>
        <v>×</v>
      </c>
      <c r="BJ42" s="761" t="str">
        <f t="shared" si="15"/>
        <v>×</v>
      </c>
      <c r="BK42" s="757" t="str">
        <f t="shared" si="16"/>
        <v>×</v>
      </c>
      <c r="BL42" s="759" t="str">
        <f t="shared" si="17"/>
        <v>×</v>
      </c>
      <c r="BM42" s="787" t="str">
        <f t="shared" si="11"/>
        <v>×</v>
      </c>
      <c r="BN42" s="762" t="str">
        <f t="shared" si="18"/>
        <v>×</v>
      </c>
      <c r="BO42" s="538"/>
    </row>
    <row r="43" spans="1:77" ht="13.5" customHeight="1">
      <c r="A43" s="1167"/>
      <c r="B43" s="551" t="s">
        <v>717</v>
      </c>
      <c r="C43" s="422">
        <v>0</v>
      </c>
      <c r="D43" s="456">
        <v>221</v>
      </c>
      <c r="E43" s="420">
        <v>300</v>
      </c>
      <c r="F43" s="51" t="s">
        <v>637</v>
      </c>
      <c r="G43" s="592" t="s">
        <v>8</v>
      </c>
      <c r="H43" s="51" t="s">
        <v>8</v>
      </c>
      <c r="I43" s="592" t="s">
        <v>8</v>
      </c>
      <c r="J43" s="592" t="s">
        <v>8</v>
      </c>
      <c r="K43" s="51" t="str">
        <f t="shared" si="21"/>
        <v>○</v>
      </c>
      <c r="L43" s="34" t="s">
        <v>637</v>
      </c>
      <c r="M43" s="34" t="s">
        <v>637</v>
      </c>
      <c r="N43" s="34" t="s">
        <v>637</v>
      </c>
      <c r="O43" s="34" t="s">
        <v>637</v>
      </c>
      <c r="P43" s="34" t="s">
        <v>637</v>
      </c>
      <c r="Q43" s="34" t="s">
        <v>637</v>
      </c>
      <c r="R43" s="34" t="s">
        <v>8</v>
      </c>
      <c r="S43" s="34" t="s">
        <v>637</v>
      </c>
      <c r="T43" s="34" t="s">
        <v>637</v>
      </c>
      <c r="U43" s="34" t="s">
        <v>637</v>
      </c>
      <c r="V43" s="706" t="s">
        <v>8</v>
      </c>
      <c r="W43" s="34" t="s">
        <v>638</v>
      </c>
      <c r="X43" s="34" t="s">
        <v>637</v>
      </c>
      <c r="Y43" s="34" t="s">
        <v>637</v>
      </c>
      <c r="Z43" s="34" t="s">
        <v>8</v>
      </c>
      <c r="AA43" s="34" t="s">
        <v>8</v>
      </c>
      <c r="AB43" s="34" t="s">
        <v>637</v>
      </c>
      <c r="AC43" s="34" t="s">
        <v>637</v>
      </c>
      <c r="AD43" s="706" t="s">
        <v>8</v>
      </c>
      <c r="AE43" s="34" t="s">
        <v>637</v>
      </c>
      <c r="AF43" s="34" t="str">
        <f t="shared" si="22"/>
        <v>○</v>
      </c>
      <c r="AG43" s="34" t="s">
        <v>637</v>
      </c>
      <c r="AH43" s="706" t="s">
        <v>8</v>
      </c>
      <c r="AI43" s="706" t="s">
        <v>8</v>
      </c>
      <c r="AJ43" s="34" t="s">
        <v>638</v>
      </c>
      <c r="AK43" s="36" t="s">
        <v>8</v>
      </c>
      <c r="AL43" s="34" t="s">
        <v>8</v>
      </c>
      <c r="AM43" s="34" t="str">
        <f t="shared" si="23"/>
        <v>○</v>
      </c>
      <c r="AN43" s="34"/>
      <c r="AO43" s="428" t="str">
        <f t="shared" si="13"/>
        <v>×</v>
      </c>
      <c r="AP43" s="706" t="s">
        <v>8</v>
      </c>
      <c r="AQ43" s="34" t="s">
        <v>8</v>
      </c>
      <c r="AR43" s="34" t="s">
        <v>8</v>
      </c>
      <c r="AS43" s="706" t="s">
        <v>8</v>
      </c>
      <c r="AT43" s="34" t="s">
        <v>8</v>
      </c>
      <c r="AU43" s="395" t="str">
        <f t="shared" si="26"/>
        <v>×</v>
      </c>
      <c r="AV43" s="62" t="s">
        <v>58</v>
      </c>
      <c r="AW43" s="301" t="str">
        <f t="shared" si="25"/>
        <v>×</v>
      </c>
      <c r="AX43" s="927" t="s">
        <v>8</v>
      </c>
      <c r="AY43" s="706" t="s">
        <v>8</v>
      </c>
      <c r="AZ43" s="928" t="s">
        <v>8</v>
      </c>
      <c r="BA43" s="813" t="str">
        <f t="shared" si="5"/>
        <v>×</v>
      </c>
      <c r="BB43" s="767" t="str">
        <f t="shared" si="6"/>
        <v>×</v>
      </c>
      <c r="BC43" s="768" t="str">
        <f t="shared" si="7"/>
        <v>×</v>
      </c>
      <c r="BD43" s="765" t="str">
        <f t="shared" si="8"/>
        <v>×</v>
      </c>
      <c r="BE43" s="767" t="str">
        <f t="shared" si="9"/>
        <v>×</v>
      </c>
      <c r="BF43" s="819" t="str">
        <f t="shared" si="10"/>
        <v>×</v>
      </c>
      <c r="BG43" s="766" t="s">
        <v>8</v>
      </c>
      <c r="BH43" s="761" t="str">
        <f t="shared" si="12"/>
        <v>×</v>
      </c>
      <c r="BI43" s="758" t="str">
        <f t="shared" si="14"/>
        <v>×</v>
      </c>
      <c r="BJ43" s="761" t="str">
        <f t="shared" si="15"/>
        <v>×</v>
      </c>
      <c r="BK43" s="757" t="str">
        <f t="shared" si="16"/>
        <v>×</v>
      </c>
      <c r="BL43" s="759" t="str">
        <f t="shared" si="17"/>
        <v>×</v>
      </c>
      <c r="BM43" s="787" t="str">
        <f t="shared" si="11"/>
        <v>×</v>
      </c>
      <c r="BN43" s="762" t="str">
        <f t="shared" si="18"/>
        <v>×</v>
      </c>
      <c r="BO43" s="538"/>
    </row>
    <row r="44" spans="1:77" s="840" customFormat="1" ht="13.5" customHeight="1">
      <c r="A44" s="1167"/>
      <c r="B44" s="863" t="s">
        <v>718</v>
      </c>
      <c r="C44" s="841">
        <v>0</v>
      </c>
      <c r="D44" s="842">
        <v>0</v>
      </c>
      <c r="E44" s="843">
        <v>0</v>
      </c>
      <c r="F44" s="708" t="s">
        <v>8</v>
      </c>
      <c r="G44" s="836" t="s">
        <v>8</v>
      </c>
      <c r="H44" s="708" t="s">
        <v>8</v>
      </c>
      <c r="I44" s="836" t="s">
        <v>8</v>
      </c>
      <c r="J44" s="836" t="s">
        <v>8</v>
      </c>
      <c r="K44" s="708" t="str">
        <f t="shared" si="21"/>
        <v>×</v>
      </c>
      <c r="L44" s="706" t="s">
        <v>8</v>
      </c>
      <c r="M44" s="708" t="s">
        <v>8</v>
      </c>
      <c r="N44" s="706" t="str">
        <f t="shared" ref="N44:R45" si="27">$L:$L</f>
        <v>×</v>
      </c>
      <c r="O44" s="706" t="str">
        <f t="shared" si="27"/>
        <v>×</v>
      </c>
      <c r="P44" s="706" t="str">
        <f t="shared" si="27"/>
        <v>×</v>
      </c>
      <c r="Q44" s="706" t="str">
        <f t="shared" si="27"/>
        <v>×</v>
      </c>
      <c r="R44" s="706" t="str">
        <f t="shared" si="27"/>
        <v>×</v>
      </c>
      <c r="S44" s="706" t="s">
        <v>8</v>
      </c>
      <c r="T44" s="706" t="s">
        <v>8</v>
      </c>
      <c r="U44" s="706" t="s">
        <v>8</v>
      </c>
      <c r="V44" s="706" t="s">
        <v>8</v>
      </c>
      <c r="W44" s="706" t="s">
        <v>8</v>
      </c>
      <c r="X44" s="706" t="s">
        <v>8</v>
      </c>
      <c r="Y44" s="706" t="s">
        <v>8</v>
      </c>
      <c r="Z44" s="706" t="s">
        <v>8</v>
      </c>
      <c r="AA44" s="706" t="s">
        <v>8</v>
      </c>
      <c r="AB44" s="706" t="s">
        <v>8</v>
      </c>
      <c r="AC44" s="706" t="s">
        <v>8</v>
      </c>
      <c r="AD44" s="706" t="s">
        <v>8</v>
      </c>
      <c r="AE44" s="706" t="s">
        <v>8</v>
      </c>
      <c r="AF44" s="706" t="str">
        <f t="shared" si="22"/>
        <v>×</v>
      </c>
      <c r="AG44" s="706" t="s">
        <v>8</v>
      </c>
      <c r="AH44" s="706" t="s">
        <v>8</v>
      </c>
      <c r="AI44" s="706" t="s">
        <v>8</v>
      </c>
      <c r="AJ44" s="706" t="s">
        <v>8</v>
      </c>
      <c r="AK44" s="837" t="s">
        <v>8</v>
      </c>
      <c r="AL44" s="706" t="s">
        <v>8</v>
      </c>
      <c r="AM44" s="706" t="str">
        <f t="shared" si="23"/>
        <v>×</v>
      </c>
      <c r="AN44" s="706"/>
      <c r="AO44" s="837" t="str">
        <f t="shared" si="13"/>
        <v>×</v>
      </c>
      <c r="AP44" s="706" t="s">
        <v>8</v>
      </c>
      <c r="AQ44" s="706" t="s">
        <v>8</v>
      </c>
      <c r="AR44" s="706" t="s">
        <v>8</v>
      </c>
      <c r="AS44" s="706" t="s">
        <v>8</v>
      </c>
      <c r="AT44" s="706" t="s">
        <v>8</v>
      </c>
      <c r="AU44" s="706" t="s">
        <v>8</v>
      </c>
      <c r="AV44" s="739" t="s">
        <v>58</v>
      </c>
      <c r="AW44" s="920" t="str">
        <f t="shared" si="25"/>
        <v>×</v>
      </c>
      <c r="AX44" s="927" t="s">
        <v>8</v>
      </c>
      <c r="AY44" s="706" t="s">
        <v>8</v>
      </c>
      <c r="AZ44" s="928" t="s">
        <v>8</v>
      </c>
      <c r="BA44" s="839" t="str">
        <f t="shared" si="5"/>
        <v>×</v>
      </c>
      <c r="BB44" s="798" t="str">
        <f t="shared" si="6"/>
        <v>×</v>
      </c>
      <c r="BC44" s="797" t="str">
        <f t="shared" si="7"/>
        <v>×</v>
      </c>
      <c r="BD44" s="796" t="str">
        <f t="shared" si="8"/>
        <v>×</v>
      </c>
      <c r="BE44" s="798" t="str">
        <f t="shared" si="9"/>
        <v>×</v>
      </c>
      <c r="BF44" s="854" t="str">
        <f t="shared" si="10"/>
        <v>×</v>
      </c>
      <c r="BG44" s="799" t="s">
        <v>8</v>
      </c>
      <c r="BH44" s="800" t="str">
        <f t="shared" si="12"/>
        <v>×</v>
      </c>
      <c r="BI44" s="798" t="str">
        <f t="shared" si="14"/>
        <v>×</v>
      </c>
      <c r="BJ44" s="800" t="str">
        <f t="shared" si="15"/>
        <v>×</v>
      </c>
      <c r="BK44" s="796" t="str">
        <f t="shared" si="16"/>
        <v>×</v>
      </c>
      <c r="BL44" s="797" t="str">
        <f t="shared" si="17"/>
        <v>×</v>
      </c>
      <c r="BM44" s="802" t="str">
        <f t="shared" si="11"/>
        <v>×</v>
      </c>
      <c r="BN44" s="801" t="str">
        <f t="shared" si="18"/>
        <v>×</v>
      </c>
      <c r="BO44" s="864"/>
    </row>
    <row r="45" spans="1:77" s="840" customFormat="1" ht="13.5" customHeight="1" thickBot="1">
      <c r="A45" s="1212"/>
      <c r="B45" s="863" t="s">
        <v>719</v>
      </c>
      <c r="C45" s="841">
        <v>0</v>
      </c>
      <c r="D45" s="842">
        <v>0</v>
      </c>
      <c r="E45" s="843">
        <v>0</v>
      </c>
      <c r="F45" s="708" t="s">
        <v>8</v>
      </c>
      <c r="G45" s="836" t="s">
        <v>8</v>
      </c>
      <c r="H45" s="708" t="s">
        <v>8</v>
      </c>
      <c r="I45" s="836" t="s">
        <v>8</v>
      </c>
      <c r="J45" s="836" t="s">
        <v>8</v>
      </c>
      <c r="K45" s="708" t="str">
        <f t="shared" si="21"/>
        <v>×</v>
      </c>
      <c r="L45" s="706" t="s">
        <v>8</v>
      </c>
      <c r="M45" s="708" t="s">
        <v>8</v>
      </c>
      <c r="N45" s="706" t="str">
        <f t="shared" si="27"/>
        <v>×</v>
      </c>
      <c r="O45" s="706" t="str">
        <f t="shared" si="27"/>
        <v>×</v>
      </c>
      <c r="P45" s="706" t="str">
        <f t="shared" si="27"/>
        <v>×</v>
      </c>
      <c r="Q45" s="706" t="str">
        <f t="shared" si="27"/>
        <v>×</v>
      </c>
      <c r="R45" s="706" t="str">
        <f t="shared" si="27"/>
        <v>×</v>
      </c>
      <c r="S45" s="706" t="s">
        <v>8</v>
      </c>
      <c r="T45" s="706" t="s">
        <v>8</v>
      </c>
      <c r="U45" s="706" t="s">
        <v>8</v>
      </c>
      <c r="V45" s="706" t="s">
        <v>8</v>
      </c>
      <c r="W45" s="706" t="s">
        <v>8</v>
      </c>
      <c r="X45" s="706" t="s">
        <v>8</v>
      </c>
      <c r="Y45" s="706" t="s">
        <v>8</v>
      </c>
      <c r="Z45" s="706" t="s">
        <v>8</v>
      </c>
      <c r="AA45" s="706" t="s">
        <v>8</v>
      </c>
      <c r="AB45" s="706" t="s">
        <v>8</v>
      </c>
      <c r="AC45" s="706" t="s">
        <v>8</v>
      </c>
      <c r="AD45" s="706" t="s">
        <v>8</v>
      </c>
      <c r="AE45" s="706" t="s">
        <v>8</v>
      </c>
      <c r="AF45" s="706" t="str">
        <f t="shared" si="22"/>
        <v>×</v>
      </c>
      <c r="AG45" s="706" t="s">
        <v>8</v>
      </c>
      <c r="AH45" s="706" t="s">
        <v>8</v>
      </c>
      <c r="AI45" s="706" t="s">
        <v>8</v>
      </c>
      <c r="AJ45" s="706" t="s">
        <v>8</v>
      </c>
      <c r="AK45" s="837" t="s">
        <v>8</v>
      </c>
      <c r="AL45" s="706" t="s">
        <v>8</v>
      </c>
      <c r="AM45" s="706" t="str">
        <f t="shared" si="23"/>
        <v>×</v>
      </c>
      <c r="AN45" s="706"/>
      <c r="AO45" s="837" t="str">
        <f t="shared" si="13"/>
        <v>×</v>
      </c>
      <c r="AP45" s="706" t="s">
        <v>8</v>
      </c>
      <c r="AQ45" s="706" t="s">
        <v>8</v>
      </c>
      <c r="AR45" s="706" t="s">
        <v>8</v>
      </c>
      <c r="AS45" s="706" t="s">
        <v>8</v>
      </c>
      <c r="AT45" s="706" t="s">
        <v>8</v>
      </c>
      <c r="AU45" s="706" t="s">
        <v>8</v>
      </c>
      <c r="AV45" s="739" t="s">
        <v>58</v>
      </c>
      <c r="AW45" s="920" t="str">
        <f t="shared" si="25"/>
        <v>×</v>
      </c>
      <c r="AX45" s="927" t="s">
        <v>8</v>
      </c>
      <c r="AY45" s="706" t="s">
        <v>8</v>
      </c>
      <c r="AZ45" s="928" t="s">
        <v>8</v>
      </c>
      <c r="BA45" s="839" t="str">
        <f t="shared" si="5"/>
        <v>×</v>
      </c>
      <c r="BB45" s="798" t="str">
        <f t="shared" si="6"/>
        <v>×</v>
      </c>
      <c r="BC45" s="797" t="str">
        <f t="shared" si="7"/>
        <v>×</v>
      </c>
      <c r="BD45" s="796" t="str">
        <f t="shared" si="8"/>
        <v>×</v>
      </c>
      <c r="BE45" s="798" t="str">
        <f t="shared" si="9"/>
        <v>×</v>
      </c>
      <c r="BF45" s="854" t="str">
        <f t="shared" si="10"/>
        <v>×</v>
      </c>
      <c r="BG45" s="799" t="s">
        <v>8</v>
      </c>
      <c r="BH45" s="800" t="str">
        <f t="shared" si="12"/>
        <v>×</v>
      </c>
      <c r="BI45" s="798" t="str">
        <f t="shared" si="14"/>
        <v>×</v>
      </c>
      <c r="BJ45" s="800" t="str">
        <f t="shared" si="15"/>
        <v>×</v>
      </c>
      <c r="BK45" s="796" t="str">
        <f t="shared" si="16"/>
        <v>×</v>
      </c>
      <c r="BL45" s="797" t="str">
        <f t="shared" si="17"/>
        <v>×</v>
      </c>
      <c r="BM45" s="802" t="str">
        <f t="shared" si="11"/>
        <v>×</v>
      </c>
      <c r="BN45" s="801" t="str">
        <f t="shared" si="18"/>
        <v>×</v>
      </c>
      <c r="BO45" s="864"/>
    </row>
    <row r="46" spans="1:77" ht="13.5" customHeight="1" thickBot="1">
      <c r="A46" s="1196" t="s">
        <v>208</v>
      </c>
      <c r="B46" s="551" t="s">
        <v>684</v>
      </c>
      <c r="C46" s="27">
        <v>0</v>
      </c>
      <c r="D46" s="162">
        <v>106</v>
      </c>
      <c r="E46" s="163">
        <v>176</v>
      </c>
      <c r="F46" s="51" t="s">
        <v>637</v>
      </c>
      <c r="G46" s="568" t="s">
        <v>8</v>
      </c>
      <c r="H46" s="51" t="s">
        <v>58</v>
      </c>
      <c r="I46" s="568" t="s">
        <v>8</v>
      </c>
      <c r="J46" s="568" t="s">
        <v>8</v>
      </c>
      <c r="K46" s="51" t="str">
        <f t="shared" si="21"/>
        <v>○</v>
      </c>
      <c r="L46" s="34" t="s">
        <v>637</v>
      </c>
      <c r="M46" s="51" t="s">
        <v>637</v>
      </c>
      <c r="N46" s="34" t="s">
        <v>637</v>
      </c>
      <c r="O46" s="34" t="s">
        <v>637</v>
      </c>
      <c r="P46" s="34" t="s">
        <v>637</v>
      </c>
      <c r="Q46" s="34" t="s">
        <v>637</v>
      </c>
      <c r="R46" s="34" t="s">
        <v>8</v>
      </c>
      <c r="S46" s="34" t="s">
        <v>637</v>
      </c>
      <c r="T46" s="34" t="s">
        <v>637</v>
      </c>
      <c r="U46" s="34" t="s">
        <v>637</v>
      </c>
      <c r="V46" s="706" t="s">
        <v>8</v>
      </c>
      <c r="W46" s="34" t="s">
        <v>8</v>
      </c>
      <c r="X46" s="34" t="s">
        <v>638</v>
      </c>
      <c r="Y46" s="395" t="s">
        <v>8</v>
      </c>
      <c r="Z46" s="395" t="s">
        <v>8</v>
      </c>
      <c r="AA46" s="395" t="s">
        <v>8</v>
      </c>
      <c r="AB46" s="34" t="s">
        <v>637</v>
      </c>
      <c r="AC46" s="34" t="s">
        <v>637</v>
      </c>
      <c r="AD46" s="706" t="s">
        <v>8</v>
      </c>
      <c r="AE46" s="34" t="s">
        <v>8</v>
      </c>
      <c r="AF46" s="395" t="str">
        <f t="shared" si="22"/>
        <v>×</v>
      </c>
      <c r="AG46" s="34" t="s">
        <v>58</v>
      </c>
      <c r="AH46" s="706" t="s">
        <v>8</v>
      </c>
      <c r="AI46" s="706" t="s">
        <v>8</v>
      </c>
      <c r="AJ46" s="42" t="s">
        <v>8</v>
      </c>
      <c r="AK46" s="42" t="s">
        <v>8</v>
      </c>
      <c r="AL46" s="34" t="s">
        <v>8</v>
      </c>
      <c r="AM46" s="429" t="str">
        <f t="shared" si="23"/>
        <v>×</v>
      </c>
      <c r="AN46" s="429"/>
      <c r="AO46" s="428" t="str">
        <f t="shared" si="13"/>
        <v>×</v>
      </c>
      <c r="AP46" s="706" t="s">
        <v>8</v>
      </c>
      <c r="AQ46" s="43" t="s">
        <v>8</v>
      </c>
      <c r="AR46" s="405" t="s">
        <v>8</v>
      </c>
      <c r="AS46" s="706" t="s">
        <v>8</v>
      </c>
      <c r="AT46" s="34" t="s">
        <v>8</v>
      </c>
      <c r="AU46" s="395" t="str">
        <f t="shared" ref="AU46" si="28">$Z:$Z</f>
        <v>×</v>
      </c>
      <c r="AV46" s="392" t="s">
        <v>58</v>
      </c>
      <c r="AW46" s="429" t="str">
        <f t="shared" si="25"/>
        <v>×</v>
      </c>
      <c r="AX46" s="927" t="s">
        <v>8</v>
      </c>
      <c r="AY46" s="706" t="s">
        <v>8</v>
      </c>
      <c r="AZ46" s="928" t="s">
        <v>8</v>
      </c>
      <c r="BA46" s="813" t="str">
        <f t="shared" si="5"/>
        <v>×</v>
      </c>
      <c r="BB46" s="767" t="str">
        <f t="shared" si="6"/>
        <v>×</v>
      </c>
      <c r="BC46" s="768" t="str">
        <f t="shared" si="7"/>
        <v>×</v>
      </c>
      <c r="BD46" s="765" t="str">
        <f t="shared" si="8"/>
        <v>×</v>
      </c>
      <c r="BE46" s="767" t="str">
        <f t="shared" si="9"/>
        <v>×</v>
      </c>
      <c r="BF46" s="819" t="str">
        <f t="shared" si="10"/>
        <v>×</v>
      </c>
      <c r="BG46" s="770" t="s">
        <v>8</v>
      </c>
      <c r="BH46" s="761" t="str">
        <f t="shared" si="12"/>
        <v>×</v>
      </c>
      <c r="BI46" s="758" t="str">
        <f t="shared" si="14"/>
        <v>×</v>
      </c>
      <c r="BJ46" s="761" t="str">
        <f t="shared" si="15"/>
        <v>×</v>
      </c>
      <c r="BK46" s="757" t="str">
        <f t="shared" si="16"/>
        <v>×</v>
      </c>
      <c r="BL46" s="759" t="str">
        <f t="shared" si="17"/>
        <v>×</v>
      </c>
      <c r="BM46" s="786" t="str">
        <f t="shared" si="11"/>
        <v>×</v>
      </c>
      <c r="BN46" s="762" t="str">
        <f t="shared" si="18"/>
        <v>×</v>
      </c>
      <c r="BO46" s="539"/>
    </row>
    <row r="47" spans="1:77" s="840" customFormat="1" ht="13.5" customHeight="1" thickBot="1">
      <c r="A47" s="1196"/>
      <c r="B47" s="863" t="s">
        <v>720</v>
      </c>
      <c r="C47" s="841">
        <v>0</v>
      </c>
      <c r="D47" s="842">
        <v>0</v>
      </c>
      <c r="E47" s="843">
        <v>0</v>
      </c>
      <c r="F47" s="708" t="s">
        <v>58</v>
      </c>
      <c r="G47" s="836" t="s">
        <v>8</v>
      </c>
      <c r="H47" s="708" t="s">
        <v>58</v>
      </c>
      <c r="I47" s="836" t="s">
        <v>8</v>
      </c>
      <c r="J47" s="836" t="s">
        <v>8</v>
      </c>
      <c r="K47" s="708" t="str">
        <f t="shared" si="21"/>
        <v>×</v>
      </c>
      <c r="L47" s="706" t="s">
        <v>58</v>
      </c>
      <c r="M47" s="708" t="s">
        <v>58</v>
      </c>
      <c r="N47" s="706" t="s">
        <v>58</v>
      </c>
      <c r="O47" s="706" t="s">
        <v>58</v>
      </c>
      <c r="P47" s="706" t="s">
        <v>58</v>
      </c>
      <c r="Q47" s="706" t="s">
        <v>58</v>
      </c>
      <c r="R47" s="706" t="s">
        <v>58</v>
      </c>
      <c r="S47" s="706" t="s">
        <v>58</v>
      </c>
      <c r="T47" s="706" t="s">
        <v>58</v>
      </c>
      <c r="U47" s="706" t="s">
        <v>58</v>
      </c>
      <c r="V47" s="706" t="s">
        <v>8</v>
      </c>
      <c r="W47" s="706" t="s">
        <v>8</v>
      </c>
      <c r="X47" s="706" t="s">
        <v>8</v>
      </c>
      <c r="Y47" s="706" t="s">
        <v>8</v>
      </c>
      <c r="Z47" s="706" t="s">
        <v>8</v>
      </c>
      <c r="AA47" s="706" t="s">
        <v>8</v>
      </c>
      <c r="AB47" s="706" t="s">
        <v>58</v>
      </c>
      <c r="AC47" s="706" t="s">
        <v>58</v>
      </c>
      <c r="AD47" s="706" t="s">
        <v>8</v>
      </c>
      <c r="AE47" s="706" t="s">
        <v>8</v>
      </c>
      <c r="AF47" s="706" t="str">
        <f t="shared" si="22"/>
        <v>×</v>
      </c>
      <c r="AG47" s="706" t="s">
        <v>58</v>
      </c>
      <c r="AH47" s="706" t="s">
        <v>8</v>
      </c>
      <c r="AI47" s="706" t="s">
        <v>8</v>
      </c>
      <c r="AJ47" s="837" t="s">
        <v>8</v>
      </c>
      <c r="AK47" s="837" t="s">
        <v>8</v>
      </c>
      <c r="AL47" s="706" t="s">
        <v>8</v>
      </c>
      <c r="AM47" s="837" t="str">
        <f t="shared" si="23"/>
        <v>×</v>
      </c>
      <c r="AN47" s="837"/>
      <c r="AO47" s="837" t="str">
        <f t="shared" si="13"/>
        <v>×</v>
      </c>
      <c r="AP47" s="706" t="s">
        <v>8</v>
      </c>
      <c r="AQ47" s="706" t="s">
        <v>8</v>
      </c>
      <c r="AR47" s="706" t="s">
        <v>8</v>
      </c>
      <c r="AS47" s="706" t="s">
        <v>8</v>
      </c>
      <c r="AT47" s="706" t="s">
        <v>8</v>
      </c>
      <c r="AU47" s="706" t="s">
        <v>8</v>
      </c>
      <c r="AV47" s="739" t="s">
        <v>58</v>
      </c>
      <c r="AW47" s="873" t="str">
        <f t="shared" si="25"/>
        <v>×</v>
      </c>
      <c r="AX47" s="927" t="s">
        <v>8</v>
      </c>
      <c r="AY47" s="706" t="s">
        <v>8</v>
      </c>
      <c r="AZ47" s="928" t="s">
        <v>8</v>
      </c>
      <c r="BA47" s="839" t="str">
        <f t="shared" si="5"/>
        <v>×</v>
      </c>
      <c r="BB47" s="798" t="str">
        <f t="shared" si="6"/>
        <v>×</v>
      </c>
      <c r="BC47" s="797" t="str">
        <f t="shared" si="7"/>
        <v>×</v>
      </c>
      <c r="BD47" s="796" t="str">
        <f t="shared" si="8"/>
        <v>×</v>
      </c>
      <c r="BE47" s="798" t="str">
        <f t="shared" si="9"/>
        <v>×</v>
      </c>
      <c r="BF47" s="854" t="str">
        <f t="shared" si="10"/>
        <v>×</v>
      </c>
      <c r="BG47" s="799" t="s">
        <v>8</v>
      </c>
      <c r="BH47" s="800" t="str">
        <f t="shared" si="12"/>
        <v>×</v>
      </c>
      <c r="BI47" s="798" t="str">
        <f t="shared" si="14"/>
        <v>×</v>
      </c>
      <c r="BJ47" s="800" t="str">
        <f t="shared" si="15"/>
        <v>×</v>
      </c>
      <c r="BK47" s="796" t="str">
        <f t="shared" si="16"/>
        <v>×</v>
      </c>
      <c r="BL47" s="797" t="str">
        <f t="shared" si="17"/>
        <v>×</v>
      </c>
      <c r="BM47" s="802" t="str">
        <f t="shared" si="11"/>
        <v>×</v>
      </c>
      <c r="BN47" s="801" t="str">
        <f t="shared" si="18"/>
        <v>×</v>
      </c>
      <c r="BO47" s="865"/>
    </row>
    <row r="48" spans="1:77" s="840" customFormat="1" ht="13.5" customHeight="1">
      <c r="A48" s="1075"/>
      <c r="B48" s="863" t="s">
        <v>721</v>
      </c>
      <c r="C48" s="841">
        <v>0</v>
      </c>
      <c r="D48" s="842">
        <v>0</v>
      </c>
      <c r="E48" s="843">
        <v>0</v>
      </c>
      <c r="F48" s="708" t="s">
        <v>58</v>
      </c>
      <c r="G48" s="836" t="s">
        <v>8</v>
      </c>
      <c r="H48" s="708" t="s">
        <v>58</v>
      </c>
      <c r="I48" s="836" t="s">
        <v>8</v>
      </c>
      <c r="J48" s="836" t="s">
        <v>8</v>
      </c>
      <c r="K48" s="708" t="str">
        <f t="shared" si="21"/>
        <v>×</v>
      </c>
      <c r="L48" s="706" t="s">
        <v>58</v>
      </c>
      <c r="M48" s="708" t="s">
        <v>58</v>
      </c>
      <c r="N48" s="706" t="s">
        <v>58</v>
      </c>
      <c r="O48" s="706" t="s">
        <v>58</v>
      </c>
      <c r="P48" s="706" t="s">
        <v>58</v>
      </c>
      <c r="Q48" s="706" t="s">
        <v>58</v>
      </c>
      <c r="R48" s="706" t="s">
        <v>58</v>
      </c>
      <c r="S48" s="706" t="s">
        <v>58</v>
      </c>
      <c r="T48" s="706" t="s">
        <v>58</v>
      </c>
      <c r="U48" s="706" t="s">
        <v>58</v>
      </c>
      <c r="V48" s="706" t="s">
        <v>8</v>
      </c>
      <c r="W48" s="706" t="s">
        <v>8</v>
      </c>
      <c r="X48" s="706" t="s">
        <v>8</v>
      </c>
      <c r="Y48" s="706" t="s">
        <v>8</v>
      </c>
      <c r="Z48" s="706" t="s">
        <v>8</v>
      </c>
      <c r="AA48" s="706" t="s">
        <v>8</v>
      </c>
      <c r="AB48" s="706" t="s">
        <v>58</v>
      </c>
      <c r="AC48" s="706" t="s">
        <v>58</v>
      </c>
      <c r="AD48" s="706" t="s">
        <v>8</v>
      </c>
      <c r="AE48" s="706" t="s">
        <v>8</v>
      </c>
      <c r="AF48" s="706" t="str">
        <f t="shared" si="22"/>
        <v>×</v>
      </c>
      <c r="AG48" s="706" t="s">
        <v>58</v>
      </c>
      <c r="AH48" s="706" t="s">
        <v>8</v>
      </c>
      <c r="AI48" s="706" t="s">
        <v>8</v>
      </c>
      <c r="AJ48" s="837" t="s">
        <v>8</v>
      </c>
      <c r="AK48" s="837" t="s">
        <v>8</v>
      </c>
      <c r="AL48" s="706" t="s">
        <v>8</v>
      </c>
      <c r="AM48" s="837" t="str">
        <f t="shared" si="23"/>
        <v>×</v>
      </c>
      <c r="AN48" s="837"/>
      <c r="AO48" s="837" t="str">
        <f t="shared" si="13"/>
        <v>×</v>
      </c>
      <c r="AP48" s="706" t="s">
        <v>8</v>
      </c>
      <c r="AQ48" s="706" t="s">
        <v>8</v>
      </c>
      <c r="AR48" s="706" t="s">
        <v>8</v>
      </c>
      <c r="AS48" s="706" t="s">
        <v>8</v>
      </c>
      <c r="AT48" s="706" t="s">
        <v>8</v>
      </c>
      <c r="AU48" s="706" t="s">
        <v>8</v>
      </c>
      <c r="AV48" s="739" t="s">
        <v>58</v>
      </c>
      <c r="AW48" s="873" t="str">
        <f t="shared" si="25"/>
        <v>×</v>
      </c>
      <c r="AX48" s="927" t="s">
        <v>8</v>
      </c>
      <c r="AY48" s="706" t="s">
        <v>8</v>
      </c>
      <c r="AZ48" s="928" t="s">
        <v>8</v>
      </c>
      <c r="BA48" s="839" t="str">
        <f t="shared" si="5"/>
        <v>×</v>
      </c>
      <c r="BB48" s="798" t="str">
        <f t="shared" si="6"/>
        <v>×</v>
      </c>
      <c r="BC48" s="797" t="str">
        <f t="shared" si="7"/>
        <v>×</v>
      </c>
      <c r="BD48" s="796" t="str">
        <f t="shared" si="8"/>
        <v>×</v>
      </c>
      <c r="BE48" s="798" t="str">
        <f t="shared" si="9"/>
        <v>×</v>
      </c>
      <c r="BF48" s="854" t="str">
        <f t="shared" si="10"/>
        <v>×</v>
      </c>
      <c r="BG48" s="799" t="s">
        <v>8</v>
      </c>
      <c r="BH48" s="800" t="str">
        <f t="shared" si="12"/>
        <v>×</v>
      </c>
      <c r="BI48" s="798" t="str">
        <f t="shared" si="14"/>
        <v>×</v>
      </c>
      <c r="BJ48" s="800" t="str">
        <f t="shared" si="15"/>
        <v>×</v>
      </c>
      <c r="BK48" s="796" t="str">
        <f t="shared" si="16"/>
        <v>×</v>
      </c>
      <c r="BL48" s="797" t="str">
        <f t="shared" si="17"/>
        <v>×</v>
      </c>
      <c r="BM48" s="802" t="str">
        <f t="shared" si="11"/>
        <v>×</v>
      </c>
      <c r="BN48" s="801" t="str">
        <f t="shared" si="18"/>
        <v>×</v>
      </c>
      <c r="BO48" s="865"/>
    </row>
    <row r="49" spans="1:77" s="847" customFormat="1" ht="12" customHeight="1" thickBot="1">
      <c r="A49" s="856"/>
      <c r="B49" s="866" t="s">
        <v>722</v>
      </c>
      <c r="C49" s="842">
        <v>0</v>
      </c>
      <c r="D49" s="842">
        <v>0</v>
      </c>
      <c r="E49" s="843">
        <v>0</v>
      </c>
      <c r="F49" s="708" t="s">
        <v>58</v>
      </c>
      <c r="G49" s="836" t="s">
        <v>8</v>
      </c>
      <c r="H49" s="708" t="s">
        <v>58</v>
      </c>
      <c r="I49" s="836" t="s">
        <v>8</v>
      </c>
      <c r="J49" s="836" t="s">
        <v>8</v>
      </c>
      <c r="K49" s="708" t="str">
        <f t="shared" si="21"/>
        <v>×</v>
      </c>
      <c r="L49" s="706" t="s">
        <v>58</v>
      </c>
      <c r="M49" s="708" t="s">
        <v>58</v>
      </c>
      <c r="N49" s="706" t="s">
        <v>58</v>
      </c>
      <c r="O49" s="706" t="s">
        <v>58</v>
      </c>
      <c r="P49" s="706" t="s">
        <v>58</v>
      </c>
      <c r="Q49" s="706" t="s">
        <v>58</v>
      </c>
      <c r="R49" s="706" t="s">
        <v>58</v>
      </c>
      <c r="S49" s="706" t="s">
        <v>58</v>
      </c>
      <c r="T49" s="706" t="s">
        <v>58</v>
      </c>
      <c r="U49" s="706" t="s">
        <v>58</v>
      </c>
      <c r="V49" s="706" t="s">
        <v>8</v>
      </c>
      <c r="W49" s="706" t="s">
        <v>8</v>
      </c>
      <c r="X49" s="706" t="s">
        <v>8</v>
      </c>
      <c r="Y49" s="706" t="s">
        <v>8</v>
      </c>
      <c r="Z49" s="706" t="s">
        <v>8</v>
      </c>
      <c r="AA49" s="706" t="s">
        <v>8</v>
      </c>
      <c r="AB49" s="706" t="s">
        <v>58</v>
      </c>
      <c r="AC49" s="706" t="s">
        <v>58</v>
      </c>
      <c r="AD49" s="706" t="s">
        <v>8</v>
      </c>
      <c r="AE49" s="706" t="s">
        <v>8</v>
      </c>
      <c r="AF49" s="706" t="str">
        <f t="shared" si="22"/>
        <v>×</v>
      </c>
      <c r="AG49" s="706" t="s">
        <v>58</v>
      </c>
      <c r="AH49" s="706" t="s">
        <v>8</v>
      </c>
      <c r="AI49" s="706" t="s">
        <v>8</v>
      </c>
      <c r="AJ49" s="837" t="s">
        <v>8</v>
      </c>
      <c r="AK49" s="837" t="s">
        <v>8</v>
      </c>
      <c r="AL49" s="706" t="s">
        <v>8</v>
      </c>
      <c r="AM49" s="837" t="str">
        <f t="shared" si="23"/>
        <v>×</v>
      </c>
      <c r="AN49" s="837"/>
      <c r="AO49" s="837" t="str">
        <f t="shared" si="13"/>
        <v>×</v>
      </c>
      <c r="AP49" s="706" t="s">
        <v>8</v>
      </c>
      <c r="AQ49" s="706" t="s">
        <v>8</v>
      </c>
      <c r="AR49" s="706" t="s">
        <v>8</v>
      </c>
      <c r="AS49" s="706" t="s">
        <v>8</v>
      </c>
      <c r="AT49" s="706" t="s">
        <v>8</v>
      </c>
      <c r="AU49" s="706" t="s">
        <v>8</v>
      </c>
      <c r="AV49" s="739" t="s">
        <v>58</v>
      </c>
      <c r="AW49" s="837" t="str">
        <f t="shared" si="25"/>
        <v>×</v>
      </c>
      <c r="AX49" s="927" t="s">
        <v>8</v>
      </c>
      <c r="AY49" s="706" t="s">
        <v>8</v>
      </c>
      <c r="AZ49" s="928" t="s">
        <v>8</v>
      </c>
      <c r="BA49" s="839" t="str">
        <f t="shared" si="5"/>
        <v>×</v>
      </c>
      <c r="BB49" s="798" t="str">
        <f t="shared" si="6"/>
        <v>×</v>
      </c>
      <c r="BC49" s="797" t="str">
        <f t="shared" si="7"/>
        <v>×</v>
      </c>
      <c r="BD49" s="796" t="str">
        <f t="shared" si="8"/>
        <v>×</v>
      </c>
      <c r="BE49" s="798" t="str">
        <f t="shared" si="9"/>
        <v>×</v>
      </c>
      <c r="BF49" s="854" t="str">
        <f t="shared" si="10"/>
        <v>×</v>
      </c>
      <c r="BG49" s="799" t="s">
        <v>8</v>
      </c>
      <c r="BH49" s="800" t="str">
        <f t="shared" si="12"/>
        <v>×</v>
      </c>
      <c r="BI49" s="798" t="str">
        <f t="shared" si="14"/>
        <v>×</v>
      </c>
      <c r="BJ49" s="800" t="str">
        <f t="shared" si="15"/>
        <v>×</v>
      </c>
      <c r="BK49" s="796" t="str">
        <f t="shared" si="16"/>
        <v>×</v>
      </c>
      <c r="BL49" s="797" t="str">
        <f t="shared" si="17"/>
        <v>×</v>
      </c>
      <c r="BM49" s="802" t="str">
        <f t="shared" si="11"/>
        <v>×</v>
      </c>
      <c r="BN49" s="801" t="str">
        <f t="shared" si="18"/>
        <v>×</v>
      </c>
      <c r="BO49" s="865"/>
      <c r="BP49" s="867"/>
      <c r="BQ49" s="845"/>
      <c r="BR49" s="845"/>
      <c r="BS49" s="845"/>
      <c r="BT49" s="845"/>
      <c r="BU49" s="845"/>
      <c r="BV49" s="845"/>
      <c r="BW49" s="868"/>
      <c r="BX49" s="868"/>
      <c r="BY49" s="852"/>
    </row>
    <row r="50" spans="1:77" s="840" customFormat="1" ht="13.5" customHeight="1">
      <c r="A50" s="1194" t="s">
        <v>209</v>
      </c>
      <c r="B50" s="832" t="s">
        <v>723</v>
      </c>
      <c r="C50" s="841">
        <v>0</v>
      </c>
      <c r="D50" s="842">
        <v>0</v>
      </c>
      <c r="E50" s="843">
        <v>0</v>
      </c>
      <c r="F50" s="708" t="s">
        <v>58</v>
      </c>
      <c r="G50" s="836" t="s">
        <v>8</v>
      </c>
      <c r="H50" s="708" t="s">
        <v>58</v>
      </c>
      <c r="I50" s="836" t="s">
        <v>8</v>
      </c>
      <c r="J50" s="836" t="s">
        <v>8</v>
      </c>
      <c r="K50" s="708" t="str">
        <f t="shared" si="21"/>
        <v>×</v>
      </c>
      <c r="L50" s="706" t="s">
        <v>58</v>
      </c>
      <c r="M50" s="708" t="s">
        <v>58</v>
      </c>
      <c r="N50" s="706" t="s">
        <v>58</v>
      </c>
      <c r="O50" s="706" t="s">
        <v>58</v>
      </c>
      <c r="P50" s="706" t="s">
        <v>58</v>
      </c>
      <c r="Q50" s="706" t="s">
        <v>58</v>
      </c>
      <c r="R50" s="706" t="s">
        <v>58</v>
      </c>
      <c r="S50" s="706" t="s">
        <v>58</v>
      </c>
      <c r="T50" s="706" t="s">
        <v>58</v>
      </c>
      <c r="U50" s="706" t="s">
        <v>58</v>
      </c>
      <c r="V50" s="706" t="s">
        <v>8</v>
      </c>
      <c r="W50" s="706" t="s">
        <v>8</v>
      </c>
      <c r="X50" s="706" t="s">
        <v>8</v>
      </c>
      <c r="Y50" s="706" t="s">
        <v>8</v>
      </c>
      <c r="Z50" s="706" t="s">
        <v>8</v>
      </c>
      <c r="AA50" s="706" t="s">
        <v>8</v>
      </c>
      <c r="AB50" s="706" t="s">
        <v>58</v>
      </c>
      <c r="AC50" s="706" t="s">
        <v>58</v>
      </c>
      <c r="AD50" s="706" t="s">
        <v>8</v>
      </c>
      <c r="AE50" s="706" t="s">
        <v>8</v>
      </c>
      <c r="AF50" s="706" t="str">
        <f t="shared" si="22"/>
        <v>×</v>
      </c>
      <c r="AG50" s="706" t="s">
        <v>58</v>
      </c>
      <c r="AH50" s="706" t="s">
        <v>8</v>
      </c>
      <c r="AI50" s="706" t="s">
        <v>8</v>
      </c>
      <c r="AJ50" s="837" t="s">
        <v>8</v>
      </c>
      <c r="AK50" s="837" t="s">
        <v>8</v>
      </c>
      <c r="AL50" s="706" t="s">
        <v>8</v>
      </c>
      <c r="AM50" s="837" t="str">
        <f t="shared" si="23"/>
        <v>×</v>
      </c>
      <c r="AN50" s="837"/>
      <c r="AO50" s="837" t="str">
        <f t="shared" si="13"/>
        <v>×</v>
      </c>
      <c r="AP50" s="706" t="s">
        <v>8</v>
      </c>
      <c r="AQ50" s="706" t="s">
        <v>8</v>
      </c>
      <c r="AR50" s="706" t="s">
        <v>8</v>
      </c>
      <c r="AS50" s="706" t="s">
        <v>8</v>
      </c>
      <c r="AT50" s="706" t="s">
        <v>8</v>
      </c>
      <c r="AU50" s="706" t="s">
        <v>8</v>
      </c>
      <c r="AV50" s="739" t="s">
        <v>58</v>
      </c>
      <c r="AW50" s="837" t="str">
        <f t="shared" si="25"/>
        <v>×</v>
      </c>
      <c r="AX50" s="927" t="s">
        <v>8</v>
      </c>
      <c r="AY50" s="706" t="s">
        <v>8</v>
      </c>
      <c r="AZ50" s="928" t="s">
        <v>8</v>
      </c>
      <c r="BA50" s="839" t="str">
        <f t="shared" si="5"/>
        <v>×</v>
      </c>
      <c r="BB50" s="798" t="str">
        <f t="shared" si="6"/>
        <v>×</v>
      </c>
      <c r="BC50" s="797" t="str">
        <f t="shared" si="7"/>
        <v>×</v>
      </c>
      <c r="BD50" s="796" t="str">
        <f t="shared" si="8"/>
        <v>×</v>
      </c>
      <c r="BE50" s="798" t="str">
        <f t="shared" si="9"/>
        <v>×</v>
      </c>
      <c r="BF50" s="854" t="str">
        <f t="shared" si="10"/>
        <v>×</v>
      </c>
      <c r="BG50" s="799" t="s">
        <v>8</v>
      </c>
      <c r="BH50" s="800" t="str">
        <f t="shared" si="12"/>
        <v>×</v>
      </c>
      <c r="BI50" s="798" t="str">
        <f t="shared" si="14"/>
        <v>×</v>
      </c>
      <c r="BJ50" s="800" t="str">
        <f t="shared" si="15"/>
        <v>×</v>
      </c>
      <c r="BK50" s="796" t="str">
        <f t="shared" si="16"/>
        <v>×</v>
      </c>
      <c r="BL50" s="797" t="str">
        <f t="shared" si="17"/>
        <v>×</v>
      </c>
      <c r="BM50" s="802" t="str">
        <f t="shared" si="11"/>
        <v>×</v>
      </c>
      <c r="BN50" s="801" t="str">
        <f t="shared" si="18"/>
        <v>×</v>
      </c>
      <c r="BO50" s="1191" t="s">
        <v>245</v>
      </c>
    </row>
    <row r="51" spans="1:77" s="840" customFormat="1" ht="13.5" customHeight="1">
      <c r="A51" s="1195"/>
      <c r="B51" s="832" t="s">
        <v>724</v>
      </c>
      <c r="C51" s="841">
        <v>0</v>
      </c>
      <c r="D51" s="842">
        <v>0</v>
      </c>
      <c r="E51" s="843">
        <v>0</v>
      </c>
      <c r="F51" s="708" t="s">
        <v>58</v>
      </c>
      <c r="G51" s="836" t="s">
        <v>8</v>
      </c>
      <c r="H51" s="708" t="s">
        <v>58</v>
      </c>
      <c r="I51" s="836" t="s">
        <v>8</v>
      </c>
      <c r="J51" s="836" t="s">
        <v>8</v>
      </c>
      <c r="K51" s="708" t="str">
        <f t="shared" si="21"/>
        <v>×</v>
      </c>
      <c r="L51" s="706" t="s">
        <v>58</v>
      </c>
      <c r="M51" s="708" t="s">
        <v>58</v>
      </c>
      <c r="N51" s="706" t="s">
        <v>58</v>
      </c>
      <c r="O51" s="706" t="s">
        <v>58</v>
      </c>
      <c r="P51" s="706" t="s">
        <v>58</v>
      </c>
      <c r="Q51" s="706" t="s">
        <v>58</v>
      </c>
      <c r="R51" s="706" t="s">
        <v>58</v>
      </c>
      <c r="S51" s="706" t="s">
        <v>58</v>
      </c>
      <c r="T51" s="706" t="s">
        <v>58</v>
      </c>
      <c r="U51" s="706" t="s">
        <v>58</v>
      </c>
      <c r="V51" s="706" t="s">
        <v>8</v>
      </c>
      <c r="W51" s="706" t="s">
        <v>8</v>
      </c>
      <c r="X51" s="706" t="s">
        <v>8</v>
      </c>
      <c r="Y51" s="706" t="s">
        <v>8</v>
      </c>
      <c r="Z51" s="706" t="s">
        <v>8</v>
      </c>
      <c r="AA51" s="706" t="s">
        <v>8</v>
      </c>
      <c r="AB51" s="706" t="s">
        <v>58</v>
      </c>
      <c r="AC51" s="706" t="s">
        <v>58</v>
      </c>
      <c r="AD51" s="706" t="s">
        <v>8</v>
      </c>
      <c r="AE51" s="706" t="s">
        <v>8</v>
      </c>
      <c r="AF51" s="706" t="str">
        <f t="shared" si="22"/>
        <v>×</v>
      </c>
      <c r="AG51" s="706" t="s">
        <v>58</v>
      </c>
      <c r="AH51" s="706" t="s">
        <v>8</v>
      </c>
      <c r="AI51" s="706" t="s">
        <v>8</v>
      </c>
      <c r="AJ51" s="837" t="s">
        <v>8</v>
      </c>
      <c r="AK51" s="837" t="s">
        <v>8</v>
      </c>
      <c r="AL51" s="706" t="s">
        <v>8</v>
      </c>
      <c r="AM51" s="837" t="str">
        <f t="shared" si="23"/>
        <v>×</v>
      </c>
      <c r="AN51" s="837"/>
      <c r="AO51" s="837" t="str">
        <f t="shared" si="13"/>
        <v>×</v>
      </c>
      <c r="AP51" s="706" t="s">
        <v>8</v>
      </c>
      <c r="AQ51" s="706" t="s">
        <v>8</v>
      </c>
      <c r="AR51" s="706" t="s">
        <v>8</v>
      </c>
      <c r="AS51" s="706" t="s">
        <v>8</v>
      </c>
      <c r="AT51" s="706" t="s">
        <v>8</v>
      </c>
      <c r="AU51" s="706" t="s">
        <v>8</v>
      </c>
      <c r="AV51" s="739" t="s">
        <v>58</v>
      </c>
      <c r="AW51" s="837" t="str">
        <f t="shared" si="25"/>
        <v>×</v>
      </c>
      <c r="AX51" s="927" t="s">
        <v>8</v>
      </c>
      <c r="AY51" s="706" t="s">
        <v>8</v>
      </c>
      <c r="AZ51" s="928" t="s">
        <v>8</v>
      </c>
      <c r="BA51" s="839" t="str">
        <f t="shared" si="5"/>
        <v>×</v>
      </c>
      <c r="BB51" s="798" t="str">
        <f t="shared" si="6"/>
        <v>×</v>
      </c>
      <c r="BC51" s="797" t="str">
        <f t="shared" si="7"/>
        <v>×</v>
      </c>
      <c r="BD51" s="796" t="str">
        <f t="shared" si="8"/>
        <v>×</v>
      </c>
      <c r="BE51" s="798" t="str">
        <f t="shared" si="9"/>
        <v>×</v>
      </c>
      <c r="BF51" s="854" t="str">
        <f t="shared" si="10"/>
        <v>×</v>
      </c>
      <c r="BG51" s="799" t="s">
        <v>8</v>
      </c>
      <c r="BH51" s="800" t="str">
        <f t="shared" si="12"/>
        <v>×</v>
      </c>
      <c r="BI51" s="798" t="str">
        <f t="shared" si="14"/>
        <v>×</v>
      </c>
      <c r="BJ51" s="800" t="str">
        <f t="shared" si="15"/>
        <v>×</v>
      </c>
      <c r="BK51" s="796" t="str">
        <f t="shared" si="16"/>
        <v>×</v>
      </c>
      <c r="BL51" s="797" t="str">
        <f t="shared" si="17"/>
        <v>×</v>
      </c>
      <c r="BM51" s="802" t="str">
        <f t="shared" si="11"/>
        <v>×</v>
      </c>
      <c r="BN51" s="801" t="str">
        <f t="shared" si="18"/>
        <v>×</v>
      </c>
      <c r="BO51" s="1192"/>
    </row>
    <row r="52" spans="1:77" s="847" customFormat="1" ht="12" customHeight="1">
      <c r="A52" s="869"/>
      <c r="B52" s="844" t="s">
        <v>725</v>
      </c>
      <c r="C52" s="842">
        <v>0</v>
      </c>
      <c r="D52" s="842">
        <v>0</v>
      </c>
      <c r="E52" s="843">
        <v>0</v>
      </c>
      <c r="F52" s="708" t="s">
        <v>58</v>
      </c>
      <c r="G52" s="836" t="s">
        <v>8</v>
      </c>
      <c r="H52" s="708" t="s">
        <v>58</v>
      </c>
      <c r="I52" s="836" t="s">
        <v>8</v>
      </c>
      <c r="J52" s="836" t="s">
        <v>8</v>
      </c>
      <c r="K52" s="708" t="str">
        <f t="shared" si="21"/>
        <v>×</v>
      </c>
      <c r="L52" s="706" t="s">
        <v>58</v>
      </c>
      <c r="M52" s="708" t="s">
        <v>58</v>
      </c>
      <c r="N52" s="706" t="s">
        <v>58</v>
      </c>
      <c r="O52" s="706" t="s">
        <v>58</v>
      </c>
      <c r="P52" s="706" t="s">
        <v>58</v>
      </c>
      <c r="Q52" s="706" t="s">
        <v>58</v>
      </c>
      <c r="R52" s="706" t="s">
        <v>58</v>
      </c>
      <c r="S52" s="706" t="s">
        <v>58</v>
      </c>
      <c r="T52" s="706" t="s">
        <v>58</v>
      </c>
      <c r="U52" s="706" t="s">
        <v>58</v>
      </c>
      <c r="V52" s="706" t="s">
        <v>8</v>
      </c>
      <c r="W52" s="706" t="s">
        <v>8</v>
      </c>
      <c r="X52" s="706" t="s">
        <v>8</v>
      </c>
      <c r="Y52" s="706" t="s">
        <v>8</v>
      </c>
      <c r="Z52" s="706" t="s">
        <v>8</v>
      </c>
      <c r="AA52" s="706" t="s">
        <v>8</v>
      </c>
      <c r="AB52" s="706" t="s">
        <v>58</v>
      </c>
      <c r="AC52" s="706" t="s">
        <v>58</v>
      </c>
      <c r="AD52" s="706" t="s">
        <v>8</v>
      </c>
      <c r="AE52" s="706" t="s">
        <v>8</v>
      </c>
      <c r="AF52" s="706" t="str">
        <f t="shared" si="22"/>
        <v>×</v>
      </c>
      <c r="AG52" s="706" t="s">
        <v>58</v>
      </c>
      <c r="AH52" s="706" t="s">
        <v>8</v>
      </c>
      <c r="AI52" s="706" t="s">
        <v>8</v>
      </c>
      <c r="AJ52" s="837" t="s">
        <v>8</v>
      </c>
      <c r="AK52" s="837" t="s">
        <v>8</v>
      </c>
      <c r="AL52" s="706" t="s">
        <v>8</v>
      </c>
      <c r="AM52" s="837" t="str">
        <f t="shared" si="23"/>
        <v>×</v>
      </c>
      <c r="AN52" s="837"/>
      <c r="AO52" s="837" t="str">
        <f t="shared" si="13"/>
        <v>×</v>
      </c>
      <c r="AP52" s="706" t="s">
        <v>8</v>
      </c>
      <c r="AQ52" s="706" t="s">
        <v>8</v>
      </c>
      <c r="AR52" s="706" t="s">
        <v>8</v>
      </c>
      <c r="AS52" s="706" t="s">
        <v>8</v>
      </c>
      <c r="AT52" s="706" t="s">
        <v>8</v>
      </c>
      <c r="AU52" s="706" t="s">
        <v>8</v>
      </c>
      <c r="AV52" s="739" t="s">
        <v>58</v>
      </c>
      <c r="AW52" s="837" t="str">
        <f t="shared" si="25"/>
        <v>×</v>
      </c>
      <c r="AX52" s="927" t="s">
        <v>8</v>
      </c>
      <c r="AY52" s="706" t="s">
        <v>8</v>
      </c>
      <c r="AZ52" s="928" t="s">
        <v>8</v>
      </c>
      <c r="BA52" s="839" t="str">
        <f t="shared" si="5"/>
        <v>×</v>
      </c>
      <c r="BB52" s="798" t="str">
        <f t="shared" si="6"/>
        <v>×</v>
      </c>
      <c r="BC52" s="797" t="str">
        <f t="shared" si="7"/>
        <v>×</v>
      </c>
      <c r="BD52" s="796" t="str">
        <f t="shared" si="8"/>
        <v>×</v>
      </c>
      <c r="BE52" s="798" t="str">
        <f t="shared" si="9"/>
        <v>×</v>
      </c>
      <c r="BF52" s="854" t="str">
        <f t="shared" si="10"/>
        <v>×</v>
      </c>
      <c r="BG52" s="799" t="s">
        <v>8</v>
      </c>
      <c r="BH52" s="800" t="str">
        <f t="shared" si="12"/>
        <v>×</v>
      </c>
      <c r="BI52" s="798" t="str">
        <f t="shared" si="14"/>
        <v>×</v>
      </c>
      <c r="BJ52" s="800" t="str">
        <f t="shared" si="15"/>
        <v>×</v>
      </c>
      <c r="BK52" s="796" t="str">
        <f t="shared" si="16"/>
        <v>×</v>
      </c>
      <c r="BL52" s="797" t="str">
        <f t="shared" si="17"/>
        <v>×</v>
      </c>
      <c r="BM52" s="802" t="str">
        <f t="shared" si="11"/>
        <v>×</v>
      </c>
      <c r="BN52" s="801" t="str">
        <f t="shared" si="18"/>
        <v>×</v>
      </c>
      <c r="BO52" s="1192"/>
      <c r="BP52" s="845"/>
      <c r="BQ52" s="845"/>
      <c r="BR52" s="845"/>
      <c r="BS52" s="845"/>
      <c r="BT52" s="845"/>
      <c r="BU52" s="845"/>
      <c r="BV52" s="845"/>
      <c r="BW52" s="868"/>
      <c r="BX52" s="868"/>
      <c r="BY52" s="840"/>
    </row>
    <row r="53" spans="1:77" s="847" customFormat="1" ht="12" customHeight="1" thickBot="1">
      <c r="A53" s="856"/>
      <c r="B53" s="844" t="s">
        <v>726</v>
      </c>
      <c r="C53" s="842">
        <v>0</v>
      </c>
      <c r="D53" s="842">
        <v>0</v>
      </c>
      <c r="E53" s="843">
        <v>0</v>
      </c>
      <c r="F53" s="708" t="s">
        <v>58</v>
      </c>
      <c r="G53" s="836" t="s">
        <v>8</v>
      </c>
      <c r="H53" s="708" t="s">
        <v>58</v>
      </c>
      <c r="I53" s="836" t="s">
        <v>8</v>
      </c>
      <c r="J53" s="836" t="s">
        <v>8</v>
      </c>
      <c r="K53" s="708" t="str">
        <f t="shared" si="21"/>
        <v>×</v>
      </c>
      <c r="L53" s="706" t="s">
        <v>58</v>
      </c>
      <c r="M53" s="708" t="s">
        <v>58</v>
      </c>
      <c r="N53" s="706" t="s">
        <v>58</v>
      </c>
      <c r="O53" s="706" t="s">
        <v>58</v>
      </c>
      <c r="P53" s="706" t="s">
        <v>58</v>
      </c>
      <c r="Q53" s="706" t="s">
        <v>58</v>
      </c>
      <c r="R53" s="706" t="s">
        <v>58</v>
      </c>
      <c r="S53" s="706" t="s">
        <v>58</v>
      </c>
      <c r="T53" s="706" t="s">
        <v>58</v>
      </c>
      <c r="U53" s="706" t="s">
        <v>58</v>
      </c>
      <c r="V53" s="706" t="s">
        <v>8</v>
      </c>
      <c r="W53" s="706" t="s">
        <v>8</v>
      </c>
      <c r="X53" s="706" t="s">
        <v>8</v>
      </c>
      <c r="Y53" s="706" t="s">
        <v>8</v>
      </c>
      <c r="Z53" s="706" t="s">
        <v>8</v>
      </c>
      <c r="AA53" s="706" t="s">
        <v>8</v>
      </c>
      <c r="AB53" s="706" t="s">
        <v>58</v>
      </c>
      <c r="AC53" s="706" t="s">
        <v>58</v>
      </c>
      <c r="AD53" s="706" t="s">
        <v>8</v>
      </c>
      <c r="AE53" s="706" t="s">
        <v>8</v>
      </c>
      <c r="AF53" s="706" t="str">
        <f t="shared" si="22"/>
        <v>×</v>
      </c>
      <c r="AG53" s="706" t="s">
        <v>58</v>
      </c>
      <c r="AH53" s="706" t="s">
        <v>8</v>
      </c>
      <c r="AI53" s="706" t="s">
        <v>8</v>
      </c>
      <c r="AJ53" s="837" t="s">
        <v>8</v>
      </c>
      <c r="AK53" s="837" t="s">
        <v>8</v>
      </c>
      <c r="AL53" s="706" t="s">
        <v>8</v>
      </c>
      <c r="AM53" s="837" t="str">
        <f t="shared" si="23"/>
        <v>×</v>
      </c>
      <c r="AN53" s="837"/>
      <c r="AO53" s="837" t="str">
        <f t="shared" si="13"/>
        <v>×</v>
      </c>
      <c r="AP53" s="706" t="s">
        <v>8</v>
      </c>
      <c r="AQ53" s="706" t="s">
        <v>8</v>
      </c>
      <c r="AR53" s="706" t="s">
        <v>8</v>
      </c>
      <c r="AS53" s="706" t="s">
        <v>8</v>
      </c>
      <c r="AT53" s="706" t="s">
        <v>8</v>
      </c>
      <c r="AU53" s="706" t="s">
        <v>8</v>
      </c>
      <c r="AV53" s="739" t="s">
        <v>58</v>
      </c>
      <c r="AW53" s="837" t="str">
        <f t="shared" si="25"/>
        <v>×</v>
      </c>
      <c r="AX53" s="927" t="s">
        <v>8</v>
      </c>
      <c r="AY53" s="706" t="s">
        <v>8</v>
      </c>
      <c r="AZ53" s="928" t="s">
        <v>8</v>
      </c>
      <c r="BA53" s="839" t="str">
        <f t="shared" si="5"/>
        <v>×</v>
      </c>
      <c r="BB53" s="798" t="str">
        <f t="shared" si="6"/>
        <v>×</v>
      </c>
      <c r="BC53" s="797" t="str">
        <f t="shared" si="7"/>
        <v>×</v>
      </c>
      <c r="BD53" s="796" t="str">
        <f t="shared" si="8"/>
        <v>×</v>
      </c>
      <c r="BE53" s="798" t="str">
        <f t="shared" si="9"/>
        <v>×</v>
      </c>
      <c r="BF53" s="854" t="str">
        <f t="shared" si="10"/>
        <v>×</v>
      </c>
      <c r="BG53" s="799" t="s">
        <v>8</v>
      </c>
      <c r="BH53" s="800" t="str">
        <f t="shared" si="12"/>
        <v>×</v>
      </c>
      <c r="BI53" s="798" t="str">
        <f t="shared" si="14"/>
        <v>×</v>
      </c>
      <c r="BJ53" s="800" t="str">
        <f t="shared" si="15"/>
        <v>×</v>
      </c>
      <c r="BK53" s="796" t="str">
        <f t="shared" si="16"/>
        <v>×</v>
      </c>
      <c r="BL53" s="797" t="str">
        <f t="shared" si="17"/>
        <v>×</v>
      </c>
      <c r="BM53" s="802" t="str">
        <f t="shared" si="11"/>
        <v>×</v>
      </c>
      <c r="BN53" s="801" t="str">
        <f t="shared" si="18"/>
        <v>×</v>
      </c>
      <c r="BO53" s="1193"/>
      <c r="BP53" s="845"/>
      <c r="BQ53" s="845"/>
      <c r="BR53" s="845"/>
      <c r="BS53" s="845"/>
      <c r="BT53" s="845"/>
      <c r="BU53" s="845"/>
      <c r="BV53" s="845"/>
      <c r="BW53" s="868"/>
      <c r="BX53" s="868"/>
      <c r="BY53" s="840"/>
    </row>
    <row r="54" spans="1:77" s="840" customFormat="1" ht="13.5" customHeight="1" thickBot="1">
      <c r="A54" s="856"/>
      <c r="B54" s="832" t="s">
        <v>685</v>
      </c>
      <c r="C54" s="841">
        <v>0</v>
      </c>
      <c r="D54" s="842">
        <v>0</v>
      </c>
      <c r="E54" s="843">
        <v>0</v>
      </c>
      <c r="F54" s="708" t="s">
        <v>8</v>
      </c>
      <c r="G54" s="836" t="s">
        <v>8</v>
      </c>
      <c r="H54" s="708" t="s">
        <v>8</v>
      </c>
      <c r="I54" s="836" t="s">
        <v>8</v>
      </c>
      <c r="J54" s="836" t="s">
        <v>8</v>
      </c>
      <c r="K54" s="708" t="str">
        <f t="shared" si="21"/>
        <v>×</v>
      </c>
      <c r="L54" s="706" t="s">
        <v>8</v>
      </c>
      <c r="M54" s="708" t="s">
        <v>8</v>
      </c>
      <c r="N54" s="706" t="s">
        <v>8</v>
      </c>
      <c r="O54" s="706" t="s">
        <v>8</v>
      </c>
      <c r="P54" s="706" t="s">
        <v>8</v>
      </c>
      <c r="Q54" s="706" t="s">
        <v>8</v>
      </c>
      <c r="R54" s="706" t="s">
        <v>8</v>
      </c>
      <c r="S54" s="706" t="s">
        <v>8</v>
      </c>
      <c r="T54" s="706" t="s">
        <v>8</v>
      </c>
      <c r="U54" s="706" t="s">
        <v>8</v>
      </c>
      <c r="V54" s="706" t="s">
        <v>8</v>
      </c>
      <c r="W54" s="706" t="s">
        <v>8</v>
      </c>
      <c r="X54" s="706" t="s">
        <v>8</v>
      </c>
      <c r="Y54" s="706" t="s">
        <v>8</v>
      </c>
      <c r="Z54" s="706" t="s">
        <v>8</v>
      </c>
      <c r="AA54" s="706" t="s">
        <v>8</v>
      </c>
      <c r="AB54" s="706" t="s">
        <v>8</v>
      </c>
      <c r="AC54" s="706" t="s">
        <v>8</v>
      </c>
      <c r="AD54" s="706" t="s">
        <v>8</v>
      </c>
      <c r="AE54" s="706" t="s">
        <v>8</v>
      </c>
      <c r="AF54" s="706" t="str">
        <f t="shared" si="22"/>
        <v>×</v>
      </c>
      <c r="AG54" s="706" t="s">
        <v>8</v>
      </c>
      <c r="AH54" s="706" t="s">
        <v>8</v>
      </c>
      <c r="AI54" s="706" t="s">
        <v>8</v>
      </c>
      <c r="AJ54" s="837" t="s">
        <v>8</v>
      </c>
      <c r="AK54" s="837" t="s">
        <v>8</v>
      </c>
      <c r="AL54" s="706" t="s">
        <v>8</v>
      </c>
      <c r="AM54" s="837" t="str">
        <f t="shared" si="23"/>
        <v>×</v>
      </c>
      <c r="AN54" s="837"/>
      <c r="AO54" s="837" t="str">
        <f t="shared" si="13"/>
        <v>×</v>
      </c>
      <c r="AP54" s="706" t="s">
        <v>8</v>
      </c>
      <c r="AQ54" s="706" t="s">
        <v>8</v>
      </c>
      <c r="AR54" s="706" t="s">
        <v>8</v>
      </c>
      <c r="AS54" s="706" t="s">
        <v>8</v>
      </c>
      <c r="AT54" s="706" t="s">
        <v>8</v>
      </c>
      <c r="AU54" s="706" t="s">
        <v>8</v>
      </c>
      <c r="AV54" s="739" t="s">
        <v>58</v>
      </c>
      <c r="AW54" s="920" t="str">
        <f t="shared" si="25"/>
        <v>×</v>
      </c>
      <c r="AX54" s="927" t="s">
        <v>8</v>
      </c>
      <c r="AY54" s="706" t="s">
        <v>8</v>
      </c>
      <c r="AZ54" s="928" t="s">
        <v>8</v>
      </c>
      <c r="BA54" s="839" t="str">
        <f t="shared" si="5"/>
        <v>×</v>
      </c>
      <c r="BB54" s="798" t="str">
        <f t="shared" si="6"/>
        <v>×</v>
      </c>
      <c r="BC54" s="797" t="str">
        <f t="shared" si="7"/>
        <v>×</v>
      </c>
      <c r="BD54" s="796" t="str">
        <f t="shared" si="8"/>
        <v>×</v>
      </c>
      <c r="BE54" s="798" t="str">
        <f t="shared" si="9"/>
        <v>×</v>
      </c>
      <c r="BF54" s="854" t="str">
        <f t="shared" si="10"/>
        <v>×</v>
      </c>
      <c r="BG54" s="799" t="s">
        <v>8</v>
      </c>
      <c r="BH54" s="800" t="str">
        <f t="shared" si="12"/>
        <v>×</v>
      </c>
      <c r="BI54" s="798" t="str">
        <f t="shared" si="14"/>
        <v>×</v>
      </c>
      <c r="BJ54" s="800" t="str">
        <f t="shared" si="15"/>
        <v>×</v>
      </c>
      <c r="BK54" s="796" t="str">
        <f t="shared" si="16"/>
        <v>×</v>
      </c>
      <c r="BL54" s="797" t="str">
        <f t="shared" si="17"/>
        <v>×</v>
      </c>
      <c r="BM54" s="802" t="str">
        <f t="shared" si="11"/>
        <v>×</v>
      </c>
      <c r="BN54" s="801" t="str">
        <f t="shared" si="18"/>
        <v>×</v>
      </c>
      <c r="BO54" s="864"/>
    </row>
    <row r="55" spans="1:77" ht="13.5" customHeight="1" thickBot="1">
      <c r="A55" s="885" t="s">
        <v>210</v>
      </c>
      <c r="B55" s="549" t="s">
        <v>1043</v>
      </c>
      <c r="C55" s="417">
        <v>0</v>
      </c>
      <c r="D55" s="418">
        <v>0</v>
      </c>
      <c r="E55" s="419">
        <v>0</v>
      </c>
      <c r="F55" s="51" t="s">
        <v>1044</v>
      </c>
      <c r="G55" s="51" t="s">
        <v>8</v>
      </c>
      <c r="H55" s="51" t="s">
        <v>58</v>
      </c>
      <c r="I55" s="51" t="s">
        <v>8</v>
      </c>
      <c r="J55" s="51" t="s">
        <v>8</v>
      </c>
      <c r="K55" s="51" t="str">
        <f t="shared" si="21"/>
        <v>○</v>
      </c>
      <c r="L55" s="51" t="s">
        <v>1044</v>
      </c>
      <c r="M55" s="51" t="s">
        <v>1044</v>
      </c>
      <c r="N55" s="51" t="s">
        <v>1044</v>
      </c>
      <c r="O55" s="51" t="s">
        <v>1044</v>
      </c>
      <c r="P55" s="51" t="s">
        <v>1044</v>
      </c>
      <c r="Q55" s="51" t="s">
        <v>1044</v>
      </c>
      <c r="R55" s="34" t="s">
        <v>8</v>
      </c>
      <c r="S55" s="51" t="s">
        <v>1044</v>
      </c>
      <c r="T55" s="51" t="s">
        <v>1044</v>
      </c>
      <c r="U55" s="51" t="s">
        <v>1044</v>
      </c>
      <c r="V55" s="706" t="s">
        <v>8</v>
      </c>
      <c r="W55" s="34" t="s">
        <v>8</v>
      </c>
      <c r="X55" s="51" t="s">
        <v>1044</v>
      </c>
      <c r="Y55" s="34" t="s">
        <v>8</v>
      </c>
      <c r="Z55" s="34" t="s">
        <v>8</v>
      </c>
      <c r="AA55" s="34" t="s">
        <v>8</v>
      </c>
      <c r="AB55" s="51" t="s">
        <v>1044</v>
      </c>
      <c r="AC55" s="51" t="s">
        <v>1044</v>
      </c>
      <c r="AD55" s="706" t="s">
        <v>8</v>
      </c>
      <c r="AE55" s="34" t="s">
        <v>8</v>
      </c>
      <c r="AF55" s="34" t="str">
        <f t="shared" si="22"/>
        <v>×</v>
      </c>
      <c r="AG55" s="34" t="s">
        <v>58</v>
      </c>
      <c r="AH55" s="706" t="s">
        <v>8</v>
      </c>
      <c r="AI55" s="706" t="s">
        <v>8</v>
      </c>
      <c r="AJ55" s="36" t="s">
        <v>8</v>
      </c>
      <c r="AK55" s="36" t="s">
        <v>8</v>
      </c>
      <c r="AL55" s="34" t="s">
        <v>8</v>
      </c>
      <c r="AM55" s="36" t="str">
        <f t="shared" si="23"/>
        <v>×</v>
      </c>
      <c r="AN55" s="36"/>
      <c r="AO55" s="428" t="str">
        <f t="shared" si="13"/>
        <v>×</v>
      </c>
      <c r="AP55" s="706" t="s">
        <v>8</v>
      </c>
      <c r="AQ55" s="34" t="s">
        <v>8</v>
      </c>
      <c r="AR55" s="34" t="s">
        <v>8</v>
      </c>
      <c r="AS55" s="706" t="s">
        <v>8</v>
      </c>
      <c r="AT55" s="34" t="s">
        <v>8</v>
      </c>
      <c r="AU55" s="34" t="s">
        <v>8</v>
      </c>
      <c r="AV55" s="62" t="s">
        <v>58</v>
      </c>
      <c r="AW55" s="36" t="str">
        <f t="shared" si="25"/>
        <v>×</v>
      </c>
      <c r="AX55" s="927" t="s">
        <v>8</v>
      </c>
      <c r="AY55" s="706" t="s">
        <v>8</v>
      </c>
      <c r="AZ55" s="928" t="s">
        <v>8</v>
      </c>
      <c r="BA55" s="813" t="str">
        <f t="shared" si="5"/>
        <v>×</v>
      </c>
      <c r="BB55" s="767" t="str">
        <f t="shared" si="6"/>
        <v>×</v>
      </c>
      <c r="BC55" s="768" t="str">
        <f t="shared" si="7"/>
        <v>×</v>
      </c>
      <c r="BD55" s="765" t="str">
        <f t="shared" si="8"/>
        <v>×</v>
      </c>
      <c r="BE55" s="767" t="str">
        <f t="shared" si="9"/>
        <v>×</v>
      </c>
      <c r="BF55" s="819" t="str">
        <f t="shared" si="10"/>
        <v>×</v>
      </c>
      <c r="BG55" s="766" t="s">
        <v>8</v>
      </c>
      <c r="BH55" s="804" t="str">
        <f t="shared" si="12"/>
        <v>×</v>
      </c>
      <c r="BI55" s="767" t="str">
        <f t="shared" si="14"/>
        <v>×</v>
      </c>
      <c r="BJ55" s="804" t="str">
        <f t="shared" si="15"/>
        <v>×</v>
      </c>
      <c r="BK55" s="765" t="str">
        <f t="shared" si="16"/>
        <v>×</v>
      </c>
      <c r="BL55" s="768" t="str">
        <f t="shared" si="17"/>
        <v>×</v>
      </c>
      <c r="BM55" s="787" t="str">
        <f t="shared" si="11"/>
        <v>×</v>
      </c>
      <c r="BN55" s="805" t="str">
        <f t="shared" si="18"/>
        <v>×</v>
      </c>
      <c r="BO55" s="884" t="s">
        <v>162</v>
      </c>
    </row>
    <row r="56" spans="1:77" s="840" customFormat="1" ht="13.5" customHeight="1" thickBot="1">
      <c r="A56" s="870" t="s">
        <v>211</v>
      </c>
      <c r="B56" s="863" t="s">
        <v>677</v>
      </c>
      <c r="C56" s="841">
        <v>0</v>
      </c>
      <c r="D56" s="842">
        <v>0</v>
      </c>
      <c r="E56" s="843">
        <v>0</v>
      </c>
      <c r="F56" s="871" t="s">
        <v>161</v>
      </c>
      <c r="G56" s="872" t="s">
        <v>8</v>
      </c>
      <c r="H56" s="871" t="s">
        <v>161</v>
      </c>
      <c r="I56" s="872" t="s">
        <v>8</v>
      </c>
      <c r="J56" s="872" t="s">
        <v>8</v>
      </c>
      <c r="K56" s="871" t="str">
        <f t="shared" si="21"/>
        <v>×</v>
      </c>
      <c r="L56" s="741" t="s">
        <v>161</v>
      </c>
      <c r="M56" s="871" t="s">
        <v>161</v>
      </c>
      <c r="N56" s="741" t="s">
        <v>58</v>
      </c>
      <c r="O56" s="741" t="s">
        <v>58</v>
      </c>
      <c r="P56" s="741" t="s">
        <v>58</v>
      </c>
      <c r="Q56" s="741" t="s">
        <v>58</v>
      </c>
      <c r="R56" s="741" t="s">
        <v>161</v>
      </c>
      <c r="S56" s="741" t="s">
        <v>161</v>
      </c>
      <c r="T56" s="741" t="s">
        <v>161</v>
      </c>
      <c r="U56" s="741" t="s">
        <v>161</v>
      </c>
      <c r="V56" s="741" t="s">
        <v>8</v>
      </c>
      <c r="W56" s="741" t="s">
        <v>8</v>
      </c>
      <c r="X56" s="741" t="s">
        <v>8</v>
      </c>
      <c r="Y56" s="741" t="s">
        <v>8</v>
      </c>
      <c r="Z56" s="741" t="s">
        <v>8</v>
      </c>
      <c r="AA56" s="741" t="s">
        <v>8</v>
      </c>
      <c r="AB56" s="741" t="s">
        <v>161</v>
      </c>
      <c r="AC56" s="741" t="s">
        <v>161</v>
      </c>
      <c r="AD56" s="741" t="s">
        <v>8</v>
      </c>
      <c r="AE56" s="741" t="s">
        <v>8</v>
      </c>
      <c r="AF56" s="741" t="str">
        <f t="shared" si="22"/>
        <v>×</v>
      </c>
      <c r="AG56" s="741" t="s">
        <v>161</v>
      </c>
      <c r="AH56" s="741" t="s">
        <v>8</v>
      </c>
      <c r="AI56" s="741" t="s">
        <v>8</v>
      </c>
      <c r="AJ56" s="873" t="s">
        <v>8</v>
      </c>
      <c r="AK56" s="873" t="s">
        <v>8</v>
      </c>
      <c r="AL56" s="740" t="s">
        <v>8</v>
      </c>
      <c r="AM56" s="873" t="str">
        <f t="shared" si="23"/>
        <v>×</v>
      </c>
      <c r="AN56" s="873"/>
      <c r="AO56" s="837" t="str">
        <f t="shared" si="13"/>
        <v>×</v>
      </c>
      <c r="AP56" s="741" t="s">
        <v>8</v>
      </c>
      <c r="AQ56" s="741" t="s">
        <v>8</v>
      </c>
      <c r="AR56" s="741" t="s">
        <v>8</v>
      </c>
      <c r="AS56" s="741" t="s">
        <v>8</v>
      </c>
      <c r="AT56" s="741" t="s">
        <v>8</v>
      </c>
      <c r="AU56" s="706" t="s">
        <v>8</v>
      </c>
      <c r="AV56" s="741" t="s">
        <v>58</v>
      </c>
      <c r="AW56" s="873" t="str">
        <f t="shared" si="25"/>
        <v>×</v>
      </c>
      <c r="AX56" s="929" t="s">
        <v>8</v>
      </c>
      <c r="AY56" s="741" t="s">
        <v>8</v>
      </c>
      <c r="AZ56" s="930" t="s">
        <v>8</v>
      </c>
      <c r="BA56" s="839" t="str">
        <f t="shared" si="5"/>
        <v>×</v>
      </c>
      <c r="BB56" s="798" t="str">
        <f t="shared" si="6"/>
        <v>×</v>
      </c>
      <c r="BC56" s="797" t="str">
        <f t="shared" si="7"/>
        <v>×</v>
      </c>
      <c r="BD56" s="874" t="str">
        <f t="shared" si="8"/>
        <v>×</v>
      </c>
      <c r="BE56" s="798" t="str">
        <f t="shared" si="9"/>
        <v>×</v>
      </c>
      <c r="BF56" s="875" t="str">
        <f t="shared" si="10"/>
        <v>×</v>
      </c>
      <c r="BG56" s="803" t="s">
        <v>150</v>
      </c>
      <c r="BH56" s="800" t="str">
        <f t="shared" si="12"/>
        <v>×</v>
      </c>
      <c r="BI56" s="798" t="str">
        <f t="shared" si="14"/>
        <v>×</v>
      </c>
      <c r="BJ56" s="800" t="str">
        <f t="shared" si="15"/>
        <v>×</v>
      </c>
      <c r="BK56" s="796" t="str">
        <f t="shared" si="16"/>
        <v>×</v>
      </c>
      <c r="BL56" s="797" t="str">
        <f t="shared" si="17"/>
        <v>×</v>
      </c>
      <c r="BM56" s="803" t="str">
        <f t="shared" si="11"/>
        <v>×</v>
      </c>
      <c r="BN56" s="801" t="str">
        <f t="shared" si="18"/>
        <v>×</v>
      </c>
      <c r="BO56" s="876"/>
    </row>
    <row r="57" spans="1:77" ht="13.5" customHeight="1">
      <c r="A57" s="1075" t="s">
        <v>928</v>
      </c>
      <c r="B57" s="580" t="s">
        <v>729</v>
      </c>
      <c r="C57" s="654">
        <v>0</v>
      </c>
      <c r="D57" s="658">
        <v>64</v>
      </c>
      <c r="E57" s="659">
        <v>70</v>
      </c>
      <c r="F57" s="114" t="s">
        <v>58</v>
      </c>
      <c r="G57" s="660" t="s">
        <v>8</v>
      </c>
      <c r="H57" s="114" t="s">
        <v>58</v>
      </c>
      <c r="I57" s="660" t="s">
        <v>8</v>
      </c>
      <c r="J57" s="660" t="s">
        <v>8</v>
      </c>
      <c r="K57" s="114" t="str">
        <f t="shared" ref="K57:K66" si="29">F57</f>
        <v>×</v>
      </c>
      <c r="L57" s="53" t="s">
        <v>637</v>
      </c>
      <c r="M57" s="114" t="s">
        <v>58</v>
      </c>
      <c r="N57" s="53" t="s">
        <v>58</v>
      </c>
      <c r="O57" s="114" t="s">
        <v>58</v>
      </c>
      <c r="P57" s="114" t="s">
        <v>58</v>
      </c>
      <c r="Q57" s="114" t="s">
        <v>58</v>
      </c>
      <c r="R57" s="53" t="s">
        <v>637</v>
      </c>
      <c r="S57" s="53" t="s">
        <v>637</v>
      </c>
      <c r="T57" s="53" t="s">
        <v>637</v>
      </c>
      <c r="U57" s="53" t="s">
        <v>637</v>
      </c>
      <c r="V57" s="881" t="s">
        <v>8</v>
      </c>
      <c r="W57" s="53" t="s">
        <v>637</v>
      </c>
      <c r="X57" s="404" t="s">
        <v>637</v>
      </c>
      <c r="Y57" s="404" t="s">
        <v>637</v>
      </c>
      <c r="Z57" s="404" t="s">
        <v>637</v>
      </c>
      <c r="AA57" s="404" t="s">
        <v>637</v>
      </c>
      <c r="AB57" s="53" t="s">
        <v>637</v>
      </c>
      <c r="AC57" s="53" t="s">
        <v>637</v>
      </c>
      <c r="AD57" s="881" t="s">
        <v>8</v>
      </c>
      <c r="AE57" s="53" t="s">
        <v>637</v>
      </c>
      <c r="AF57" s="404" t="str">
        <f t="shared" si="22"/>
        <v>○</v>
      </c>
      <c r="AG57" s="53" t="s">
        <v>637</v>
      </c>
      <c r="AH57" s="881" t="s">
        <v>8</v>
      </c>
      <c r="AI57" s="881" t="s">
        <v>8</v>
      </c>
      <c r="AJ57" s="54" t="s">
        <v>637</v>
      </c>
      <c r="AK57" s="54" t="s">
        <v>637</v>
      </c>
      <c r="AL57" s="62" t="s">
        <v>637</v>
      </c>
      <c r="AM57" s="579" t="str">
        <f t="shared" si="23"/>
        <v>○</v>
      </c>
      <c r="AN57" s="579"/>
      <c r="AO57" s="428" t="str">
        <f t="shared" si="13"/>
        <v>○</v>
      </c>
      <c r="AP57" s="881" t="s">
        <v>8</v>
      </c>
      <c r="AQ57" s="53" t="s">
        <v>637</v>
      </c>
      <c r="AR57" s="404" t="s">
        <v>637</v>
      </c>
      <c r="AS57" s="881" t="s">
        <v>8</v>
      </c>
      <c r="AT57" s="53" t="s">
        <v>637</v>
      </c>
      <c r="AU57" s="404" t="str">
        <f t="shared" ref="AU57:AU68" si="30">$Z:$Z</f>
        <v>○</v>
      </c>
      <c r="AV57" s="404" t="s">
        <v>638</v>
      </c>
      <c r="AW57" s="579" t="str">
        <f t="shared" si="25"/>
        <v>○</v>
      </c>
      <c r="AX57" s="931" t="s">
        <v>8</v>
      </c>
      <c r="AY57" s="881" t="s">
        <v>8</v>
      </c>
      <c r="AZ57" s="932" t="s">
        <v>8</v>
      </c>
      <c r="BA57" s="813" t="str">
        <f t="shared" si="5"/>
        <v>○</v>
      </c>
      <c r="BB57" s="767" t="str">
        <f t="shared" si="6"/>
        <v>○</v>
      </c>
      <c r="BC57" s="768" t="str">
        <f t="shared" si="7"/>
        <v>○</v>
      </c>
      <c r="BD57" s="821" t="str">
        <f t="shared" si="8"/>
        <v>○</v>
      </c>
      <c r="BE57" s="814" t="str">
        <f t="shared" si="9"/>
        <v>○</v>
      </c>
      <c r="BF57" s="815" t="str">
        <f t="shared" si="10"/>
        <v>○</v>
      </c>
      <c r="BG57" s="808" t="s">
        <v>10</v>
      </c>
      <c r="BH57" s="804" t="str">
        <f t="shared" si="12"/>
        <v>○</v>
      </c>
      <c r="BI57" s="767" t="str">
        <f t="shared" si="14"/>
        <v>×</v>
      </c>
      <c r="BJ57" s="804" t="str">
        <f t="shared" si="15"/>
        <v>×</v>
      </c>
      <c r="BK57" s="765" t="str">
        <f t="shared" si="16"/>
        <v>○</v>
      </c>
      <c r="BL57" s="768" t="str">
        <f t="shared" si="17"/>
        <v>○</v>
      </c>
      <c r="BM57" s="808" t="str">
        <f t="shared" si="11"/>
        <v>○</v>
      </c>
      <c r="BN57" s="762" t="str">
        <f t="shared" si="18"/>
        <v>○</v>
      </c>
      <c r="BO57" s="657" t="s">
        <v>929</v>
      </c>
    </row>
    <row r="58" spans="1:77" ht="13.5" customHeight="1">
      <c r="A58" s="1076"/>
      <c r="B58" s="551" t="s">
        <v>730</v>
      </c>
      <c r="C58" s="422">
        <v>0</v>
      </c>
      <c r="D58" s="418">
        <v>71</v>
      </c>
      <c r="E58" s="419">
        <v>82</v>
      </c>
      <c r="F58" s="51" t="s">
        <v>58</v>
      </c>
      <c r="G58" s="568" t="s">
        <v>8</v>
      </c>
      <c r="H58" s="51" t="s">
        <v>58</v>
      </c>
      <c r="I58" s="568" t="s">
        <v>8</v>
      </c>
      <c r="J58" s="568" t="s">
        <v>8</v>
      </c>
      <c r="K58" s="51" t="str">
        <f t="shared" si="29"/>
        <v>×</v>
      </c>
      <c r="L58" s="34" t="s">
        <v>637</v>
      </c>
      <c r="M58" s="51" t="s">
        <v>927</v>
      </c>
      <c r="N58" s="51" t="s">
        <v>58</v>
      </c>
      <c r="O58" s="51" t="s">
        <v>58</v>
      </c>
      <c r="P58" s="51" t="s">
        <v>58</v>
      </c>
      <c r="Q58" s="51" t="s">
        <v>58</v>
      </c>
      <c r="R58" s="34" t="s">
        <v>637</v>
      </c>
      <c r="S58" s="34" t="s">
        <v>637</v>
      </c>
      <c r="T58" s="34" t="s">
        <v>637</v>
      </c>
      <c r="U58" s="34" t="s">
        <v>637</v>
      </c>
      <c r="V58" s="706" t="s">
        <v>8</v>
      </c>
      <c r="W58" s="34" t="s">
        <v>637</v>
      </c>
      <c r="X58" s="395" t="s">
        <v>637</v>
      </c>
      <c r="Y58" s="395" t="s">
        <v>637</v>
      </c>
      <c r="Z58" s="395" t="s">
        <v>637</v>
      </c>
      <c r="AA58" s="395" t="s">
        <v>637</v>
      </c>
      <c r="AB58" s="34" t="s">
        <v>637</v>
      </c>
      <c r="AC58" s="34" t="s">
        <v>637</v>
      </c>
      <c r="AD58" s="706" t="s">
        <v>8</v>
      </c>
      <c r="AE58" s="34" t="s">
        <v>637</v>
      </c>
      <c r="AF58" s="395" t="str">
        <f t="shared" si="22"/>
        <v>○</v>
      </c>
      <c r="AG58" s="34" t="s">
        <v>637</v>
      </c>
      <c r="AH58" s="706" t="s">
        <v>8</v>
      </c>
      <c r="AI58" s="706" t="s">
        <v>8</v>
      </c>
      <c r="AJ58" s="36" t="s">
        <v>637</v>
      </c>
      <c r="AK58" s="36" t="s">
        <v>637</v>
      </c>
      <c r="AL58" s="34" t="s">
        <v>637</v>
      </c>
      <c r="AM58" s="428" t="str">
        <f t="shared" si="23"/>
        <v>○</v>
      </c>
      <c r="AN58" s="428"/>
      <c r="AO58" s="428" t="str">
        <f t="shared" si="13"/>
        <v>○</v>
      </c>
      <c r="AP58" s="706" t="s">
        <v>8</v>
      </c>
      <c r="AQ58" s="34" t="s">
        <v>637</v>
      </c>
      <c r="AR58" s="395" t="s">
        <v>637</v>
      </c>
      <c r="AS58" s="706" t="s">
        <v>8</v>
      </c>
      <c r="AT58" s="34" t="s">
        <v>637</v>
      </c>
      <c r="AU58" s="395" t="str">
        <f t="shared" si="30"/>
        <v>○</v>
      </c>
      <c r="AV58" s="395" t="s">
        <v>638</v>
      </c>
      <c r="AW58" s="428" t="str">
        <f t="shared" si="25"/>
        <v>○</v>
      </c>
      <c r="AX58" s="927" t="s">
        <v>8</v>
      </c>
      <c r="AY58" s="706" t="s">
        <v>8</v>
      </c>
      <c r="AZ58" s="928" t="s">
        <v>8</v>
      </c>
      <c r="BA58" s="813" t="str">
        <f t="shared" si="5"/>
        <v>○</v>
      </c>
      <c r="BB58" s="767" t="str">
        <f t="shared" si="6"/>
        <v>○</v>
      </c>
      <c r="BC58" s="768" t="str">
        <f t="shared" si="7"/>
        <v>○</v>
      </c>
      <c r="BD58" s="765" t="str">
        <f t="shared" si="8"/>
        <v>○</v>
      </c>
      <c r="BE58" s="767" t="str">
        <f t="shared" si="9"/>
        <v>○</v>
      </c>
      <c r="BF58" s="768" t="str">
        <f t="shared" si="10"/>
        <v>○</v>
      </c>
      <c r="BG58" s="766" t="s">
        <v>10</v>
      </c>
      <c r="BH58" s="804" t="str">
        <f t="shared" si="12"/>
        <v>○</v>
      </c>
      <c r="BI58" s="767" t="str">
        <f t="shared" si="14"/>
        <v>×</v>
      </c>
      <c r="BJ58" s="804" t="str">
        <f t="shared" si="15"/>
        <v>×</v>
      </c>
      <c r="BK58" s="765" t="str">
        <f t="shared" si="16"/>
        <v>○</v>
      </c>
      <c r="BL58" s="768" t="str">
        <f t="shared" si="17"/>
        <v>○</v>
      </c>
      <c r="BM58" s="766" t="str">
        <f t="shared" si="11"/>
        <v>○</v>
      </c>
      <c r="BN58" s="762" t="str">
        <f t="shared" si="18"/>
        <v>○</v>
      </c>
      <c r="BO58" s="657"/>
    </row>
    <row r="59" spans="1:77" s="840" customFormat="1" ht="13.5" customHeight="1">
      <c r="A59" s="1076"/>
      <c r="B59" s="863" t="s">
        <v>731</v>
      </c>
      <c r="C59" s="841">
        <v>0</v>
      </c>
      <c r="D59" s="842">
        <v>0</v>
      </c>
      <c r="E59" s="843">
        <v>0</v>
      </c>
      <c r="F59" s="708" t="s">
        <v>58</v>
      </c>
      <c r="G59" s="836" t="s">
        <v>8</v>
      </c>
      <c r="H59" s="708" t="s">
        <v>58</v>
      </c>
      <c r="I59" s="836" t="s">
        <v>8</v>
      </c>
      <c r="J59" s="836" t="s">
        <v>8</v>
      </c>
      <c r="K59" s="708" t="str">
        <f>F59</f>
        <v>×</v>
      </c>
      <c r="L59" s="708" t="str">
        <f>G59</f>
        <v>×</v>
      </c>
      <c r="M59" s="708" t="s">
        <v>917</v>
      </c>
      <c r="N59" s="706" t="s">
        <v>58</v>
      </c>
      <c r="O59" s="706" t="s">
        <v>58</v>
      </c>
      <c r="P59" s="706" t="s">
        <v>58</v>
      </c>
      <c r="Q59" s="706" t="s">
        <v>58</v>
      </c>
      <c r="R59" s="708" t="str">
        <f t="shared" ref="R59:W63" si="31">I59</f>
        <v>×</v>
      </c>
      <c r="S59" s="708" t="str">
        <f t="shared" si="31"/>
        <v>×</v>
      </c>
      <c r="T59" s="708" t="str">
        <f t="shared" si="31"/>
        <v>×</v>
      </c>
      <c r="U59" s="708" t="str">
        <f t="shared" si="31"/>
        <v>×</v>
      </c>
      <c r="V59" s="706" t="s">
        <v>8</v>
      </c>
      <c r="W59" s="708" t="str">
        <f t="shared" si="31"/>
        <v>×</v>
      </c>
      <c r="X59" s="708" t="str">
        <f t="shared" ref="X59:AB63" si="32">R59</f>
        <v>×</v>
      </c>
      <c r="Y59" s="708" t="str">
        <f t="shared" si="32"/>
        <v>×</v>
      </c>
      <c r="Z59" s="708" t="str">
        <f t="shared" si="32"/>
        <v>×</v>
      </c>
      <c r="AA59" s="708" t="str">
        <f t="shared" si="32"/>
        <v>×</v>
      </c>
      <c r="AB59" s="708" t="str">
        <f t="shared" si="32"/>
        <v>×</v>
      </c>
      <c r="AC59" s="708" t="str">
        <f t="shared" ref="AC59:AE60" si="33">X59</f>
        <v>×</v>
      </c>
      <c r="AD59" s="706" t="s">
        <v>8</v>
      </c>
      <c r="AE59" s="708" t="str">
        <f t="shared" si="33"/>
        <v>×</v>
      </c>
      <c r="AF59" s="706" t="str">
        <f t="shared" si="22"/>
        <v>×</v>
      </c>
      <c r="AG59" s="708" t="str">
        <f t="shared" ref="AG59:AK63" si="34">AA59</f>
        <v>×</v>
      </c>
      <c r="AH59" s="706" t="s">
        <v>8</v>
      </c>
      <c r="AI59" s="706" t="s">
        <v>8</v>
      </c>
      <c r="AJ59" s="708" t="str">
        <f t="shared" si="34"/>
        <v>×</v>
      </c>
      <c r="AK59" s="711" t="str">
        <f t="shared" si="34"/>
        <v>×</v>
      </c>
      <c r="AL59" s="706" t="str">
        <f>AE59</f>
        <v>×</v>
      </c>
      <c r="AM59" s="837" t="str">
        <f t="shared" si="23"/>
        <v>×</v>
      </c>
      <c r="AN59" s="837"/>
      <c r="AO59" s="837" t="str">
        <f t="shared" si="13"/>
        <v>×</v>
      </c>
      <c r="AP59" s="706" t="s">
        <v>8</v>
      </c>
      <c r="AQ59" s="706" t="s">
        <v>8</v>
      </c>
      <c r="AR59" s="706" t="s">
        <v>8</v>
      </c>
      <c r="AS59" s="706" t="s">
        <v>8</v>
      </c>
      <c r="AT59" s="706" t="s">
        <v>8</v>
      </c>
      <c r="AU59" s="706" t="str">
        <f t="shared" si="30"/>
        <v>×</v>
      </c>
      <c r="AV59" s="706" t="s">
        <v>8</v>
      </c>
      <c r="AW59" s="837" t="str">
        <f t="shared" si="25"/>
        <v>×</v>
      </c>
      <c r="AX59" s="927" t="s">
        <v>8</v>
      </c>
      <c r="AY59" s="706" t="s">
        <v>8</v>
      </c>
      <c r="AZ59" s="928" t="s">
        <v>8</v>
      </c>
      <c r="BA59" s="839" t="str">
        <f t="shared" si="5"/>
        <v>×</v>
      </c>
      <c r="BB59" s="798" t="str">
        <f t="shared" si="6"/>
        <v>×</v>
      </c>
      <c r="BC59" s="797" t="str">
        <f t="shared" si="7"/>
        <v>×</v>
      </c>
      <c r="BD59" s="796" t="str">
        <f t="shared" si="8"/>
        <v>×</v>
      </c>
      <c r="BE59" s="798" t="str">
        <f t="shared" si="9"/>
        <v>×</v>
      </c>
      <c r="BF59" s="797" t="str">
        <f t="shared" si="10"/>
        <v>×</v>
      </c>
      <c r="BG59" s="799" t="s">
        <v>8</v>
      </c>
      <c r="BH59" s="800" t="str">
        <f t="shared" si="12"/>
        <v>×</v>
      </c>
      <c r="BI59" s="798" t="str">
        <f t="shared" si="14"/>
        <v>×</v>
      </c>
      <c r="BJ59" s="800" t="str">
        <f t="shared" si="15"/>
        <v>×</v>
      </c>
      <c r="BK59" s="796" t="str">
        <f t="shared" si="16"/>
        <v>×</v>
      </c>
      <c r="BL59" s="797" t="str">
        <f t="shared" si="17"/>
        <v>×</v>
      </c>
      <c r="BM59" s="799" t="str">
        <f t="shared" si="11"/>
        <v>×</v>
      </c>
      <c r="BN59" s="801" t="str">
        <f t="shared" si="18"/>
        <v>×</v>
      </c>
      <c r="BO59" s="877"/>
    </row>
    <row r="60" spans="1:77" s="840" customFormat="1" ht="13.5" customHeight="1">
      <c r="A60" s="1076"/>
      <c r="B60" s="863" t="s">
        <v>732</v>
      </c>
      <c r="C60" s="841">
        <v>0</v>
      </c>
      <c r="D60" s="842">
        <v>0</v>
      </c>
      <c r="E60" s="843">
        <v>0</v>
      </c>
      <c r="F60" s="708" t="s">
        <v>918</v>
      </c>
      <c r="G60" s="836" t="s">
        <v>8</v>
      </c>
      <c r="H60" s="708" t="s">
        <v>918</v>
      </c>
      <c r="I60" s="836" t="s">
        <v>8</v>
      </c>
      <c r="J60" s="836" t="s">
        <v>8</v>
      </c>
      <c r="K60" s="708" t="str">
        <f>F60</f>
        <v>×</v>
      </c>
      <c r="L60" s="708" t="str">
        <f>G60</f>
        <v>×</v>
      </c>
      <c r="M60" s="708" t="s">
        <v>918</v>
      </c>
      <c r="N60" s="706" t="s">
        <v>58</v>
      </c>
      <c r="O60" s="706" t="s">
        <v>58</v>
      </c>
      <c r="P60" s="706" t="s">
        <v>58</v>
      </c>
      <c r="Q60" s="706" t="s">
        <v>58</v>
      </c>
      <c r="R60" s="708" t="str">
        <f t="shared" si="31"/>
        <v>×</v>
      </c>
      <c r="S60" s="708" t="str">
        <f t="shared" si="31"/>
        <v>×</v>
      </c>
      <c r="T60" s="708" t="str">
        <f t="shared" si="31"/>
        <v>×</v>
      </c>
      <c r="U60" s="708" t="str">
        <f t="shared" si="31"/>
        <v>×</v>
      </c>
      <c r="V60" s="706" t="s">
        <v>8</v>
      </c>
      <c r="W60" s="708" t="str">
        <f t="shared" si="31"/>
        <v>×</v>
      </c>
      <c r="X60" s="708" t="str">
        <f t="shared" si="32"/>
        <v>×</v>
      </c>
      <c r="Y60" s="708" t="str">
        <f t="shared" si="32"/>
        <v>×</v>
      </c>
      <c r="Z60" s="708" t="str">
        <f t="shared" si="32"/>
        <v>×</v>
      </c>
      <c r="AA60" s="708" t="str">
        <f t="shared" si="32"/>
        <v>×</v>
      </c>
      <c r="AB60" s="708" t="str">
        <f t="shared" si="32"/>
        <v>×</v>
      </c>
      <c r="AC60" s="708" t="str">
        <f t="shared" si="33"/>
        <v>×</v>
      </c>
      <c r="AD60" s="706" t="s">
        <v>8</v>
      </c>
      <c r="AE60" s="708" t="str">
        <f t="shared" si="33"/>
        <v>×</v>
      </c>
      <c r="AF60" s="706" t="str">
        <f t="shared" si="22"/>
        <v>×</v>
      </c>
      <c r="AG60" s="708" t="str">
        <f t="shared" si="34"/>
        <v>×</v>
      </c>
      <c r="AH60" s="706" t="s">
        <v>8</v>
      </c>
      <c r="AI60" s="706" t="s">
        <v>8</v>
      </c>
      <c r="AJ60" s="708" t="str">
        <f t="shared" si="34"/>
        <v>×</v>
      </c>
      <c r="AK60" s="711" t="str">
        <f t="shared" si="34"/>
        <v>×</v>
      </c>
      <c r="AL60" s="706" t="str">
        <f>AE60</f>
        <v>×</v>
      </c>
      <c r="AM60" s="837" t="str">
        <f t="shared" si="23"/>
        <v>×</v>
      </c>
      <c r="AN60" s="837"/>
      <c r="AO60" s="837" t="str">
        <f t="shared" si="13"/>
        <v>×</v>
      </c>
      <c r="AP60" s="706" t="s">
        <v>8</v>
      </c>
      <c r="AQ60" s="706" t="s">
        <v>8</v>
      </c>
      <c r="AR60" s="706" t="s">
        <v>8</v>
      </c>
      <c r="AS60" s="706" t="s">
        <v>8</v>
      </c>
      <c r="AT60" s="706" t="s">
        <v>8</v>
      </c>
      <c r="AU60" s="706" t="str">
        <f t="shared" si="30"/>
        <v>×</v>
      </c>
      <c r="AV60" s="706" t="s">
        <v>8</v>
      </c>
      <c r="AW60" s="837" t="str">
        <f t="shared" si="25"/>
        <v>×</v>
      </c>
      <c r="AX60" s="927" t="s">
        <v>8</v>
      </c>
      <c r="AY60" s="706" t="s">
        <v>8</v>
      </c>
      <c r="AZ60" s="928" t="s">
        <v>8</v>
      </c>
      <c r="BA60" s="839" t="str">
        <f t="shared" si="5"/>
        <v>×</v>
      </c>
      <c r="BB60" s="798" t="str">
        <f t="shared" si="6"/>
        <v>×</v>
      </c>
      <c r="BC60" s="797" t="str">
        <f t="shared" si="7"/>
        <v>×</v>
      </c>
      <c r="BD60" s="796" t="str">
        <f t="shared" si="8"/>
        <v>×</v>
      </c>
      <c r="BE60" s="798" t="str">
        <f t="shared" si="9"/>
        <v>×</v>
      </c>
      <c r="BF60" s="797" t="str">
        <f t="shared" si="10"/>
        <v>×</v>
      </c>
      <c r="BG60" s="799" t="s">
        <v>8</v>
      </c>
      <c r="BH60" s="800" t="str">
        <f t="shared" si="12"/>
        <v>×</v>
      </c>
      <c r="BI60" s="798" t="str">
        <f t="shared" si="14"/>
        <v>×</v>
      </c>
      <c r="BJ60" s="800" t="str">
        <f t="shared" si="15"/>
        <v>×</v>
      </c>
      <c r="BK60" s="796" t="str">
        <f t="shared" si="16"/>
        <v>×</v>
      </c>
      <c r="BL60" s="797" t="str">
        <f t="shared" si="17"/>
        <v>×</v>
      </c>
      <c r="BM60" s="799" t="str">
        <f t="shared" si="11"/>
        <v>×</v>
      </c>
      <c r="BN60" s="801" t="str">
        <f t="shared" si="18"/>
        <v>×</v>
      </c>
      <c r="BO60" s="877"/>
    </row>
    <row r="61" spans="1:77" s="840" customFormat="1" ht="13.5" customHeight="1">
      <c r="A61" s="1076"/>
      <c r="B61" s="863" t="s">
        <v>733</v>
      </c>
      <c r="C61" s="841">
        <v>0</v>
      </c>
      <c r="D61" s="842">
        <v>0</v>
      </c>
      <c r="E61" s="843">
        <v>0</v>
      </c>
      <c r="F61" s="708" t="s">
        <v>58</v>
      </c>
      <c r="G61" s="836" t="s">
        <v>8</v>
      </c>
      <c r="H61" s="708" t="s">
        <v>58</v>
      </c>
      <c r="I61" s="836" t="s">
        <v>8</v>
      </c>
      <c r="J61" s="836" t="s">
        <v>8</v>
      </c>
      <c r="K61" s="708" t="str">
        <f t="shared" si="29"/>
        <v>×</v>
      </c>
      <c r="L61" s="708" t="str">
        <f>G61</f>
        <v>×</v>
      </c>
      <c r="M61" s="708" t="s">
        <v>58</v>
      </c>
      <c r="N61" s="706" t="s">
        <v>58</v>
      </c>
      <c r="O61" s="706" t="s">
        <v>58</v>
      </c>
      <c r="P61" s="706" t="s">
        <v>58</v>
      </c>
      <c r="Q61" s="706" t="s">
        <v>58</v>
      </c>
      <c r="R61" s="708" t="str">
        <f t="shared" si="31"/>
        <v>×</v>
      </c>
      <c r="S61" s="708" t="str">
        <f t="shared" si="31"/>
        <v>×</v>
      </c>
      <c r="T61" s="708" t="str">
        <f t="shared" si="31"/>
        <v>×</v>
      </c>
      <c r="U61" s="708" t="str">
        <f t="shared" si="31"/>
        <v>×</v>
      </c>
      <c r="V61" s="706" t="s">
        <v>8</v>
      </c>
      <c r="W61" s="708" t="str">
        <f t="shared" si="31"/>
        <v>×</v>
      </c>
      <c r="X61" s="708" t="str">
        <f t="shared" si="32"/>
        <v>×</v>
      </c>
      <c r="Y61" s="708" t="str">
        <f t="shared" si="32"/>
        <v>×</v>
      </c>
      <c r="Z61" s="708" t="str">
        <f t="shared" si="32"/>
        <v>×</v>
      </c>
      <c r="AA61" s="708" t="str">
        <f t="shared" si="32"/>
        <v>×</v>
      </c>
      <c r="AB61" s="708" t="str">
        <f t="shared" si="32"/>
        <v>×</v>
      </c>
      <c r="AC61" s="708" t="str">
        <f t="shared" ref="AC61:AC63" si="35">X61</f>
        <v>×</v>
      </c>
      <c r="AD61" s="706" t="s">
        <v>8</v>
      </c>
      <c r="AE61" s="708" t="str">
        <f t="shared" ref="AE61:AE63" si="36">Z61</f>
        <v>×</v>
      </c>
      <c r="AF61" s="706" t="str">
        <f t="shared" si="22"/>
        <v>×</v>
      </c>
      <c r="AG61" s="708" t="str">
        <f t="shared" si="34"/>
        <v>×</v>
      </c>
      <c r="AH61" s="706" t="s">
        <v>8</v>
      </c>
      <c r="AI61" s="706" t="s">
        <v>8</v>
      </c>
      <c r="AJ61" s="708" t="str">
        <f t="shared" si="34"/>
        <v>×</v>
      </c>
      <c r="AK61" s="711" t="str">
        <f t="shared" si="34"/>
        <v>×</v>
      </c>
      <c r="AL61" s="706" t="str">
        <f>AE61</f>
        <v>×</v>
      </c>
      <c r="AM61" s="837" t="str">
        <f t="shared" si="23"/>
        <v>×</v>
      </c>
      <c r="AN61" s="837"/>
      <c r="AO61" s="837" t="str">
        <f t="shared" si="13"/>
        <v>×</v>
      </c>
      <c r="AP61" s="706" t="s">
        <v>8</v>
      </c>
      <c r="AQ61" s="706" t="s">
        <v>8</v>
      </c>
      <c r="AR61" s="706" t="s">
        <v>8</v>
      </c>
      <c r="AS61" s="706" t="s">
        <v>8</v>
      </c>
      <c r="AT61" s="706" t="s">
        <v>8</v>
      </c>
      <c r="AU61" s="706" t="str">
        <f t="shared" si="30"/>
        <v>×</v>
      </c>
      <c r="AV61" s="706" t="s">
        <v>8</v>
      </c>
      <c r="AW61" s="837" t="str">
        <f t="shared" si="25"/>
        <v>×</v>
      </c>
      <c r="AX61" s="927" t="s">
        <v>8</v>
      </c>
      <c r="AY61" s="706" t="s">
        <v>8</v>
      </c>
      <c r="AZ61" s="928" t="s">
        <v>8</v>
      </c>
      <c r="BA61" s="839" t="str">
        <f t="shared" si="5"/>
        <v>×</v>
      </c>
      <c r="BB61" s="798" t="str">
        <f t="shared" si="6"/>
        <v>×</v>
      </c>
      <c r="BC61" s="797" t="str">
        <f t="shared" si="7"/>
        <v>×</v>
      </c>
      <c r="BD61" s="796" t="str">
        <f t="shared" si="8"/>
        <v>×</v>
      </c>
      <c r="BE61" s="798" t="str">
        <f t="shared" si="9"/>
        <v>×</v>
      </c>
      <c r="BF61" s="797" t="str">
        <f t="shared" si="10"/>
        <v>×</v>
      </c>
      <c r="BG61" s="799" t="s">
        <v>8</v>
      </c>
      <c r="BH61" s="800" t="str">
        <f t="shared" si="12"/>
        <v>×</v>
      </c>
      <c r="BI61" s="798" t="str">
        <f t="shared" si="14"/>
        <v>×</v>
      </c>
      <c r="BJ61" s="800" t="str">
        <f t="shared" si="15"/>
        <v>×</v>
      </c>
      <c r="BK61" s="796" t="str">
        <f t="shared" si="16"/>
        <v>×</v>
      </c>
      <c r="BL61" s="797" t="str">
        <f t="shared" si="17"/>
        <v>×</v>
      </c>
      <c r="BM61" s="799" t="str">
        <f t="shared" si="11"/>
        <v>×</v>
      </c>
      <c r="BN61" s="801" t="str">
        <f t="shared" si="18"/>
        <v>×</v>
      </c>
      <c r="BO61" s="877"/>
    </row>
    <row r="62" spans="1:77" s="840" customFormat="1" ht="13.5" customHeight="1">
      <c r="A62" s="1076"/>
      <c r="B62" s="863" t="s">
        <v>734</v>
      </c>
      <c r="C62" s="841">
        <v>0</v>
      </c>
      <c r="D62" s="842">
        <v>0</v>
      </c>
      <c r="E62" s="843">
        <v>0</v>
      </c>
      <c r="F62" s="708" t="s">
        <v>58</v>
      </c>
      <c r="G62" s="836" t="s">
        <v>8</v>
      </c>
      <c r="H62" s="708" t="s">
        <v>58</v>
      </c>
      <c r="I62" s="836" t="s">
        <v>8</v>
      </c>
      <c r="J62" s="836" t="s">
        <v>8</v>
      </c>
      <c r="K62" s="708" t="str">
        <f t="shared" si="29"/>
        <v>×</v>
      </c>
      <c r="L62" s="708" t="str">
        <f>G62</f>
        <v>×</v>
      </c>
      <c r="M62" s="708" t="s">
        <v>58</v>
      </c>
      <c r="N62" s="706" t="s">
        <v>58</v>
      </c>
      <c r="O62" s="706" t="s">
        <v>58</v>
      </c>
      <c r="P62" s="706" t="s">
        <v>58</v>
      </c>
      <c r="Q62" s="706" t="s">
        <v>58</v>
      </c>
      <c r="R62" s="708" t="str">
        <f t="shared" si="31"/>
        <v>×</v>
      </c>
      <c r="S62" s="708" t="str">
        <f t="shared" si="31"/>
        <v>×</v>
      </c>
      <c r="T62" s="708" t="str">
        <f t="shared" si="31"/>
        <v>×</v>
      </c>
      <c r="U62" s="708" t="str">
        <f t="shared" si="31"/>
        <v>×</v>
      </c>
      <c r="V62" s="706" t="s">
        <v>8</v>
      </c>
      <c r="W62" s="708" t="str">
        <f t="shared" si="31"/>
        <v>×</v>
      </c>
      <c r="X62" s="708" t="str">
        <f t="shared" si="32"/>
        <v>×</v>
      </c>
      <c r="Y62" s="708" t="str">
        <f t="shared" si="32"/>
        <v>×</v>
      </c>
      <c r="Z62" s="708" t="str">
        <f t="shared" si="32"/>
        <v>×</v>
      </c>
      <c r="AA62" s="708" t="str">
        <f t="shared" si="32"/>
        <v>×</v>
      </c>
      <c r="AB62" s="708" t="str">
        <f t="shared" si="32"/>
        <v>×</v>
      </c>
      <c r="AC62" s="708" t="str">
        <f t="shared" si="35"/>
        <v>×</v>
      </c>
      <c r="AD62" s="706" t="s">
        <v>8</v>
      </c>
      <c r="AE62" s="708" t="str">
        <f t="shared" si="36"/>
        <v>×</v>
      </c>
      <c r="AF62" s="706" t="str">
        <f t="shared" si="22"/>
        <v>×</v>
      </c>
      <c r="AG62" s="708" t="str">
        <f t="shared" si="34"/>
        <v>×</v>
      </c>
      <c r="AH62" s="706" t="s">
        <v>8</v>
      </c>
      <c r="AI62" s="706" t="s">
        <v>8</v>
      </c>
      <c r="AJ62" s="708" t="str">
        <f t="shared" si="34"/>
        <v>×</v>
      </c>
      <c r="AK62" s="711" t="str">
        <f t="shared" si="34"/>
        <v>×</v>
      </c>
      <c r="AL62" s="706" t="str">
        <f>AE62</f>
        <v>×</v>
      </c>
      <c r="AM62" s="837" t="str">
        <f t="shared" si="23"/>
        <v>×</v>
      </c>
      <c r="AN62" s="837"/>
      <c r="AO62" s="837" t="str">
        <f t="shared" si="13"/>
        <v>×</v>
      </c>
      <c r="AP62" s="706" t="s">
        <v>8</v>
      </c>
      <c r="AQ62" s="706" t="s">
        <v>8</v>
      </c>
      <c r="AR62" s="706" t="s">
        <v>8</v>
      </c>
      <c r="AS62" s="706" t="s">
        <v>8</v>
      </c>
      <c r="AT62" s="706" t="s">
        <v>8</v>
      </c>
      <c r="AU62" s="706" t="str">
        <f t="shared" si="30"/>
        <v>×</v>
      </c>
      <c r="AV62" s="706" t="s">
        <v>8</v>
      </c>
      <c r="AW62" s="837" t="str">
        <f t="shared" si="25"/>
        <v>×</v>
      </c>
      <c r="AX62" s="927" t="s">
        <v>8</v>
      </c>
      <c r="AY62" s="706" t="s">
        <v>8</v>
      </c>
      <c r="AZ62" s="928" t="s">
        <v>8</v>
      </c>
      <c r="BA62" s="839" t="str">
        <f t="shared" si="5"/>
        <v>×</v>
      </c>
      <c r="BB62" s="798" t="str">
        <f t="shared" si="6"/>
        <v>×</v>
      </c>
      <c r="BC62" s="797" t="str">
        <f t="shared" si="7"/>
        <v>×</v>
      </c>
      <c r="BD62" s="796" t="str">
        <f t="shared" si="8"/>
        <v>×</v>
      </c>
      <c r="BE62" s="798" t="str">
        <f t="shared" si="9"/>
        <v>×</v>
      </c>
      <c r="BF62" s="797" t="str">
        <f t="shared" si="10"/>
        <v>×</v>
      </c>
      <c r="BG62" s="799" t="s">
        <v>8</v>
      </c>
      <c r="BH62" s="800" t="str">
        <f t="shared" si="12"/>
        <v>×</v>
      </c>
      <c r="BI62" s="798" t="str">
        <f t="shared" si="14"/>
        <v>×</v>
      </c>
      <c r="BJ62" s="800" t="str">
        <f t="shared" si="15"/>
        <v>×</v>
      </c>
      <c r="BK62" s="796" t="str">
        <f t="shared" si="16"/>
        <v>×</v>
      </c>
      <c r="BL62" s="797" t="str">
        <f t="shared" si="17"/>
        <v>×</v>
      </c>
      <c r="BM62" s="799" t="str">
        <f t="shared" si="11"/>
        <v>×</v>
      </c>
      <c r="BN62" s="801" t="str">
        <f t="shared" si="18"/>
        <v>×</v>
      </c>
      <c r="BO62" s="877"/>
    </row>
    <row r="63" spans="1:77" s="840" customFormat="1" ht="13.5" customHeight="1">
      <c r="A63" s="1076"/>
      <c r="B63" s="863" t="s">
        <v>735</v>
      </c>
      <c r="C63" s="841">
        <v>0</v>
      </c>
      <c r="D63" s="842">
        <v>0</v>
      </c>
      <c r="E63" s="843">
        <v>0</v>
      </c>
      <c r="F63" s="708" t="s">
        <v>58</v>
      </c>
      <c r="G63" s="836" t="s">
        <v>8</v>
      </c>
      <c r="H63" s="708" t="s">
        <v>58</v>
      </c>
      <c r="I63" s="836" t="s">
        <v>8</v>
      </c>
      <c r="J63" s="836" t="s">
        <v>8</v>
      </c>
      <c r="K63" s="708" t="str">
        <f t="shared" si="29"/>
        <v>×</v>
      </c>
      <c r="L63" s="708" t="str">
        <f>G63</f>
        <v>×</v>
      </c>
      <c r="M63" s="708" t="s">
        <v>58</v>
      </c>
      <c r="N63" s="706" t="s">
        <v>58</v>
      </c>
      <c r="O63" s="706" t="s">
        <v>58</v>
      </c>
      <c r="P63" s="706" t="s">
        <v>58</v>
      </c>
      <c r="Q63" s="706" t="s">
        <v>58</v>
      </c>
      <c r="R63" s="708" t="str">
        <f t="shared" si="31"/>
        <v>×</v>
      </c>
      <c r="S63" s="708" t="str">
        <f t="shared" si="31"/>
        <v>×</v>
      </c>
      <c r="T63" s="708" t="str">
        <f t="shared" si="31"/>
        <v>×</v>
      </c>
      <c r="U63" s="708" t="str">
        <f t="shared" si="31"/>
        <v>×</v>
      </c>
      <c r="V63" s="706" t="s">
        <v>8</v>
      </c>
      <c r="W63" s="708" t="str">
        <f t="shared" si="31"/>
        <v>×</v>
      </c>
      <c r="X63" s="708" t="str">
        <f t="shared" si="32"/>
        <v>×</v>
      </c>
      <c r="Y63" s="708" t="str">
        <f t="shared" si="32"/>
        <v>×</v>
      </c>
      <c r="Z63" s="708" t="str">
        <f t="shared" si="32"/>
        <v>×</v>
      </c>
      <c r="AA63" s="708" t="str">
        <f t="shared" si="32"/>
        <v>×</v>
      </c>
      <c r="AB63" s="708" t="str">
        <f t="shared" si="32"/>
        <v>×</v>
      </c>
      <c r="AC63" s="708" t="str">
        <f t="shared" si="35"/>
        <v>×</v>
      </c>
      <c r="AD63" s="706" t="s">
        <v>8</v>
      </c>
      <c r="AE63" s="708" t="str">
        <f t="shared" si="36"/>
        <v>×</v>
      </c>
      <c r="AF63" s="706" t="str">
        <f t="shared" si="22"/>
        <v>×</v>
      </c>
      <c r="AG63" s="708" t="str">
        <f t="shared" si="34"/>
        <v>×</v>
      </c>
      <c r="AH63" s="706" t="s">
        <v>8</v>
      </c>
      <c r="AI63" s="706" t="s">
        <v>8</v>
      </c>
      <c r="AJ63" s="708" t="str">
        <f t="shared" si="34"/>
        <v>×</v>
      </c>
      <c r="AK63" s="711" t="str">
        <f t="shared" si="34"/>
        <v>×</v>
      </c>
      <c r="AL63" s="706" t="str">
        <f>AE63</f>
        <v>×</v>
      </c>
      <c r="AM63" s="837" t="str">
        <f t="shared" si="23"/>
        <v>×</v>
      </c>
      <c r="AN63" s="837"/>
      <c r="AO63" s="837" t="str">
        <f t="shared" si="13"/>
        <v>×</v>
      </c>
      <c r="AP63" s="706" t="s">
        <v>8</v>
      </c>
      <c r="AQ63" s="706" t="s">
        <v>8</v>
      </c>
      <c r="AR63" s="706" t="s">
        <v>8</v>
      </c>
      <c r="AS63" s="706" t="s">
        <v>8</v>
      </c>
      <c r="AT63" s="706" t="s">
        <v>8</v>
      </c>
      <c r="AU63" s="706" t="str">
        <f t="shared" si="30"/>
        <v>×</v>
      </c>
      <c r="AV63" s="706" t="s">
        <v>8</v>
      </c>
      <c r="AW63" s="837" t="str">
        <f t="shared" si="25"/>
        <v>×</v>
      </c>
      <c r="AX63" s="927" t="s">
        <v>8</v>
      </c>
      <c r="AY63" s="706" t="s">
        <v>8</v>
      </c>
      <c r="AZ63" s="928" t="s">
        <v>8</v>
      </c>
      <c r="BA63" s="839" t="str">
        <f t="shared" si="5"/>
        <v>×</v>
      </c>
      <c r="BB63" s="798" t="str">
        <f t="shared" si="6"/>
        <v>×</v>
      </c>
      <c r="BC63" s="797" t="str">
        <f t="shared" si="7"/>
        <v>×</v>
      </c>
      <c r="BD63" s="796" t="str">
        <f t="shared" si="8"/>
        <v>×</v>
      </c>
      <c r="BE63" s="798" t="str">
        <f t="shared" si="9"/>
        <v>×</v>
      </c>
      <c r="BF63" s="797" t="str">
        <f t="shared" si="10"/>
        <v>×</v>
      </c>
      <c r="BG63" s="799" t="s">
        <v>8</v>
      </c>
      <c r="BH63" s="800" t="str">
        <f t="shared" si="12"/>
        <v>×</v>
      </c>
      <c r="BI63" s="798" t="str">
        <f t="shared" si="14"/>
        <v>×</v>
      </c>
      <c r="BJ63" s="800" t="str">
        <f t="shared" si="15"/>
        <v>×</v>
      </c>
      <c r="BK63" s="796" t="str">
        <f t="shared" si="16"/>
        <v>×</v>
      </c>
      <c r="BL63" s="797" t="str">
        <f t="shared" si="17"/>
        <v>×</v>
      </c>
      <c r="BM63" s="799" t="str">
        <f t="shared" si="11"/>
        <v>×</v>
      </c>
      <c r="BN63" s="801" t="str">
        <f t="shared" si="18"/>
        <v>×</v>
      </c>
      <c r="BO63" s="877"/>
    </row>
    <row r="64" spans="1:77" ht="13.5" customHeight="1">
      <c r="A64" s="1076"/>
      <c r="B64" s="551" t="s">
        <v>736</v>
      </c>
      <c r="C64" s="27">
        <v>0</v>
      </c>
      <c r="D64" s="418">
        <v>64</v>
      </c>
      <c r="E64" s="682">
        <v>82</v>
      </c>
      <c r="F64" s="51" t="s">
        <v>58</v>
      </c>
      <c r="G64" s="568" t="s">
        <v>8</v>
      </c>
      <c r="H64" s="51" t="s">
        <v>58</v>
      </c>
      <c r="I64" s="568" t="s">
        <v>8</v>
      </c>
      <c r="J64" s="568" t="s">
        <v>8</v>
      </c>
      <c r="K64" s="51" t="str">
        <f t="shared" si="29"/>
        <v>×</v>
      </c>
      <c r="L64" s="34" t="s">
        <v>637</v>
      </c>
      <c r="M64" s="51" t="s">
        <v>58</v>
      </c>
      <c r="N64" s="51" t="s">
        <v>58</v>
      </c>
      <c r="O64" s="51" t="s">
        <v>58</v>
      </c>
      <c r="P64" s="51" t="s">
        <v>58</v>
      </c>
      <c r="Q64" s="51" t="s">
        <v>58</v>
      </c>
      <c r="R64" s="34" t="s">
        <v>637</v>
      </c>
      <c r="S64" s="34" t="s">
        <v>637</v>
      </c>
      <c r="T64" s="34" t="s">
        <v>637</v>
      </c>
      <c r="U64" s="34" t="s">
        <v>637</v>
      </c>
      <c r="V64" s="706" t="s">
        <v>8</v>
      </c>
      <c r="W64" s="34" t="s">
        <v>637</v>
      </c>
      <c r="X64" s="395" t="s">
        <v>637</v>
      </c>
      <c r="Y64" s="395" t="s">
        <v>637</v>
      </c>
      <c r="Z64" s="395" t="s">
        <v>637</v>
      </c>
      <c r="AA64" s="395" t="s">
        <v>637</v>
      </c>
      <c r="AB64" s="34" t="s">
        <v>637</v>
      </c>
      <c r="AC64" s="34" t="s">
        <v>637</v>
      </c>
      <c r="AD64" s="706" t="s">
        <v>8</v>
      </c>
      <c r="AE64" s="34" t="s">
        <v>637</v>
      </c>
      <c r="AF64" s="395" t="str">
        <f t="shared" si="22"/>
        <v>○</v>
      </c>
      <c r="AG64" s="34" t="s">
        <v>637</v>
      </c>
      <c r="AH64" s="706" t="s">
        <v>8</v>
      </c>
      <c r="AI64" s="706" t="s">
        <v>8</v>
      </c>
      <c r="AJ64" s="36" t="s">
        <v>637</v>
      </c>
      <c r="AK64" s="36" t="s">
        <v>637</v>
      </c>
      <c r="AL64" s="34" t="s">
        <v>637</v>
      </c>
      <c r="AM64" s="428" t="str">
        <f t="shared" si="23"/>
        <v>○</v>
      </c>
      <c r="AN64" s="428"/>
      <c r="AO64" s="428" t="str">
        <f t="shared" si="13"/>
        <v>○</v>
      </c>
      <c r="AP64" s="706" t="s">
        <v>8</v>
      </c>
      <c r="AQ64" s="34" t="s">
        <v>637</v>
      </c>
      <c r="AR64" s="395" t="s">
        <v>637</v>
      </c>
      <c r="AS64" s="706" t="s">
        <v>8</v>
      </c>
      <c r="AT64" s="34" t="s">
        <v>637</v>
      </c>
      <c r="AU64" s="395" t="str">
        <f t="shared" si="30"/>
        <v>○</v>
      </c>
      <c r="AV64" s="395" t="s">
        <v>638</v>
      </c>
      <c r="AW64" s="428" t="str">
        <f t="shared" si="25"/>
        <v>○</v>
      </c>
      <c r="AX64" s="927" t="s">
        <v>8</v>
      </c>
      <c r="AY64" s="706" t="s">
        <v>8</v>
      </c>
      <c r="AZ64" s="928" t="s">
        <v>8</v>
      </c>
      <c r="BA64" s="813" t="str">
        <f t="shared" si="5"/>
        <v>○</v>
      </c>
      <c r="BB64" s="767" t="str">
        <f t="shared" si="6"/>
        <v>○</v>
      </c>
      <c r="BC64" s="768" t="str">
        <f t="shared" si="7"/>
        <v>○</v>
      </c>
      <c r="BD64" s="765" t="str">
        <f t="shared" si="8"/>
        <v>○</v>
      </c>
      <c r="BE64" s="767" t="str">
        <f t="shared" si="9"/>
        <v>○</v>
      </c>
      <c r="BF64" s="768" t="str">
        <f t="shared" si="10"/>
        <v>○</v>
      </c>
      <c r="BG64" s="766" t="s">
        <v>10</v>
      </c>
      <c r="BH64" s="804" t="str">
        <f t="shared" si="12"/>
        <v>○</v>
      </c>
      <c r="BI64" s="767" t="str">
        <f t="shared" si="14"/>
        <v>×</v>
      </c>
      <c r="BJ64" s="804" t="str">
        <f t="shared" si="15"/>
        <v>×</v>
      </c>
      <c r="BK64" s="765" t="str">
        <f t="shared" si="16"/>
        <v>○</v>
      </c>
      <c r="BL64" s="768" t="str">
        <f t="shared" si="17"/>
        <v>○</v>
      </c>
      <c r="BM64" s="766" t="str">
        <f t="shared" si="11"/>
        <v>○</v>
      </c>
      <c r="BN64" s="762" t="str">
        <f t="shared" si="18"/>
        <v>○</v>
      </c>
      <c r="BO64" s="657"/>
    </row>
    <row r="65" spans="1:67" s="840" customFormat="1" ht="13.5" customHeight="1">
      <c r="A65" s="1076"/>
      <c r="B65" s="863" t="s">
        <v>737</v>
      </c>
      <c r="C65" s="841">
        <v>0</v>
      </c>
      <c r="D65" s="834">
        <v>0</v>
      </c>
      <c r="E65" s="835">
        <v>0</v>
      </c>
      <c r="F65" s="708" t="s">
        <v>58</v>
      </c>
      <c r="G65" s="836" t="s">
        <v>8</v>
      </c>
      <c r="H65" s="708" t="s">
        <v>58</v>
      </c>
      <c r="I65" s="836" t="s">
        <v>8</v>
      </c>
      <c r="J65" s="836" t="s">
        <v>8</v>
      </c>
      <c r="K65" s="708" t="str">
        <f t="shared" si="29"/>
        <v>×</v>
      </c>
      <c r="L65" s="706" t="s">
        <v>58</v>
      </c>
      <c r="M65" s="708" t="s">
        <v>58</v>
      </c>
      <c r="N65" s="706" t="s">
        <v>58</v>
      </c>
      <c r="O65" s="706" t="s">
        <v>58</v>
      </c>
      <c r="P65" s="706" t="s">
        <v>58</v>
      </c>
      <c r="Q65" s="706" t="s">
        <v>58</v>
      </c>
      <c r="R65" s="706" t="s">
        <v>58</v>
      </c>
      <c r="S65" s="706" t="s">
        <v>58</v>
      </c>
      <c r="T65" s="706" t="s">
        <v>58</v>
      </c>
      <c r="U65" s="706" t="s">
        <v>58</v>
      </c>
      <c r="V65" s="706" t="s">
        <v>8</v>
      </c>
      <c r="W65" s="706" t="s">
        <v>8</v>
      </c>
      <c r="X65" s="706" t="s">
        <v>8</v>
      </c>
      <c r="Y65" s="706" t="s">
        <v>8</v>
      </c>
      <c r="Z65" s="706" t="s">
        <v>8</v>
      </c>
      <c r="AA65" s="706" t="s">
        <v>8</v>
      </c>
      <c r="AB65" s="706" t="s">
        <v>58</v>
      </c>
      <c r="AC65" s="706" t="s">
        <v>58</v>
      </c>
      <c r="AD65" s="706" t="s">
        <v>8</v>
      </c>
      <c r="AE65" s="706" t="s">
        <v>8</v>
      </c>
      <c r="AF65" s="706" t="str">
        <f t="shared" si="22"/>
        <v>×</v>
      </c>
      <c r="AG65" s="706" t="s">
        <v>58</v>
      </c>
      <c r="AH65" s="706" t="s">
        <v>8</v>
      </c>
      <c r="AI65" s="706" t="s">
        <v>8</v>
      </c>
      <c r="AJ65" s="837" t="s">
        <v>8</v>
      </c>
      <c r="AK65" s="837" t="s">
        <v>8</v>
      </c>
      <c r="AL65" s="706" t="s">
        <v>8</v>
      </c>
      <c r="AM65" s="837" t="str">
        <f t="shared" si="23"/>
        <v>×</v>
      </c>
      <c r="AN65" s="837"/>
      <c r="AO65" s="837" t="str">
        <f t="shared" si="13"/>
        <v>×</v>
      </c>
      <c r="AP65" s="706" t="s">
        <v>8</v>
      </c>
      <c r="AQ65" s="706" t="s">
        <v>8</v>
      </c>
      <c r="AR65" s="706" t="s">
        <v>8</v>
      </c>
      <c r="AS65" s="706" t="s">
        <v>8</v>
      </c>
      <c r="AT65" s="706" t="s">
        <v>8</v>
      </c>
      <c r="AU65" s="706" t="str">
        <f t="shared" si="30"/>
        <v>×</v>
      </c>
      <c r="AV65" s="706" t="s">
        <v>58</v>
      </c>
      <c r="AW65" s="837" t="str">
        <f t="shared" si="25"/>
        <v>×</v>
      </c>
      <c r="AX65" s="927" t="s">
        <v>8</v>
      </c>
      <c r="AY65" s="706" t="s">
        <v>8</v>
      </c>
      <c r="AZ65" s="928" t="s">
        <v>8</v>
      </c>
      <c r="BA65" s="839" t="str">
        <f t="shared" si="5"/>
        <v>×</v>
      </c>
      <c r="BB65" s="798" t="str">
        <f t="shared" si="6"/>
        <v>×</v>
      </c>
      <c r="BC65" s="797" t="str">
        <f t="shared" si="7"/>
        <v>×</v>
      </c>
      <c r="BD65" s="796" t="str">
        <f t="shared" si="8"/>
        <v>×</v>
      </c>
      <c r="BE65" s="798" t="str">
        <f t="shared" si="9"/>
        <v>×</v>
      </c>
      <c r="BF65" s="797" t="str">
        <f t="shared" si="10"/>
        <v>×</v>
      </c>
      <c r="BG65" s="799" t="s">
        <v>8</v>
      </c>
      <c r="BH65" s="800" t="str">
        <f t="shared" si="12"/>
        <v>×</v>
      </c>
      <c r="BI65" s="798" t="str">
        <f t="shared" si="14"/>
        <v>×</v>
      </c>
      <c r="BJ65" s="800" t="str">
        <f t="shared" si="15"/>
        <v>×</v>
      </c>
      <c r="BK65" s="796" t="str">
        <f t="shared" si="16"/>
        <v>×</v>
      </c>
      <c r="BL65" s="797" t="str">
        <f t="shared" si="17"/>
        <v>×</v>
      </c>
      <c r="BM65" s="799" t="str">
        <f t="shared" si="11"/>
        <v>×</v>
      </c>
      <c r="BN65" s="801" t="str">
        <f t="shared" si="18"/>
        <v>×</v>
      </c>
      <c r="BO65" s="877"/>
    </row>
    <row r="66" spans="1:67" s="840" customFormat="1" ht="13.5" customHeight="1">
      <c r="A66" s="1076"/>
      <c r="B66" s="863" t="s">
        <v>738</v>
      </c>
      <c r="C66" s="841">
        <v>0</v>
      </c>
      <c r="D66" s="834">
        <v>0</v>
      </c>
      <c r="E66" s="835">
        <v>0</v>
      </c>
      <c r="F66" s="708" t="s">
        <v>58</v>
      </c>
      <c r="G66" s="836" t="s">
        <v>8</v>
      </c>
      <c r="H66" s="708" t="s">
        <v>58</v>
      </c>
      <c r="I66" s="836" t="s">
        <v>8</v>
      </c>
      <c r="J66" s="836" t="s">
        <v>8</v>
      </c>
      <c r="K66" s="708" t="str">
        <f t="shared" si="29"/>
        <v>×</v>
      </c>
      <c r="L66" s="706" t="s">
        <v>58</v>
      </c>
      <c r="M66" s="708" t="s">
        <v>58</v>
      </c>
      <c r="N66" s="706" t="s">
        <v>58</v>
      </c>
      <c r="O66" s="706" t="s">
        <v>58</v>
      </c>
      <c r="P66" s="706" t="s">
        <v>58</v>
      </c>
      <c r="Q66" s="706" t="s">
        <v>58</v>
      </c>
      <c r="R66" s="706" t="s">
        <v>58</v>
      </c>
      <c r="S66" s="706" t="s">
        <v>58</v>
      </c>
      <c r="T66" s="706" t="s">
        <v>58</v>
      </c>
      <c r="U66" s="706" t="s">
        <v>58</v>
      </c>
      <c r="V66" s="706" t="s">
        <v>8</v>
      </c>
      <c r="W66" s="706" t="s">
        <v>8</v>
      </c>
      <c r="X66" s="706" t="s">
        <v>8</v>
      </c>
      <c r="Y66" s="706" t="s">
        <v>8</v>
      </c>
      <c r="Z66" s="706" t="s">
        <v>8</v>
      </c>
      <c r="AA66" s="706" t="s">
        <v>8</v>
      </c>
      <c r="AB66" s="706" t="s">
        <v>58</v>
      </c>
      <c r="AC66" s="706" t="s">
        <v>58</v>
      </c>
      <c r="AD66" s="706" t="s">
        <v>8</v>
      </c>
      <c r="AE66" s="706" t="s">
        <v>8</v>
      </c>
      <c r="AF66" s="706" t="str">
        <f t="shared" si="22"/>
        <v>×</v>
      </c>
      <c r="AG66" s="706" t="s">
        <v>58</v>
      </c>
      <c r="AH66" s="706" t="s">
        <v>8</v>
      </c>
      <c r="AI66" s="706" t="s">
        <v>8</v>
      </c>
      <c r="AJ66" s="837" t="s">
        <v>8</v>
      </c>
      <c r="AK66" s="837" t="s">
        <v>8</v>
      </c>
      <c r="AL66" s="706" t="s">
        <v>8</v>
      </c>
      <c r="AM66" s="837" t="str">
        <f t="shared" si="23"/>
        <v>×</v>
      </c>
      <c r="AN66" s="837"/>
      <c r="AO66" s="837" t="str">
        <f t="shared" si="13"/>
        <v>×</v>
      </c>
      <c r="AP66" s="706" t="s">
        <v>8</v>
      </c>
      <c r="AQ66" s="706" t="s">
        <v>8</v>
      </c>
      <c r="AR66" s="706" t="s">
        <v>8</v>
      </c>
      <c r="AS66" s="706" t="s">
        <v>8</v>
      </c>
      <c r="AT66" s="706" t="s">
        <v>8</v>
      </c>
      <c r="AU66" s="706" t="str">
        <f t="shared" si="30"/>
        <v>×</v>
      </c>
      <c r="AV66" s="706" t="s">
        <v>58</v>
      </c>
      <c r="AW66" s="837" t="str">
        <f t="shared" si="25"/>
        <v>×</v>
      </c>
      <c r="AX66" s="927" t="s">
        <v>8</v>
      </c>
      <c r="AY66" s="706" t="s">
        <v>8</v>
      </c>
      <c r="AZ66" s="928" t="s">
        <v>8</v>
      </c>
      <c r="BA66" s="839" t="str">
        <f t="shared" si="5"/>
        <v>×</v>
      </c>
      <c r="BB66" s="798" t="str">
        <f t="shared" si="6"/>
        <v>×</v>
      </c>
      <c r="BC66" s="797" t="str">
        <f t="shared" si="7"/>
        <v>×</v>
      </c>
      <c r="BD66" s="796" t="str">
        <f t="shared" si="8"/>
        <v>×</v>
      </c>
      <c r="BE66" s="798" t="str">
        <f t="shared" si="9"/>
        <v>×</v>
      </c>
      <c r="BF66" s="797" t="str">
        <f t="shared" si="10"/>
        <v>×</v>
      </c>
      <c r="BG66" s="799" t="s">
        <v>8</v>
      </c>
      <c r="BH66" s="800" t="str">
        <f t="shared" si="12"/>
        <v>×</v>
      </c>
      <c r="BI66" s="798" t="str">
        <f t="shared" si="14"/>
        <v>×</v>
      </c>
      <c r="BJ66" s="800" t="str">
        <f t="shared" si="15"/>
        <v>×</v>
      </c>
      <c r="BK66" s="796" t="str">
        <f t="shared" si="16"/>
        <v>×</v>
      </c>
      <c r="BL66" s="797" t="str">
        <f t="shared" si="17"/>
        <v>×</v>
      </c>
      <c r="BM66" s="799" t="str">
        <f t="shared" si="11"/>
        <v>×</v>
      </c>
      <c r="BN66" s="801" t="str">
        <f t="shared" si="18"/>
        <v>×</v>
      </c>
      <c r="BO66" s="877"/>
    </row>
    <row r="67" spans="1:67" ht="13.5" customHeight="1">
      <c r="A67" s="1076"/>
      <c r="B67" s="551" t="s">
        <v>739</v>
      </c>
      <c r="C67" s="477"/>
      <c r="D67" s="418">
        <v>64</v>
      </c>
      <c r="E67" s="419">
        <v>70</v>
      </c>
      <c r="F67" s="51" t="s">
        <v>58</v>
      </c>
      <c r="G67" s="568" t="s">
        <v>8</v>
      </c>
      <c r="H67" s="51" t="s">
        <v>58</v>
      </c>
      <c r="I67" s="568" t="s">
        <v>8</v>
      </c>
      <c r="J67" s="568" t="s">
        <v>8</v>
      </c>
      <c r="K67" s="51" t="str">
        <f t="shared" ref="K67:K76" si="37">F67</f>
        <v>×</v>
      </c>
      <c r="L67" s="34" t="s">
        <v>637</v>
      </c>
      <c r="M67" s="51" t="s">
        <v>58</v>
      </c>
      <c r="N67" s="51" t="s">
        <v>58</v>
      </c>
      <c r="O67" s="51" t="s">
        <v>58</v>
      </c>
      <c r="P67" s="51" t="s">
        <v>58</v>
      </c>
      <c r="Q67" s="51" t="s">
        <v>58</v>
      </c>
      <c r="R67" s="34" t="s">
        <v>637</v>
      </c>
      <c r="S67" s="34" t="s">
        <v>637</v>
      </c>
      <c r="T67" s="34" t="s">
        <v>637</v>
      </c>
      <c r="U67" s="34" t="s">
        <v>637</v>
      </c>
      <c r="V67" s="706" t="s">
        <v>8</v>
      </c>
      <c r="W67" s="34" t="s">
        <v>637</v>
      </c>
      <c r="X67" s="395" t="s">
        <v>637</v>
      </c>
      <c r="Y67" s="395" t="s">
        <v>637</v>
      </c>
      <c r="Z67" s="395" t="s">
        <v>637</v>
      </c>
      <c r="AA67" s="395" t="s">
        <v>637</v>
      </c>
      <c r="AB67" s="34" t="s">
        <v>637</v>
      </c>
      <c r="AC67" s="34" t="s">
        <v>637</v>
      </c>
      <c r="AD67" s="706" t="s">
        <v>8</v>
      </c>
      <c r="AE67" s="34" t="s">
        <v>637</v>
      </c>
      <c r="AF67" s="395" t="str">
        <f t="shared" si="22"/>
        <v>○</v>
      </c>
      <c r="AG67" s="34" t="s">
        <v>637</v>
      </c>
      <c r="AH67" s="706" t="s">
        <v>8</v>
      </c>
      <c r="AI67" s="706" t="s">
        <v>8</v>
      </c>
      <c r="AJ67" s="36" t="s">
        <v>637</v>
      </c>
      <c r="AK67" s="36" t="s">
        <v>637</v>
      </c>
      <c r="AL67" s="34" t="s">
        <v>637</v>
      </c>
      <c r="AM67" s="428" t="str">
        <f t="shared" si="23"/>
        <v>○</v>
      </c>
      <c r="AN67" s="428"/>
      <c r="AO67" s="428" t="str">
        <f t="shared" si="13"/>
        <v>○</v>
      </c>
      <c r="AP67" s="706" t="s">
        <v>8</v>
      </c>
      <c r="AQ67" s="34" t="s">
        <v>637</v>
      </c>
      <c r="AR67" s="395" t="s">
        <v>637</v>
      </c>
      <c r="AS67" s="706" t="s">
        <v>8</v>
      </c>
      <c r="AT67" s="34" t="s">
        <v>637</v>
      </c>
      <c r="AU67" s="395" t="str">
        <f t="shared" si="30"/>
        <v>○</v>
      </c>
      <c r="AV67" s="395" t="s">
        <v>638</v>
      </c>
      <c r="AW67" s="428" t="str">
        <f t="shared" si="25"/>
        <v>○</v>
      </c>
      <c r="AX67" s="927" t="s">
        <v>8</v>
      </c>
      <c r="AY67" s="706" t="s">
        <v>8</v>
      </c>
      <c r="AZ67" s="928" t="s">
        <v>8</v>
      </c>
      <c r="BA67" s="813" t="str">
        <f t="shared" si="5"/>
        <v>×</v>
      </c>
      <c r="BB67" s="767" t="str">
        <f t="shared" si="6"/>
        <v>○</v>
      </c>
      <c r="BC67" s="768" t="str">
        <f t="shared" si="7"/>
        <v>○</v>
      </c>
      <c r="BD67" s="765" t="str">
        <f t="shared" si="8"/>
        <v>×</v>
      </c>
      <c r="BE67" s="767" t="str">
        <f t="shared" si="9"/>
        <v>○</v>
      </c>
      <c r="BF67" s="768" t="str">
        <f t="shared" si="10"/>
        <v>○</v>
      </c>
      <c r="BG67" s="766" t="s">
        <v>8</v>
      </c>
      <c r="BH67" s="804" t="str">
        <f t="shared" si="12"/>
        <v>○</v>
      </c>
      <c r="BI67" s="767" t="str">
        <f t="shared" si="14"/>
        <v>×</v>
      </c>
      <c r="BJ67" s="804" t="str">
        <f t="shared" si="15"/>
        <v>×</v>
      </c>
      <c r="BK67" s="765" t="str">
        <f t="shared" si="16"/>
        <v>○</v>
      </c>
      <c r="BL67" s="768" t="str">
        <f t="shared" si="17"/>
        <v>○</v>
      </c>
      <c r="BM67" s="766" t="str">
        <f t="shared" si="11"/>
        <v>○</v>
      </c>
      <c r="BN67" s="762" t="str">
        <f t="shared" si="18"/>
        <v>○</v>
      </c>
      <c r="BO67" s="657"/>
    </row>
    <row r="68" spans="1:67" ht="13.5" customHeight="1">
      <c r="A68" s="1076"/>
      <c r="B68" s="551" t="s">
        <v>740</v>
      </c>
      <c r="C68" s="477"/>
      <c r="D68" s="418">
        <v>71</v>
      </c>
      <c r="E68" s="419">
        <v>82</v>
      </c>
      <c r="F68" s="51" t="s">
        <v>58</v>
      </c>
      <c r="G68" s="568" t="s">
        <v>8</v>
      </c>
      <c r="H68" s="51" t="s">
        <v>58</v>
      </c>
      <c r="I68" s="568" t="s">
        <v>8</v>
      </c>
      <c r="J68" s="568" t="s">
        <v>8</v>
      </c>
      <c r="K68" s="51" t="str">
        <f t="shared" si="37"/>
        <v>×</v>
      </c>
      <c r="L68" s="34" t="s">
        <v>637</v>
      </c>
      <c r="M68" s="51" t="s">
        <v>58</v>
      </c>
      <c r="N68" s="51" t="s">
        <v>58</v>
      </c>
      <c r="O68" s="51" t="s">
        <v>58</v>
      </c>
      <c r="P68" s="51" t="s">
        <v>58</v>
      </c>
      <c r="Q68" s="51" t="s">
        <v>58</v>
      </c>
      <c r="R68" s="34" t="s">
        <v>637</v>
      </c>
      <c r="S68" s="34" t="s">
        <v>637</v>
      </c>
      <c r="T68" s="34" t="s">
        <v>637</v>
      </c>
      <c r="U68" s="34" t="s">
        <v>637</v>
      </c>
      <c r="V68" s="706" t="s">
        <v>8</v>
      </c>
      <c r="W68" s="34" t="s">
        <v>637</v>
      </c>
      <c r="X68" s="395" t="s">
        <v>637</v>
      </c>
      <c r="Y68" s="395" t="s">
        <v>637</v>
      </c>
      <c r="Z68" s="395" t="s">
        <v>637</v>
      </c>
      <c r="AA68" s="395" t="s">
        <v>637</v>
      </c>
      <c r="AB68" s="34" t="s">
        <v>637</v>
      </c>
      <c r="AC68" s="34" t="s">
        <v>637</v>
      </c>
      <c r="AD68" s="706" t="s">
        <v>8</v>
      </c>
      <c r="AE68" s="34" t="s">
        <v>637</v>
      </c>
      <c r="AF68" s="395" t="str">
        <f t="shared" si="22"/>
        <v>○</v>
      </c>
      <c r="AG68" s="34" t="s">
        <v>637</v>
      </c>
      <c r="AH68" s="706" t="s">
        <v>8</v>
      </c>
      <c r="AI68" s="706" t="s">
        <v>8</v>
      </c>
      <c r="AJ68" s="36" t="s">
        <v>637</v>
      </c>
      <c r="AK68" s="36" t="s">
        <v>637</v>
      </c>
      <c r="AL68" s="34" t="s">
        <v>637</v>
      </c>
      <c r="AM68" s="428" t="str">
        <f t="shared" si="23"/>
        <v>○</v>
      </c>
      <c r="AN68" s="428"/>
      <c r="AO68" s="428" t="str">
        <f t="shared" si="13"/>
        <v>○</v>
      </c>
      <c r="AP68" s="706" t="s">
        <v>8</v>
      </c>
      <c r="AQ68" s="34" t="s">
        <v>637</v>
      </c>
      <c r="AR68" s="395" t="s">
        <v>637</v>
      </c>
      <c r="AS68" s="706" t="s">
        <v>8</v>
      </c>
      <c r="AT68" s="34" t="s">
        <v>637</v>
      </c>
      <c r="AU68" s="395" t="str">
        <f t="shared" si="30"/>
        <v>○</v>
      </c>
      <c r="AV68" s="395" t="s">
        <v>638</v>
      </c>
      <c r="AW68" s="428" t="str">
        <f t="shared" si="25"/>
        <v>○</v>
      </c>
      <c r="AX68" s="927" t="s">
        <v>8</v>
      </c>
      <c r="AY68" s="706" t="s">
        <v>8</v>
      </c>
      <c r="AZ68" s="928" t="s">
        <v>8</v>
      </c>
      <c r="BA68" s="813" t="str">
        <f t="shared" si="5"/>
        <v>×</v>
      </c>
      <c r="BB68" s="767" t="str">
        <f t="shared" si="6"/>
        <v>○</v>
      </c>
      <c r="BC68" s="768" t="str">
        <f t="shared" si="7"/>
        <v>○</v>
      </c>
      <c r="BD68" s="765" t="str">
        <f t="shared" si="8"/>
        <v>×</v>
      </c>
      <c r="BE68" s="767" t="str">
        <f t="shared" si="9"/>
        <v>○</v>
      </c>
      <c r="BF68" s="768" t="str">
        <f t="shared" si="10"/>
        <v>○</v>
      </c>
      <c r="BG68" s="766" t="s">
        <v>8</v>
      </c>
      <c r="BH68" s="804" t="str">
        <f t="shared" si="12"/>
        <v>○</v>
      </c>
      <c r="BI68" s="767" t="str">
        <f t="shared" si="14"/>
        <v>×</v>
      </c>
      <c r="BJ68" s="804" t="str">
        <f t="shared" si="15"/>
        <v>×</v>
      </c>
      <c r="BK68" s="765" t="str">
        <f t="shared" si="16"/>
        <v>○</v>
      </c>
      <c r="BL68" s="768" t="str">
        <f t="shared" si="17"/>
        <v>○</v>
      </c>
      <c r="BM68" s="766" t="str">
        <f t="shared" si="11"/>
        <v>○</v>
      </c>
      <c r="BN68" s="762" t="str">
        <f t="shared" si="18"/>
        <v>○</v>
      </c>
      <c r="BO68" s="657"/>
    </row>
    <row r="69" spans="1:67" s="840" customFormat="1" ht="13.5" customHeight="1">
      <c r="A69" s="1076"/>
      <c r="B69" s="863" t="s">
        <v>741</v>
      </c>
      <c r="C69" s="841"/>
      <c r="D69" s="834">
        <v>0</v>
      </c>
      <c r="E69" s="835">
        <v>0</v>
      </c>
      <c r="F69" s="708" t="s">
        <v>8</v>
      </c>
      <c r="G69" s="836" t="s">
        <v>8</v>
      </c>
      <c r="H69" s="708" t="s">
        <v>8</v>
      </c>
      <c r="I69" s="836" t="s">
        <v>8</v>
      </c>
      <c r="J69" s="836" t="s">
        <v>8</v>
      </c>
      <c r="K69" s="708" t="str">
        <f>F69</f>
        <v>×</v>
      </c>
      <c r="L69" s="706" t="s">
        <v>918</v>
      </c>
      <c r="M69" s="708" t="s">
        <v>8</v>
      </c>
      <c r="N69" s="706" t="s">
        <v>8</v>
      </c>
      <c r="O69" s="706" t="s">
        <v>8</v>
      </c>
      <c r="P69" s="706" t="s">
        <v>8</v>
      </c>
      <c r="Q69" s="706" t="s">
        <v>8</v>
      </c>
      <c r="R69" s="706" t="s">
        <v>8</v>
      </c>
      <c r="S69" s="706" t="s">
        <v>8</v>
      </c>
      <c r="T69" s="706" t="s">
        <v>8</v>
      </c>
      <c r="U69" s="706" t="s">
        <v>8</v>
      </c>
      <c r="V69" s="706" t="s">
        <v>8</v>
      </c>
      <c r="W69" s="706" t="s">
        <v>8</v>
      </c>
      <c r="X69" s="706" t="s">
        <v>8</v>
      </c>
      <c r="Y69" s="706" t="s">
        <v>8</v>
      </c>
      <c r="Z69" s="706" t="s">
        <v>8</v>
      </c>
      <c r="AA69" s="706" t="s">
        <v>8</v>
      </c>
      <c r="AB69" s="706" t="s">
        <v>8</v>
      </c>
      <c r="AC69" s="706" t="s">
        <v>8</v>
      </c>
      <c r="AD69" s="706" t="s">
        <v>8</v>
      </c>
      <c r="AE69" s="706" t="s">
        <v>8</v>
      </c>
      <c r="AF69" s="706" t="str">
        <f t="shared" ref="AF69:AF94" si="38">$Y:$Y</f>
        <v>×</v>
      </c>
      <c r="AG69" s="706" t="s">
        <v>8</v>
      </c>
      <c r="AH69" s="706" t="s">
        <v>8</v>
      </c>
      <c r="AI69" s="706" t="s">
        <v>8</v>
      </c>
      <c r="AJ69" s="837" t="s">
        <v>8</v>
      </c>
      <c r="AK69" s="837" t="s">
        <v>8</v>
      </c>
      <c r="AL69" s="706" t="s">
        <v>8</v>
      </c>
      <c r="AM69" s="837" t="str">
        <f t="shared" ref="AM69:AM94" si="39">$Y:$Y</f>
        <v>×</v>
      </c>
      <c r="AN69" s="837"/>
      <c r="AO69" s="837" t="str">
        <f t="shared" si="13"/>
        <v>×</v>
      </c>
      <c r="AP69" s="706" t="s">
        <v>8</v>
      </c>
      <c r="AQ69" s="706" t="s">
        <v>8</v>
      </c>
      <c r="AR69" s="706" t="s">
        <v>8</v>
      </c>
      <c r="AS69" s="706" t="s">
        <v>8</v>
      </c>
      <c r="AT69" s="706" t="s">
        <v>8</v>
      </c>
      <c r="AU69" s="706" t="str">
        <f t="shared" ref="AU69:AU83" si="40">$Z:$Z</f>
        <v>×</v>
      </c>
      <c r="AV69" s="706" t="s">
        <v>918</v>
      </c>
      <c r="AW69" s="837" t="str">
        <f t="shared" ref="AW69:AW100" si="41">$AA:$AA</f>
        <v>×</v>
      </c>
      <c r="AX69" s="927" t="s">
        <v>8</v>
      </c>
      <c r="AY69" s="706" t="s">
        <v>8</v>
      </c>
      <c r="AZ69" s="928" t="s">
        <v>8</v>
      </c>
      <c r="BA69" s="839" t="str">
        <f t="shared" si="5"/>
        <v>×</v>
      </c>
      <c r="BB69" s="798" t="str">
        <f t="shared" si="6"/>
        <v>×</v>
      </c>
      <c r="BC69" s="797" t="str">
        <f t="shared" si="7"/>
        <v>×</v>
      </c>
      <c r="BD69" s="796" t="str">
        <f t="shared" si="8"/>
        <v>×</v>
      </c>
      <c r="BE69" s="798" t="str">
        <f t="shared" si="9"/>
        <v>×</v>
      </c>
      <c r="BF69" s="797" t="str">
        <f t="shared" si="10"/>
        <v>×</v>
      </c>
      <c r="BG69" s="799" t="s">
        <v>8</v>
      </c>
      <c r="BH69" s="800" t="str">
        <f t="shared" si="12"/>
        <v>×</v>
      </c>
      <c r="BI69" s="798" t="str">
        <f t="shared" si="14"/>
        <v>×</v>
      </c>
      <c r="BJ69" s="800" t="str">
        <f t="shared" si="15"/>
        <v>×</v>
      </c>
      <c r="BK69" s="796" t="str">
        <f t="shared" si="16"/>
        <v>×</v>
      </c>
      <c r="BL69" s="797" t="str">
        <f t="shared" si="17"/>
        <v>×</v>
      </c>
      <c r="BM69" s="799" t="str">
        <f t="shared" si="11"/>
        <v>×</v>
      </c>
      <c r="BN69" s="801" t="str">
        <f t="shared" si="18"/>
        <v>×</v>
      </c>
      <c r="BO69" s="877"/>
    </row>
    <row r="70" spans="1:67" s="840" customFormat="1" ht="13.5" customHeight="1">
      <c r="A70" s="1076"/>
      <c r="B70" s="863" t="s">
        <v>742</v>
      </c>
      <c r="C70" s="841"/>
      <c r="D70" s="834">
        <v>0</v>
      </c>
      <c r="E70" s="835">
        <v>0</v>
      </c>
      <c r="F70" s="708" t="s">
        <v>8</v>
      </c>
      <c r="G70" s="836" t="s">
        <v>8</v>
      </c>
      <c r="H70" s="708" t="s">
        <v>8</v>
      </c>
      <c r="I70" s="836" t="s">
        <v>8</v>
      </c>
      <c r="J70" s="836" t="s">
        <v>8</v>
      </c>
      <c r="K70" s="708" t="str">
        <f>F70</f>
        <v>×</v>
      </c>
      <c r="L70" s="706" t="s">
        <v>58</v>
      </c>
      <c r="M70" s="708" t="s">
        <v>8</v>
      </c>
      <c r="N70" s="706" t="s">
        <v>8</v>
      </c>
      <c r="O70" s="706" t="s">
        <v>8</v>
      </c>
      <c r="P70" s="706" t="s">
        <v>8</v>
      </c>
      <c r="Q70" s="706" t="s">
        <v>8</v>
      </c>
      <c r="R70" s="706" t="s">
        <v>8</v>
      </c>
      <c r="S70" s="706" t="s">
        <v>8</v>
      </c>
      <c r="T70" s="706" t="s">
        <v>8</v>
      </c>
      <c r="U70" s="706" t="s">
        <v>8</v>
      </c>
      <c r="V70" s="706" t="s">
        <v>8</v>
      </c>
      <c r="W70" s="706" t="s">
        <v>8</v>
      </c>
      <c r="X70" s="706" t="s">
        <v>8</v>
      </c>
      <c r="Y70" s="706" t="s">
        <v>8</v>
      </c>
      <c r="Z70" s="706" t="s">
        <v>8</v>
      </c>
      <c r="AA70" s="706" t="s">
        <v>8</v>
      </c>
      <c r="AB70" s="706" t="s">
        <v>8</v>
      </c>
      <c r="AC70" s="706" t="s">
        <v>8</v>
      </c>
      <c r="AD70" s="706" t="s">
        <v>8</v>
      </c>
      <c r="AE70" s="706" t="s">
        <v>8</v>
      </c>
      <c r="AF70" s="706" t="str">
        <f t="shared" si="38"/>
        <v>×</v>
      </c>
      <c r="AG70" s="706" t="s">
        <v>8</v>
      </c>
      <c r="AH70" s="706" t="s">
        <v>8</v>
      </c>
      <c r="AI70" s="706" t="s">
        <v>8</v>
      </c>
      <c r="AJ70" s="837" t="s">
        <v>8</v>
      </c>
      <c r="AK70" s="837" t="s">
        <v>8</v>
      </c>
      <c r="AL70" s="706" t="s">
        <v>8</v>
      </c>
      <c r="AM70" s="837" t="str">
        <f t="shared" si="39"/>
        <v>×</v>
      </c>
      <c r="AN70" s="837"/>
      <c r="AO70" s="837" t="str">
        <f t="shared" si="13"/>
        <v>×</v>
      </c>
      <c r="AP70" s="706" t="s">
        <v>8</v>
      </c>
      <c r="AQ70" s="706" t="s">
        <v>8</v>
      </c>
      <c r="AR70" s="706" t="s">
        <v>8</v>
      </c>
      <c r="AS70" s="706" t="s">
        <v>8</v>
      </c>
      <c r="AT70" s="706" t="s">
        <v>8</v>
      </c>
      <c r="AU70" s="706" t="str">
        <f t="shared" si="40"/>
        <v>×</v>
      </c>
      <c r="AV70" s="706" t="s">
        <v>58</v>
      </c>
      <c r="AW70" s="837" t="str">
        <f t="shared" si="41"/>
        <v>×</v>
      </c>
      <c r="AX70" s="927" t="s">
        <v>8</v>
      </c>
      <c r="AY70" s="706" t="s">
        <v>8</v>
      </c>
      <c r="AZ70" s="928" t="s">
        <v>8</v>
      </c>
      <c r="BA70" s="839" t="str">
        <f t="shared" ref="BA70:BA124" si="42">IF(OR(BG70="×",BH70="×",BK70="×",BL70="×"),"×","○")</f>
        <v>×</v>
      </c>
      <c r="BB70" s="798" t="str">
        <f t="shared" ref="BB70:BB124" si="43">IF(OR(BH70="×",BK70="×",BL70="×"),"×","○")</f>
        <v>×</v>
      </c>
      <c r="BC70" s="797" t="str">
        <f t="shared" ref="BC70:BC124" si="44">IF(OR(BK70="×",BL70="×"),"×","○")</f>
        <v>×</v>
      </c>
      <c r="BD70" s="796" t="str">
        <f t="shared" ref="BD70:BD124" si="45">IF(OR(BG70="×",BH70="×",BM70="×",BN70="×"),"×","○")</f>
        <v>×</v>
      </c>
      <c r="BE70" s="798" t="str">
        <f t="shared" ref="BE70:BE124" si="46">IF(OR(BH70="×",BM70="×",BN70="×"),"×","○")</f>
        <v>×</v>
      </c>
      <c r="BF70" s="797" t="str">
        <f t="shared" ref="BF70:BF124" si="47">IF(OR(BM70="×",BN70="×"),"×","○")</f>
        <v>×</v>
      </c>
      <c r="BG70" s="799" t="s">
        <v>8</v>
      </c>
      <c r="BH70" s="800" t="str">
        <f t="shared" si="12"/>
        <v>×</v>
      </c>
      <c r="BI70" s="798" t="str">
        <f t="shared" si="14"/>
        <v>×</v>
      </c>
      <c r="BJ70" s="800" t="str">
        <f t="shared" si="15"/>
        <v>×</v>
      </c>
      <c r="BK70" s="796" t="str">
        <f t="shared" si="16"/>
        <v>×</v>
      </c>
      <c r="BL70" s="797" t="str">
        <f t="shared" si="17"/>
        <v>×</v>
      </c>
      <c r="BM70" s="799" t="str">
        <f t="shared" ref="BM70:BM124" si="48">AU70</f>
        <v>×</v>
      </c>
      <c r="BN70" s="801" t="str">
        <f t="shared" si="18"/>
        <v>×</v>
      </c>
      <c r="BO70" s="877"/>
    </row>
    <row r="71" spans="1:67" ht="13.5" customHeight="1">
      <c r="A71" s="1076"/>
      <c r="B71" s="551" t="s">
        <v>743</v>
      </c>
      <c r="C71" s="477"/>
      <c r="D71" s="418">
        <v>64</v>
      </c>
      <c r="E71" s="648">
        <v>82</v>
      </c>
      <c r="F71" s="51" t="s">
        <v>58</v>
      </c>
      <c r="G71" s="568" t="s">
        <v>8</v>
      </c>
      <c r="H71" s="51" t="s">
        <v>58</v>
      </c>
      <c r="I71" s="568" t="s">
        <v>8</v>
      </c>
      <c r="J71" s="568" t="s">
        <v>8</v>
      </c>
      <c r="K71" s="51" t="str">
        <f t="shared" si="37"/>
        <v>×</v>
      </c>
      <c r="L71" s="34" t="s">
        <v>637</v>
      </c>
      <c r="M71" s="51" t="s">
        <v>58</v>
      </c>
      <c r="N71" s="51" t="s">
        <v>58</v>
      </c>
      <c r="O71" s="51" t="s">
        <v>58</v>
      </c>
      <c r="P71" s="51" t="s">
        <v>58</v>
      </c>
      <c r="Q71" s="51" t="s">
        <v>58</v>
      </c>
      <c r="R71" s="34" t="s">
        <v>637</v>
      </c>
      <c r="S71" s="34" t="s">
        <v>637</v>
      </c>
      <c r="T71" s="34" t="s">
        <v>637</v>
      </c>
      <c r="U71" s="34" t="s">
        <v>637</v>
      </c>
      <c r="V71" s="706" t="s">
        <v>8</v>
      </c>
      <c r="W71" s="34" t="s">
        <v>637</v>
      </c>
      <c r="X71" s="395" t="s">
        <v>637</v>
      </c>
      <c r="Y71" s="395" t="s">
        <v>637</v>
      </c>
      <c r="Z71" s="395" t="s">
        <v>637</v>
      </c>
      <c r="AA71" s="395" t="s">
        <v>637</v>
      </c>
      <c r="AB71" s="34" t="s">
        <v>637</v>
      </c>
      <c r="AC71" s="34" t="s">
        <v>637</v>
      </c>
      <c r="AD71" s="706" t="s">
        <v>8</v>
      </c>
      <c r="AE71" s="34" t="s">
        <v>637</v>
      </c>
      <c r="AF71" s="395" t="str">
        <f t="shared" si="38"/>
        <v>○</v>
      </c>
      <c r="AG71" s="34" t="s">
        <v>637</v>
      </c>
      <c r="AH71" s="706" t="s">
        <v>8</v>
      </c>
      <c r="AI71" s="706" t="s">
        <v>8</v>
      </c>
      <c r="AJ71" s="36" t="s">
        <v>637</v>
      </c>
      <c r="AK71" s="36" t="s">
        <v>637</v>
      </c>
      <c r="AL71" s="34" t="s">
        <v>637</v>
      </c>
      <c r="AM71" s="428" t="str">
        <f t="shared" si="39"/>
        <v>○</v>
      </c>
      <c r="AN71" s="428"/>
      <c r="AO71" s="428" t="str">
        <f t="shared" si="13"/>
        <v>○</v>
      </c>
      <c r="AP71" s="706" t="s">
        <v>8</v>
      </c>
      <c r="AQ71" s="34" t="s">
        <v>637</v>
      </c>
      <c r="AR71" s="395" t="s">
        <v>637</v>
      </c>
      <c r="AS71" s="706" t="s">
        <v>8</v>
      </c>
      <c r="AT71" s="34" t="s">
        <v>637</v>
      </c>
      <c r="AU71" s="395" t="str">
        <f t="shared" si="40"/>
        <v>○</v>
      </c>
      <c r="AV71" s="395" t="s">
        <v>638</v>
      </c>
      <c r="AW71" s="428" t="str">
        <f t="shared" si="41"/>
        <v>○</v>
      </c>
      <c r="AX71" s="927" t="s">
        <v>8</v>
      </c>
      <c r="AY71" s="706" t="s">
        <v>8</v>
      </c>
      <c r="AZ71" s="928" t="s">
        <v>8</v>
      </c>
      <c r="BA71" s="813" t="str">
        <f t="shared" si="42"/>
        <v>×</v>
      </c>
      <c r="BB71" s="767" t="str">
        <f t="shared" si="43"/>
        <v>○</v>
      </c>
      <c r="BC71" s="768" t="str">
        <f t="shared" si="44"/>
        <v>○</v>
      </c>
      <c r="BD71" s="765" t="str">
        <f t="shared" si="45"/>
        <v>×</v>
      </c>
      <c r="BE71" s="767" t="str">
        <f t="shared" si="46"/>
        <v>○</v>
      </c>
      <c r="BF71" s="768" t="str">
        <f t="shared" si="47"/>
        <v>○</v>
      </c>
      <c r="BG71" s="766" t="s">
        <v>8</v>
      </c>
      <c r="BH71" s="804" t="str">
        <f t="shared" ref="BH71:BH124" si="49">R71</f>
        <v>○</v>
      </c>
      <c r="BI71" s="767" t="str">
        <f t="shared" si="14"/>
        <v>×</v>
      </c>
      <c r="BJ71" s="804" t="str">
        <f t="shared" si="15"/>
        <v>×</v>
      </c>
      <c r="BK71" s="765" t="str">
        <f t="shared" si="16"/>
        <v>○</v>
      </c>
      <c r="BL71" s="768" t="str">
        <f t="shared" si="17"/>
        <v>○</v>
      </c>
      <c r="BM71" s="766" t="str">
        <f t="shared" si="48"/>
        <v>○</v>
      </c>
      <c r="BN71" s="762" t="str">
        <f t="shared" si="18"/>
        <v>○</v>
      </c>
      <c r="BO71" s="657"/>
    </row>
    <row r="72" spans="1:67" s="840" customFormat="1" ht="13.5" customHeight="1">
      <c r="A72" s="1076"/>
      <c r="B72" s="863" t="s">
        <v>744</v>
      </c>
      <c r="C72" s="841">
        <v>0</v>
      </c>
      <c r="D72" s="834">
        <v>0</v>
      </c>
      <c r="E72" s="835">
        <v>0</v>
      </c>
      <c r="F72" s="708" t="s">
        <v>8</v>
      </c>
      <c r="G72" s="836" t="s">
        <v>8</v>
      </c>
      <c r="H72" s="708" t="s">
        <v>8</v>
      </c>
      <c r="I72" s="836" t="s">
        <v>8</v>
      </c>
      <c r="J72" s="836" t="s">
        <v>8</v>
      </c>
      <c r="K72" s="708" t="str">
        <f t="shared" si="37"/>
        <v>×</v>
      </c>
      <c r="L72" s="706" t="s">
        <v>58</v>
      </c>
      <c r="M72" s="708" t="s">
        <v>8</v>
      </c>
      <c r="N72" s="706" t="s">
        <v>8</v>
      </c>
      <c r="O72" s="706" t="s">
        <v>8</v>
      </c>
      <c r="P72" s="706" t="s">
        <v>8</v>
      </c>
      <c r="Q72" s="706" t="s">
        <v>8</v>
      </c>
      <c r="R72" s="706" t="s">
        <v>8</v>
      </c>
      <c r="S72" s="706" t="s">
        <v>8</v>
      </c>
      <c r="T72" s="706" t="s">
        <v>8</v>
      </c>
      <c r="U72" s="706" t="s">
        <v>8</v>
      </c>
      <c r="V72" s="706" t="s">
        <v>8</v>
      </c>
      <c r="W72" s="706" t="s">
        <v>8</v>
      </c>
      <c r="X72" s="706" t="s">
        <v>8</v>
      </c>
      <c r="Y72" s="706" t="s">
        <v>8</v>
      </c>
      <c r="Z72" s="706" t="s">
        <v>8</v>
      </c>
      <c r="AA72" s="706" t="s">
        <v>8</v>
      </c>
      <c r="AB72" s="706" t="s">
        <v>8</v>
      </c>
      <c r="AC72" s="706" t="s">
        <v>8</v>
      </c>
      <c r="AD72" s="706" t="s">
        <v>8</v>
      </c>
      <c r="AE72" s="706" t="s">
        <v>8</v>
      </c>
      <c r="AF72" s="706" t="str">
        <f t="shared" si="38"/>
        <v>×</v>
      </c>
      <c r="AG72" s="706" t="s">
        <v>8</v>
      </c>
      <c r="AH72" s="706" t="s">
        <v>8</v>
      </c>
      <c r="AI72" s="706" t="s">
        <v>8</v>
      </c>
      <c r="AJ72" s="837" t="s">
        <v>8</v>
      </c>
      <c r="AK72" s="837" t="s">
        <v>8</v>
      </c>
      <c r="AL72" s="706" t="s">
        <v>8</v>
      </c>
      <c r="AM72" s="837" t="str">
        <f t="shared" si="39"/>
        <v>×</v>
      </c>
      <c r="AN72" s="837"/>
      <c r="AO72" s="837" t="str">
        <f t="shared" ref="AO72:AO124" si="50">$Z:$Z</f>
        <v>×</v>
      </c>
      <c r="AP72" s="706" t="s">
        <v>8</v>
      </c>
      <c r="AQ72" s="706" t="s">
        <v>8</v>
      </c>
      <c r="AR72" s="706" t="s">
        <v>8</v>
      </c>
      <c r="AS72" s="706" t="s">
        <v>8</v>
      </c>
      <c r="AT72" s="706" t="s">
        <v>8</v>
      </c>
      <c r="AU72" s="706" t="str">
        <f t="shared" si="40"/>
        <v>×</v>
      </c>
      <c r="AV72" s="706" t="s">
        <v>58</v>
      </c>
      <c r="AW72" s="837" t="str">
        <f t="shared" si="41"/>
        <v>×</v>
      </c>
      <c r="AX72" s="927" t="s">
        <v>8</v>
      </c>
      <c r="AY72" s="706" t="s">
        <v>8</v>
      </c>
      <c r="AZ72" s="928" t="s">
        <v>8</v>
      </c>
      <c r="BA72" s="839" t="str">
        <f t="shared" si="42"/>
        <v>×</v>
      </c>
      <c r="BB72" s="798" t="str">
        <f t="shared" si="43"/>
        <v>×</v>
      </c>
      <c r="BC72" s="797" t="str">
        <f t="shared" si="44"/>
        <v>×</v>
      </c>
      <c r="BD72" s="796" t="str">
        <f t="shared" si="45"/>
        <v>×</v>
      </c>
      <c r="BE72" s="798" t="str">
        <f t="shared" si="46"/>
        <v>×</v>
      </c>
      <c r="BF72" s="797" t="str">
        <f t="shared" si="47"/>
        <v>×</v>
      </c>
      <c r="BG72" s="799" t="s">
        <v>8</v>
      </c>
      <c r="BH72" s="800" t="str">
        <f t="shared" si="49"/>
        <v>×</v>
      </c>
      <c r="BI72" s="798" t="str">
        <f t="shared" si="14"/>
        <v>×</v>
      </c>
      <c r="BJ72" s="800" t="str">
        <f t="shared" si="15"/>
        <v>×</v>
      </c>
      <c r="BK72" s="796" t="str">
        <f t="shared" si="16"/>
        <v>×</v>
      </c>
      <c r="BL72" s="797" t="str">
        <f t="shared" si="17"/>
        <v>×</v>
      </c>
      <c r="BM72" s="799" t="str">
        <f t="shared" si="48"/>
        <v>×</v>
      </c>
      <c r="BN72" s="801" t="str">
        <f t="shared" si="18"/>
        <v>×</v>
      </c>
      <c r="BO72" s="877"/>
    </row>
    <row r="73" spans="1:67" ht="13.5" customHeight="1">
      <c r="A73" s="1076"/>
      <c r="B73" s="551" t="s">
        <v>745</v>
      </c>
      <c r="C73" s="422">
        <v>0</v>
      </c>
      <c r="D73" s="418">
        <v>64</v>
      </c>
      <c r="E73" s="419">
        <v>70</v>
      </c>
      <c r="F73" s="51" t="s">
        <v>58</v>
      </c>
      <c r="G73" s="568" t="s">
        <v>8</v>
      </c>
      <c r="H73" s="51" t="s">
        <v>58</v>
      </c>
      <c r="I73" s="568" t="s">
        <v>8</v>
      </c>
      <c r="J73" s="568" t="s">
        <v>8</v>
      </c>
      <c r="K73" s="51" t="str">
        <f t="shared" si="37"/>
        <v>×</v>
      </c>
      <c r="L73" s="34" t="s">
        <v>637</v>
      </c>
      <c r="M73" s="51" t="s">
        <v>58</v>
      </c>
      <c r="N73" s="51" t="s">
        <v>58</v>
      </c>
      <c r="O73" s="51" t="s">
        <v>58</v>
      </c>
      <c r="P73" s="51" t="s">
        <v>58</v>
      </c>
      <c r="Q73" s="51" t="s">
        <v>58</v>
      </c>
      <c r="R73" s="34" t="s">
        <v>637</v>
      </c>
      <c r="S73" s="34" t="s">
        <v>637</v>
      </c>
      <c r="T73" s="34" t="s">
        <v>637</v>
      </c>
      <c r="U73" s="34" t="s">
        <v>637</v>
      </c>
      <c r="V73" s="706" t="s">
        <v>8</v>
      </c>
      <c r="W73" s="34" t="s">
        <v>637</v>
      </c>
      <c r="X73" s="34" t="s">
        <v>637</v>
      </c>
      <c r="Y73" s="34" t="s">
        <v>637</v>
      </c>
      <c r="Z73" s="34" t="s">
        <v>637</v>
      </c>
      <c r="AA73" s="34" t="s">
        <v>637</v>
      </c>
      <c r="AB73" s="34" t="s">
        <v>637</v>
      </c>
      <c r="AC73" s="34" t="s">
        <v>637</v>
      </c>
      <c r="AD73" s="706" t="s">
        <v>8</v>
      </c>
      <c r="AE73" s="34" t="s">
        <v>637</v>
      </c>
      <c r="AF73" s="34" t="str">
        <f t="shared" si="38"/>
        <v>○</v>
      </c>
      <c r="AG73" s="34" t="s">
        <v>637</v>
      </c>
      <c r="AH73" s="706" t="s">
        <v>8</v>
      </c>
      <c r="AI73" s="706" t="s">
        <v>8</v>
      </c>
      <c r="AJ73" s="36" t="s">
        <v>637</v>
      </c>
      <c r="AK73" s="36" t="s">
        <v>637</v>
      </c>
      <c r="AL73" s="34" t="s">
        <v>637</v>
      </c>
      <c r="AM73" s="36" t="str">
        <f t="shared" si="39"/>
        <v>○</v>
      </c>
      <c r="AN73" s="36"/>
      <c r="AO73" s="428" t="str">
        <f t="shared" si="50"/>
        <v>○</v>
      </c>
      <c r="AP73" s="706" t="s">
        <v>8</v>
      </c>
      <c r="AQ73" s="34" t="s">
        <v>637</v>
      </c>
      <c r="AR73" s="34" t="s">
        <v>637</v>
      </c>
      <c r="AS73" s="706" t="s">
        <v>8</v>
      </c>
      <c r="AT73" s="34" t="s">
        <v>637</v>
      </c>
      <c r="AU73" s="34" t="str">
        <f t="shared" si="40"/>
        <v>○</v>
      </c>
      <c r="AV73" s="34" t="s">
        <v>638</v>
      </c>
      <c r="AW73" s="36" t="str">
        <f t="shared" si="41"/>
        <v>○</v>
      </c>
      <c r="AX73" s="927" t="s">
        <v>8</v>
      </c>
      <c r="AY73" s="706" t="s">
        <v>8</v>
      </c>
      <c r="AZ73" s="928" t="s">
        <v>8</v>
      </c>
      <c r="BA73" s="813" t="str">
        <f t="shared" si="42"/>
        <v>○</v>
      </c>
      <c r="BB73" s="767" t="str">
        <f t="shared" si="43"/>
        <v>○</v>
      </c>
      <c r="BC73" s="768" t="str">
        <f t="shared" si="44"/>
        <v>○</v>
      </c>
      <c r="BD73" s="765" t="str">
        <f t="shared" si="45"/>
        <v>○</v>
      </c>
      <c r="BE73" s="767" t="str">
        <f t="shared" si="46"/>
        <v>○</v>
      </c>
      <c r="BF73" s="768" t="str">
        <f t="shared" si="47"/>
        <v>○</v>
      </c>
      <c r="BG73" s="766" t="s">
        <v>10</v>
      </c>
      <c r="BH73" s="804" t="str">
        <f t="shared" si="49"/>
        <v>○</v>
      </c>
      <c r="BI73" s="767" t="str">
        <f t="shared" ref="BI73:BI124" si="51">AS73</f>
        <v>×</v>
      </c>
      <c r="BJ73" s="804" t="str">
        <f t="shared" ref="BJ73:BJ124" si="52">AI73</f>
        <v>×</v>
      </c>
      <c r="BK73" s="765" t="str">
        <f t="shared" ref="BK73:BK124" si="53">AT73</f>
        <v>○</v>
      </c>
      <c r="BL73" s="768" t="str">
        <f t="shared" ref="BL73:BL124" si="54">AL73</f>
        <v>○</v>
      </c>
      <c r="BM73" s="766" t="str">
        <f t="shared" si="48"/>
        <v>○</v>
      </c>
      <c r="BN73" s="762" t="str">
        <f t="shared" ref="BN73:BN124" si="55">AO73</f>
        <v>○</v>
      </c>
      <c r="BO73" s="657"/>
    </row>
    <row r="74" spans="1:67" ht="13.5" customHeight="1">
      <c r="A74" s="1076"/>
      <c r="B74" s="551" t="s">
        <v>746</v>
      </c>
      <c r="C74" s="422">
        <v>0</v>
      </c>
      <c r="D74" s="418">
        <v>71</v>
      </c>
      <c r="E74" s="419">
        <v>82</v>
      </c>
      <c r="F74" s="51" t="s">
        <v>58</v>
      </c>
      <c r="G74" s="568" t="s">
        <v>8</v>
      </c>
      <c r="H74" s="51" t="s">
        <v>58</v>
      </c>
      <c r="I74" s="568" t="s">
        <v>8</v>
      </c>
      <c r="J74" s="568" t="s">
        <v>8</v>
      </c>
      <c r="K74" s="51" t="str">
        <f t="shared" si="37"/>
        <v>×</v>
      </c>
      <c r="L74" s="34" t="s">
        <v>637</v>
      </c>
      <c r="M74" s="51" t="s">
        <v>58</v>
      </c>
      <c r="N74" s="51" t="s">
        <v>58</v>
      </c>
      <c r="O74" s="51" t="s">
        <v>58</v>
      </c>
      <c r="P74" s="51" t="s">
        <v>58</v>
      </c>
      <c r="Q74" s="51" t="s">
        <v>58</v>
      </c>
      <c r="R74" s="34" t="s">
        <v>637</v>
      </c>
      <c r="S74" s="34" t="s">
        <v>637</v>
      </c>
      <c r="T74" s="34" t="s">
        <v>637</v>
      </c>
      <c r="U74" s="34" t="s">
        <v>637</v>
      </c>
      <c r="V74" s="706" t="s">
        <v>8</v>
      </c>
      <c r="W74" s="34" t="s">
        <v>637</v>
      </c>
      <c r="X74" s="34" t="s">
        <v>637</v>
      </c>
      <c r="Y74" s="34" t="s">
        <v>637</v>
      </c>
      <c r="Z74" s="34" t="s">
        <v>637</v>
      </c>
      <c r="AA74" s="34" t="s">
        <v>637</v>
      </c>
      <c r="AB74" s="34" t="s">
        <v>637</v>
      </c>
      <c r="AC74" s="34" t="s">
        <v>637</v>
      </c>
      <c r="AD74" s="706" t="s">
        <v>8</v>
      </c>
      <c r="AE74" s="34" t="s">
        <v>637</v>
      </c>
      <c r="AF74" s="34" t="str">
        <f t="shared" si="38"/>
        <v>○</v>
      </c>
      <c r="AG74" s="34" t="s">
        <v>637</v>
      </c>
      <c r="AH74" s="706" t="s">
        <v>8</v>
      </c>
      <c r="AI74" s="706" t="s">
        <v>8</v>
      </c>
      <c r="AJ74" s="36" t="s">
        <v>637</v>
      </c>
      <c r="AK74" s="36" t="s">
        <v>637</v>
      </c>
      <c r="AL74" s="34" t="s">
        <v>637</v>
      </c>
      <c r="AM74" s="36" t="str">
        <f t="shared" si="39"/>
        <v>○</v>
      </c>
      <c r="AN74" s="36"/>
      <c r="AO74" s="428" t="str">
        <f t="shared" si="50"/>
        <v>○</v>
      </c>
      <c r="AP74" s="706" t="s">
        <v>8</v>
      </c>
      <c r="AQ74" s="34" t="s">
        <v>637</v>
      </c>
      <c r="AR74" s="34" t="s">
        <v>637</v>
      </c>
      <c r="AS74" s="706" t="s">
        <v>8</v>
      </c>
      <c r="AT74" s="34" t="s">
        <v>637</v>
      </c>
      <c r="AU74" s="34" t="str">
        <f t="shared" si="40"/>
        <v>○</v>
      </c>
      <c r="AV74" s="34" t="s">
        <v>638</v>
      </c>
      <c r="AW74" s="36" t="str">
        <f t="shared" si="41"/>
        <v>○</v>
      </c>
      <c r="AX74" s="927" t="s">
        <v>8</v>
      </c>
      <c r="AY74" s="706" t="s">
        <v>8</v>
      </c>
      <c r="AZ74" s="928" t="s">
        <v>8</v>
      </c>
      <c r="BA74" s="813" t="str">
        <f t="shared" si="42"/>
        <v>○</v>
      </c>
      <c r="BB74" s="767" t="str">
        <f t="shared" si="43"/>
        <v>○</v>
      </c>
      <c r="BC74" s="768" t="str">
        <f t="shared" si="44"/>
        <v>○</v>
      </c>
      <c r="BD74" s="765" t="str">
        <f t="shared" si="45"/>
        <v>○</v>
      </c>
      <c r="BE74" s="767" t="str">
        <f t="shared" si="46"/>
        <v>○</v>
      </c>
      <c r="BF74" s="768" t="str">
        <f t="shared" si="47"/>
        <v>○</v>
      </c>
      <c r="BG74" s="766" t="s">
        <v>10</v>
      </c>
      <c r="BH74" s="804" t="str">
        <f t="shared" si="49"/>
        <v>○</v>
      </c>
      <c r="BI74" s="767" t="str">
        <f t="shared" si="51"/>
        <v>×</v>
      </c>
      <c r="BJ74" s="804" t="str">
        <f t="shared" si="52"/>
        <v>×</v>
      </c>
      <c r="BK74" s="765" t="str">
        <f t="shared" si="53"/>
        <v>○</v>
      </c>
      <c r="BL74" s="768" t="str">
        <f t="shared" si="54"/>
        <v>○</v>
      </c>
      <c r="BM74" s="766" t="str">
        <f t="shared" si="48"/>
        <v>○</v>
      </c>
      <c r="BN74" s="762" t="str">
        <f t="shared" si="55"/>
        <v>○</v>
      </c>
      <c r="BO74" s="657"/>
    </row>
    <row r="75" spans="1:67" ht="13.5" customHeight="1">
      <c r="A75" s="1076"/>
      <c r="B75" s="551" t="s">
        <v>747</v>
      </c>
      <c r="C75" s="422"/>
      <c r="D75" s="418">
        <v>83</v>
      </c>
      <c r="E75" s="419">
        <v>90</v>
      </c>
      <c r="F75" s="51" t="s">
        <v>58</v>
      </c>
      <c r="G75" s="568" t="s">
        <v>8</v>
      </c>
      <c r="H75" s="51" t="s">
        <v>58</v>
      </c>
      <c r="I75" s="568" t="s">
        <v>8</v>
      </c>
      <c r="J75" s="568" t="s">
        <v>8</v>
      </c>
      <c r="K75" s="51" t="str">
        <f t="shared" si="37"/>
        <v>×</v>
      </c>
      <c r="L75" s="34" t="s">
        <v>637</v>
      </c>
      <c r="M75" s="51" t="s">
        <v>58</v>
      </c>
      <c r="N75" s="51" t="s">
        <v>58</v>
      </c>
      <c r="O75" s="51" t="s">
        <v>58</v>
      </c>
      <c r="P75" s="51" t="s">
        <v>58</v>
      </c>
      <c r="Q75" s="51" t="s">
        <v>58</v>
      </c>
      <c r="R75" s="34" t="s">
        <v>637</v>
      </c>
      <c r="S75" s="34" t="s">
        <v>637</v>
      </c>
      <c r="T75" s="34" t="s">
        <v>637</v>
      </c>
      <c r="U75" s="34" t="s">
        <v>637</v>
      </c>
      <c r="V75" s="706" t="s">
        <v>8</v>
      </c>
      <c r="W75" s="34" t="s">
        <v>637</v>
      </c>
      <c r="X75" s="395" t="s">
        <v>637</v>
      </c>
      <c r="Y75" s="395" t="s">
        <v>637</v>
      </c>
      <c r="Z75" s="395" t="s">
        <v>637</v>
      </c>
      <c r="AA75" s="395" t="s">
        <v>637</v>
      </c>
      <c r="AB75" s="34" t="s">
        <v>637</v>
      </c>
      <c r="AC75" s="34" t="s">
        <v>637</v>
      </c>
      <c r="AD75" s="706" t="s">
        <v>8</v>
      </c>
      <c r="AE75" s="34" t="s">
        <v>637</v>
      </c>
      <c r="AF75" s="395" t="str">
        <f t="shared" si="38"/>
        <v>○</v>
      </c>
      <c r="AG75" s="34" t="s">
        <v>637</v>
      </c>
      <c r="AH75" s="706" t="s">
        <v>8</v>
      </c>
      <c r="AI75" s="706" t="s">
        <v>8</v>
      </c>
      <c r="AJ75" s="36" t="s">
        <v>637</v>
      </c>
      <c r="AK75" s="36" t="s">
        <v>637</v>
      </c>
      <c r="AL75" s="34" t="s">
        <v>637</v>
      </c>
      <c r="AM75" s="428" t="str">
        <f t="shared" si="39"/>
        <v>○</v>
      </c>
      <c r="AN75" s="428"/>
      <c r="AO75" s="428" t="str">
        <f t="shared" si="50"/>
        <v>○</v>
      </c>
      <c r="AP75" s="706" t="s">
        <v>8</v>
      </c>
      <c r="AQ75" s="34" t="s">
        <v>637</v>
      </c>
      <c r="AR75" s="395" t="s">
        <v>637</v>
      </c>
      <c r="AS75" s="706" t="s">
        <v>8</v>
      </c>
      <c r="AT75" s="34" t="s">
        <v>637</v>
      </c>
      <c r="AU75" s="395" t="str">
        <f t="shared" si="40"/>
        <v>○</v>
      </c>
      <c r="AV75" s="395" t="s">
        <v>638</v>
      </c>
      <c r="AW75" s="428" t="str">
        <f t="shared" si="41"/>
        <v>○</v>
      </c>
      <c r="AX75" s="927" t="s">
        <v>8</v>
      </c>
      <c r="AY75" s="706" t="s">
        <v>8</v>
      </c>
      <c r="AZ75" s="928" t="s">
        <v>8</v>
      </c>
      <c r="BA75" s="813" t="str">
        <f t="shared" si="42"/>
        <v>○</v>
      </c>
      <c r="BB75" s="767" t="str">
        <f t="shared" si="43"/>
        <v>○</v>
      </c>
      <c r="BC75" s="768" t="str">
        <f t="shared" si="44"/>
        <v>○</v>
      </c>
      <c r="BD75" s="765" t="str">
        <f t="shared" si="45"/>
        <v>○</v>
      </c>
      <c r="BE75" s="767" t="str">
        <f t="shared" si="46"/>
        <v>○</v>
      </c>
      <c r="BF75" s="768" t="str">
        <f t="shared" si="47"/>
        <v>○</v>
      </c>
      <c r="BG75" s="766" t="s">
        <v>10</v>
      </c>
      <c r="BH75" s="804" t="str">
        <f t="shared" si="49"/>
        <v>○</v>
      </c>
      <c r="BI75" s="767" t="str">
        <f t="shared" si="51"/>
        <v>×</v>
      </c>
      <c r="BJ75" s="804" t="str">
        <f t="shared" si="52"/>
        <v>×</v>
      </c>
      <c r="BK75" s="765" t="str">
        <f t="shared" si="53"/>
        <v>○</v>
      </c>
      <c r="BL75" s="768" t="str">
        <f t="shared" si="54"/>
        <v>○</v>
      </c>
      <c r="BM75" s="766" t="str">
        <f t="shared" si="48"/>
        <v>○</v>
      </c>
      <c r="BN75" s="762" t="str">
        <f t="shared" si="55"/>
        <v>○</v>
      </c>
      <c r="BO75" s="657"/>
    </row>
    <row r="76" spans="1:67" ht="13.5" customHeight="1">
      <c r="A76" s="1076"/>
      <c r="B76" s="551" t="s">
        <v>748</v>
      </c>
      <c r="C76" s="422"/>
      <c r="D76" s="418">
        <v>91</v>
      </c>
      <c r="E76" s="419">
        <v>105</v>
      </c>
      <c r="F76" s="51" t="s">
        <v>58</v>
      </c>
      <c r="G76" s="568" t="s">
        <v>8</v>
      </c>
      <c r="H76" s="51" t="s">
        <v>58</v>
      </c>
      <c r="I76" s="568" t="s">
        <v>8</v>
      </c>
      <c r="J76" s="568" t="s">
        <v>8</v>
      </c>
      <c r="K76" s="51" t="str">
        <f t="shared" si="37"/>
        <v>×</v>
      </c>
      <c r="L76" s="34" t="s">
        <v>637</v>
      </c>
      <c r="M76" s="51" t="s">
        <v>58</v>
      </c>
      <c r="N76" s="51" t="s">
        <v>58</v>
      </c>
      <c r="O76" s="51" t="s">
        <v>58</v>
      </c>
      <c r="P76" s="51" t="s">
        <v>58</v>
      </c>
      <c r="Q76" s="51" t="s">
        <v>58</v>
      </c>
      <c r="R76" s="34" t="s">
        <v>637</v>
      </c>
      <c r="S76" s="34" t="s">
        <v>637</v>
      </c>
      <c r="T76" s="34" t="s">
        <v>637</v>
      </c>
      <c r="U76" s="34" t="s">
        <v>637</v>
      </c>
      <c r="V76" s="706" t="s">
        <v>8</v>
      </c>
      <c r="W76" s="34" t="s">
        <v>637</v>
      </c>
      <c r="X76" s="395" t="s">
        <v>637</v>
      </c>
      <c r="Y76" s="395" t="s">
        <v>637</v>
      </c>
      <c r="Z76" s="395" t="s">
        <v>637</v>
      </c>
      <c r="AA76" s="395" t="s">
        <v>637</v>
      </c>
      <c r="AB76" s="34" t="s">
        <v>637</v>
      </c>
      <c r="AC76" s="34" t="s">
        <v>637</v>
      </c>
      <c r="AD76" s="706" t="s">
        <v>8</v>
      </c>
      <c r="AE76" s="34" t="s">
        <v>637</v>
      </c>
      <c r="AF76" s="395" t="str">
        <f t="shared" si="38"/>
        <v>○</v>
      </c>
      <c r="AG76" s="34" t="s">
        <v>637</v>
      </c>
      <c r="AH76" s="706" t="s">
        <v>8</v>
      </c>
      <c r="AI76" s="706" t="s">
        <v>8</v>
      </c>
      <c r="AJ76" s="36" t="s">
        <v>637</v>
      </c>
      <c r="AK76" s="36" t="s">
        <v>637</v>
      </c>
      <c r="AL76" s="34" t="s">
        <v>637</v>
      </c>
      <c r="AM76" s="428" t="str">
        <f t="shared" si="39"/>
        <v>○</v>
      </c>
      <c r="AN76" s="428"/>
      <c r="AO76" s="428" t="str">
        <f t="shared" si="50"/>
        <v>○</v>
      </c>
      <c r="AP76" s="706" t="s">
        <v>8</v>
      </c>
      <c r="AQ76" s="34" t="s">
        <v>637</v>
      </c>
      <c r="AR76" s="395" t="s">
        <v>637</v>
      </c>
      <c r="AS76" s="706" t="s">
        <v>8</v>
      </c>
      <c r="AT76" s="34" t="s">
        <v>637</v>
      </c>
      <c r="AU76" s="395" t="str">
        <f t="shared" si="40"/>
        <v>○</v>
      </c>
      <c r="AV76" s="395" t="s">
        <v>638</v>
      </c>
      <c r="AW76" s="428" t="str">
        <f t="shared" si="41"/>
        <v>○</v>
      </c>
      <c r="AX76" s="927" t="s">
        <v>8</v>
      </c>
      <c r="AY76" s="706" t="s">
        <v>8</v>
      </c>
      <c r="AZ76" s="928" t="s">
        <v>8</v>
      </c>
      <c r="BA76" s="813" t="str">
        <f t="shared" si="42"/>
        <v>○</v>
      </c>
      <c r="BB76" s="767" t="str">
        <f t="shared" si="43"/>
        <v>○</v>
      </c>
      <c r="BC76" s="768" t="str">
        <f t="shared" si="44"/>
        <v>○</v>
      </c>
      <c r="BD76" s="765" t="str">
        <f t="shared" si="45"/>
        <v>○</v>
      </c>
      <c r="BE76" s="767" t="str">
        <f t="shared" si="46"/>
        <v>○</v>
      </c>
      <c r="BF76" s="768" t="str">
        <f t="shared" si="47"/>
        <v>○</v>
      </c>
      <c r="BG76" s="766" t="s">
        <v>10</v>
      </c>
      <c r="BH76" s="804" t="str">
        <f t="shared" si="49"/>
        <v>○</v>
      </c>
      <c r="BI76" s="767" t="str">
        <f t="shared" si="51"/>
        <v>×</v>
      </c>
      <c r="BJ76" s="804" t="str">
        <f t="shared" si="52"/>
        <v>×</v>
      </c>
      <c r="BK76" s="765" t="str">
        <f t="shared" si="53"/>
        <v>○</v>
      </c>
      <c r="BL76" s="768" t="str">
        <f t="shared" si="54"/>
        <v>○</v>
      </c>
      <c r="BM76" s="766" t="str">
        <f t="shared" si="48"/>
        <v>○</v>
      </c>
      <c r="BN76" s="762" t="str">
        <f t="shared" si="55"/>
        <v>○</v>
      </c>
      <c r="BO76" s="657"/>
    </row>
    <row r="77" spans="1:67" s="840" customFormat="1" ht="13.5" customHeight="1" thickBot="1">
      <c r="A77" s="1077"/>
      <c r="B77" s="832" t="s">
        <v>749</v>
      </c>
      <c r="C77" s="833">
        <v>0</v>
      </c>
      <c r="D77" s="834">
        <v>0</v>
      </c>
      <c r="E77" s="835">
        <v>0</v>
      </c>
      <c r="F77" s="708" t="s">
        <v>8</v>
      </c>
      <c r="G77" s="836" t="s">
        <v>8</v>
      </c>
      <c r="H77" s="708" t="s">
        <v>8</v>
      </c>
      <c r="I77" s="836" t="s">
        <v>8</v>
      </c>
      <c r="J77" s="836" t="s">
        <v>8</v>
      </c>
      <c r="K77" s="708" t="str">
        <f t="shared" ref="K77:K88" si="56">F77</f>
        <v>×</v>
      </c>
      <c r="L77" s="706" t="s">
        <v>58</v>
      </c>
      <c r="M77" s="708" t="s">
        <v>8</v>
      </c>
      <c r="N77" s="741" t="s">
        <v>8</v>
      </c>
      <c r="O77" s="741" t="s">
        <v>8</v>
      </c>
      <c r="P77" s="741" t="s">
        <v>8</v>
      </c>
      <c r="Q77" s="741" t="s">
        <v>8</v>
      </c>
      <c r="R77" s="706" t="s">
        <v>8</v>
      </c>
      <c r="S77" s="706" t="s">
        <v>8</v>
      </c>
      <c r="T77" s="706" t="s">
        <v>8</v>
      </c>
      <c r="U77" s="706" t="s">
        <v>8</v>
      </c>
      <c r="V77" s="706" t="s">
        <v>8</v>
      </c>
      <c r="W77" s="706" t="s">
        <v>8</v>
      </c>
      <c r="X77" s="706" t="s">
        <v>8</v>
      </c>
      <c r="Y77" s="706" t="s">
        <v>8</v>
      </c>
      <c r="Z77" s="706" t="s">
        <v>8</v>
      </c>
      <c r="AA77" s="706" t="s">
        <v>8</v>
      </c>
      <c r="AB77" s="706" t="s">
        <v>8</v>
      </c>
      <c r="AC77" s="706" t="s">
        <v>8</v>
      </c>
      <c r="AD77" s="706" t="s">
        <v>8</v>
      </c>
      <c r="AE77" s="706" t="s">
        <v>8</v>
      </c>
      <c r="AF77" s="706" t="str">
        <f t="shared" si="38"/>
        <v>×</v>
      </c>
      <c r="AG77" s="706" t="s">
        <v>8</v>
      </c>
      <c r="AH77" s="706" t="s">
        <v>8</v>
      </c>
      <c r="AI77" s="706" t="s">
        <v>8</v>
      </c>
      <c r="AJ77" s="837" t="s">
        <v>8</v>
      </c>
      <c r="AK77" s="837" t="s">
        <v>8</v>
      </c>
      <c r="AL77" s="706" t="s">
        <v>8</v>
      </c>
      <c r="AM77" s="837" t="str">
        <f t="shared" si="39"/>
        <v>×</v>
      </c>
      <c r="AN77" s="837"/>
      <c r="AO77" s="837" t="str">
        <f t="shared" si="50"/>
        <v>×</v>
      </c>
      <c r="AP77" s="706" t="s">
        <v>8</v>
      </c>
      <c r="AQ77" s="706" t="s">
        <v>8</v>
      </c>
      <c r="AR77" s="706" t="s">
        <v>8</v>
      </c>
      <c r="AS77" s="706" t="s">
        <v>8</v>
      </c>
      <c r="AT77" s="706" t="s">
        <v>8</v>
      </c>
      <c r="AU77" s="706" t="str">
        <f t="shared" si="40"/>
        <v>×</v>
      </c>
      <c r="AV77" s="706" t="s">
        <v>58</v>
      </c>
      <c r="AW77" s="837" t="str">
        <f t="shared" si="41"/>
        <v>×</v>
      </c>
      <c r="AX77" s="927" t="s">
        <v>8</v>
      </c>
      <c r="AY77" s="706" t="s">
        <v>8</v>
      </c>
      <c r="AZ77" s="928" t="s">
        <v>8</v>
      </c>
      <c r="BA77" s="839" t="str">
        <f t="shared" si="42"/>
        <v>×</v>
      </c>
      <c r="BB77" s="798" t="str">
        <f t="shared" si="43"/>
        <v>×</v>
      </c>
      <c r="BC77" s="797" t="str">
        <f t="shared" si="44"/>
        <v>×</v>
      </c>
      <c r="BD77" s="796" t="str">
        <f t="shared" si="45"/>
        <v>×</v>
      </c>
      <c r="BE77" s="798" t="str">
        <f t="shared" si="46"/>
        <v>×</v>
      </c>
      <c r="BF77" s="797" t="str">
        <f t="shared" si="47"/>
        <v>×</v>
      </c>
      <c r="BG77" s="799" t="s">
        <v>8</v>
      </c>
      <c r="BH77" s="800" t="str">
        <f t="shared" si="49"/>
        <v>×</v>
      </c>
      <c r="BI77" s="798" t="str">
        <f t="shared" si="51"/>
        <v>×</v>
      </c>
      <c r="BJ77" s="800" t="str">
        <f t="shared" si="52"/>
        <v>×</v>
      </c>
      <c r="BK77" s="796" t="str">
        <f t="shared" si="53"/>
        <v>×</v>
      </c>
      <c r="BL77" s="797" t="str">
        <f t="shared" si="54"/>
        <v>×</v>
      </c>
      <c r="BM77" s="799" t="str">
        <f t="shared" si="48"/>
        <v>×</v>
      </c>
      <c r="BN77" s="801" t="str">
        <f t="shared" si="55"/>
        <v>×</v>
      </c>
      <c r="BO77" s="877"/>
    </row>
    <row r="78" spans="1:67" ht="13.5" customHeight="1">
      <c r="A78" s="1091" t="s">
        <v>928</v>
      </c>
      <c r="B78" s="683" t="s">
        <v>852</v>
      </c>
      <c r="C78" s="684">
        <v>0</v>
      </c>
      <c r="D78" s="685">
        <v>83</v>
      </c>
      <c r="E78" s="686">
        <v>90</v>
      </c>
      <c r="F78" s="689" t="s">
        <v>1</v>
      </c>
      <c r="G78" s="690" t="s">
        <v>58</v>
      </c>
      <c r="H78" s="296" t="s">
        <v>58</v>
      </c>
      <c r="I78" s="691" t="s">
        <v>58</v>
      </c>
      <c r="J78" s="691" t="s">
        <v>58</v>
      </c>
      <c r="K78" s="296" t="str">
        <f t="shared" si="56"/>
        <v>○</v>
      </c>
      <c r="L78" s="62" t="s">
        <v>637</v>
      </c>
      <c r="M78" s="589" t="s">
        <v>1</v>
      </c>
      <c r="N78" s="34" t="s">
        <v>637</v>
      </c>
      <c r="O78" s="51" t="s">
        <v>58</v>
      </c>
      <c r="P78" s="51" t="s">
        <v>58</v>
      </c>
      <c r="Q78" s="34" t="s">
        <v>637</v>
      </c>
      <c r="R78" s="62" t="s">
        <v>637</v>
      </c>
      <c r="S78" s="62" t="s">
        <v>637</v>
      </c>
      <c r="T78" s="62" t="s">
        <v>637</v>
      </c>
      <c r="U78" s="62" t="s">
        <v>637</v>
      </c>
      <c r="V78" s="706" t="s">
        <v>8</v>
      </c>
      <c r="W78" s="62" t="s">
        <v>637</v>
      </c>
      <c r="X78" s="62" t="s">
        <v>637</v>
      </c>
      <c r="Y78" s="62" t="s">
        <v>637</v>
      </c>
      <c r="Z78" s="62" t="s">
        <v>637</v>
      </c>
      <c r="AA78" s="62" t="s">
        <v>637</v>
      </c>
      <c r="AB78" s="62" t="s">
        <v>637</v>
      </c>
      <c r="AC78" s="62" t="s">
        <v>637</v>
      </c>
      <c r="AD78" s="706" t="s">
        <v>8</v>
      </c>
      <c r="AE78" s="62" t="s">
        <v>637</v>
      </c>
      <c r="AF78" s="62" t="str">
        <f t="shared" si="38"/>
        <v>○</v>
      </c>
      <c r="AG78" s="62" t="s">
        <v>637</v>
      </c>
      <c r="AH78" s="706" t="s">
        <v>8</v>
      </c>
      <c r="AI78" s="706" t="s">
        <v>8</v>
      </c>
      <c r="AJ78" s="301" t="s">
        <v>637</v>
      </c>
      <c r="AK78" s="301" t="s">
        <v>637</v>
      </c>
      <c r="AL78" s="34" t="s">
        <v>637</v>
      </c>
      <c r="AM78" s="301" t="str">
        <f t="shared" si="39"/>
        <v>○</v>
      </c>
      <c r="AN78" s="301"/>
      <c r="AO78" s="428" t="str">
        <f t="shared" si="50"/>
        <v>○</v>
      </c>
      <c r="AP78" s="706" t="s">
        <v>8</v>
      </c>
      <c r="AQ78" s="62" t="s">
        <v>637</v>
      </c>
      <c r="AR78" s="62" t="s">
        <v>637</v>
      </c>
      <c r="AS78" s="706" t="s">
        <v>8</v>
      </c>
      <c r="AT78" s="62" t="s">
        <v>637</v>
      </c>
      <c r="AU78" s="62" t="str">
        <f t="shared" si="40"/>
        <v>○</v>
      </c>
      <c r="AV78" s="62" t="s">
        <v>638</v>
      </c>
      <c r="AW78" s="301" t="str">
        <f t="shared" si="41"/>
        <v>○</v>
      </c>
      <c r="AX78" s="927" t="s">
        <v>8</v>
      </c>
      <c r="AY78" s="706" t="s">
        <v>8</v>
      </c>
      <c r="AZ78" s="928" t="s">
        <v>8</v>
      </c>
      <c r="BA78" s="813" t="str">
        <f t="shared" si="42"/>
        <v>○</v>
      </c>
      <c r="BB78" s="767" t="str">
        <f t="shared" si="43"/>
        <v>○</v>
      </c>
      <c r="BC78" s="768" t="str">
        <f t="shared" si="44"/>
        <v>○</v>
      </c>
      <c r="BD78" s="813" t="str">
        <f t="shared" si="45"/>
        <v>○</v>
      </c>
      <c r="BE78" s="818" t="str">
        <f t="shared" si="46"/>
        <v>○</v>
      </c>
      <c r="BF78" s="819" t="str">
        <f t="shared" si="47"/>
        <v>○</v>
      </c>
      <c r="BG78" s="787" t="s">
        <v>10</v>
      </c>
      <c r="BH78" s="804" t="str">
        <f t="shared" si="49"/>
        <v>○</v>
      </c>
      <c r="BI78" s="767" t="str">
        <f t="shared" si="51"/>
        <v>×</v>
      </c>
      <c r="BJ78" s="804" t="str">
        <f t="shared" si="52"/>
        <v>×</v>
      </c>
      <c r="BK78" s="765" t="str">
        <f t="shared" si="53"/>
        <v>○</v>
      </c>
      <c r="BL78" s="768" t="str">
        <f t="shared" si="54"/>
        <v>○</v>
      </c>
      <c r="BM78" s="787" t="str">
        <f t="shared" si="48"/>
        <v>○</v>
      </c>
      <c r="BN78" s="762" t="str">
        <f t="shared" si="55"/>
        <v>○</v>
      </c>
      <c r="BO78" s="1197" t="s">
        <v>1070</v>
      </c>
    </row>
    <row r="79" spans="1:67" ht="13.5" customHeight="1" thickBot="1">
      <c r="A79" s="1093"/>
      <c r="B79" s="687" t="s">
        <v>593</v>
      </c>
      <c r="C79" s="417"/>
      <c r="D79" s="418">
        <v>91</v>
      </c>
      <c r="E79" s="419">
        <v>105</v>
      </c>
      <c r="F79" s="692" t="s">
        <v>1</v>
      </c>
      <c r="G79" s="586" t="s">
        <v>58</v>
      </c>
      <c r="H79" s="51" t="s">
        <v>58</v>
      </c>
      <c r="I79" s="592" t="s">
        <v>58</v>
      </c>
      <c r="J79" s="592" t="s">
        <v>58</v>
      </c>
      <c r="K79" s="51" t="str">
        <f t="shared" si="56"/>
        <v>○</v>
      </c>
      <c r="L79" s="34" t="s">
        <v>637</v>
      </c>
      <c r="M79" s="692" t="s">
        <v>1</v>
      </c>
      <c r="N79" s="34" t="s">
        <v>637</v>
      </c>
      <c r="O79" s="51" t="s">
        <v>58</v>
      </c>
      <c r="P79" s="51" t="s">
        <v>58</v>
      </c>
      <c r="Q79" s="34" t="s">
        <v>637</v>
      </c>
      <c r="R79" s="34" t="s">
        <v>637</v>
      </c>
      <c r="S79" s="34" t="s">
        <v>637</v>
      </c>
      <c r="T79" s="34" t="s">
        <v>637</v>
      </c>
      <c r="U79" s="34" t="s">
        <v>637</v>
      </c>
      <c r="V79" s="706" t="s">
        <v>8</v>
      </c>
      <c r="W79" s="34" t="s">
        <v>637</v>
      </c>
      <c r="X79" s="34" t="s">
        <v>637</v>
      </c>
      <c r="Y79" s="34" t="s">
        <v>637</v>
      </c>
      <c r="Z79" s="34" t="s">
        <v>637</v>
      </c>
      <c r="AA79" s="34" t="s">
        <v>637</v>
      </c>
      <c r="AB79" s="34" t="s">
        <v>637</v>
      </c>
      <c r="AC79" s="34" t="s">
        <v>637</v>
      </c>
      <c r="AD79" s="706" t="s">
        <v>8</v>
      </c>
      <c r="AE79" s="34" t="s">
        <v>637</v>
      </c>
      <c r="AF79" s="34" t="str">
        <f t="shared" si="38"/>
        <v>○</v>
      </c>
      <c r="AG79" s="34" t="s">
        <v>637</v>
      </c>
      <c r="AH79" s="706" t="s">
        <v>8</v>
      </c>
      <c r="AI79" s="706" t="s">
        <v>8</v>
      </c>
      <c r="AJ79" s="36" t="s">
        <v>637</v>
      </c>
      <c r="AK79" s="36" t="s">
        <v>637</v>
      </c>
      <c r="AL79" s="34" t="s">
        <v>637</v>
      </c>
      <c r="AM79" s="36" t="str">
        <f t="shared" si="39"/>
        <v>○</v>
      </c>
      <c r="AN79" s="36"/>
      <c r="AO79" s="428" t="str">
        <f t="shared" si="50"/>
        <v>○</v>
      </c>
      <c r="AP79" s="706" t="s">
        <v>8</v>
      </c>
      <c r="AQ79" s="34" t="s">
        <v>637</v>
      </c>
      <c r="AR79" s="34" t="s">
        <v>637</v>
      </c>
      <c r="AS79" s="706" t="s">
        <v>8</v>
      </c>
      <c r="AT79" s="34" t="s">
        <v>637</v>
      </c>
      <c r="AU79" s="34" t="str">
        <f t="shared" si="40"/>
        <v>○</v>
      </c>
      <c r="AV79" s="34" t="s">
        <v>638</v>
      </c>
      <c r="AW79" s="36" t="str">
        <f t="shared" si="41"/>
        <v>○</v>
      </c>
      <c r="AX79" s="927" t="s">
        <v>8</v>
      </c>
      <c r="AY79" s="706" t="s">
        <v>8</v>
      </c>
      <c r="AZ79" s="928" t="s">
        <v>8</v>
      </c>
      <c r="BA79" s="813" t="str">
        <f t="shared" si="42"/>
        <v>○</v>
      </c>
      <c r="BB79" s="767" t="str">
        <f t="shared" si="43"/>
        <v>○</v>
      </c>
      <c r="BC79" s="768" t="str">
        <f t="shared" si="44"/>
        <v>○</v>
      </c>
      <c r="BD79" s="765" t="str">
        <f t="shared" si="45"/>
        <v>○</v>
      </c>
      <c r="BE79" s="767" t="str">
        <f t="shared" si="46"/>
        <v>○</v>
      </c>
      <c r="BF79" s="768" t="str">
        <f t="shared" si="47"/>
        <v>○</v>
      </c>
      <c r="BG79" s="766" t="s">
        <v>10</v>
      </c>
      <c r="BH79" s="804" t="str">
        <f t="shared" si="49"/>
        <v>○</v>
      </c>
      <c r="BI79" s="767" t="str">
        <f t="shared" si="51"/>
        <v>×</v>
      </c>
      <c r="BJ79" s="804" t="str">
        <f t="shared" si="52"/>
        <v>×</v>
      </c>
      <c r="BK79" s="765" t="str">
        <f t="shared" si="53"/>
        <v>○</v>
      </c>
      <c r="BL79" s="768" t="str">
        <f t="shared" si="54"/>
        <v>○</v>
      </c>
      <c r="BM79" s="766" t="str">
        <f t="shared" si="48"/>
        <v>○</v>
      </c>
      <c r="BN79" s="762" t="str">
        <f t="shared" si="55"/>
        <v>○</v>
      </c>
      <c r="BO79" s="1198"/>
    </row>
    <row r="80" spans="1:67" ht="13.5" customHeight="1" thickBot="1">
      <c r="A80" s="1196" t="s">
        <v>213</v>
      </c>
      <c r="B80" s="551" t="s">
        <v>750</v>
      </c>
      <c r="C80" s="27">
        <v>0</v>
      </c>
      <c r="D80" s="418">
        <f>$19:$19</f>
        <v>106</v>
      </c>
      <c r="E80" s="419">
        <v>135</v>
      </c>
      <c r="F80" s="51" t="s">
        <v>637</v>
      </c>
      <c r="G80" s="568" t="s">
        <v>8</v>
      </c>
      <c r="H80" s="51" t="s">
        <v>58</v>
      </c>
      <c r="I80" s="568" t="s">
        <v>8</v>
      </c>
      <c r="J80" s="568" t="s">
        <v>8</v>
      </c>
      <c r="K80" s="51" t="str">
        <f t="shared" si="56"/>
        <v>○</v>
      </c>
      <c r="L80" s="34" t="s">
        <v>638</v>
      </c>
      <c r="M80" s="51" t="s">
        <v>638</v>
      </c>
      <c r="N80" s="34" t="s">
        <v>637</v>
      </c>
      <c r="O80" s="51" t="s">
        <v>58</v>
      </c>
      <c r="P80" s="51" t="s">
        <v>58</v>
      </c>
      <c r="Q80" s="34" t="s">
        <v>637</v>
      </c>
      <c r="R80" s="34" t="s">
        <v>637</v>
      </c>
      <c r="S80" s="34" t="s">
        <v>637</v>
      </c>
      <c r="T80" s="34" t="s">
        <v>637</v>
      </c>
      <c r="U80" s="34" t="s">
        <v>637</v>
      </c>
      <c r="V80" s="706" t="s">
        <v>8</v>
      </c>
      <c r="W80" s="34" t="s">
        <v>637</v>
      </c>
      <c r="X80" s="395" t="s">
        <v>637</v>
      </c>
      <c r="Y80" s="395" t="s">
        <v>637</v>
      </c>
      <c r="Z80" s="428" t="s">
        <v>644</v>
      </c>
      <c r="AA80" s="395" t="s">
        <v>8</v>
      </c>
      <c r="AB80" s="34" t="s">
        <v>637</v>
      </c>
      <c r="AC80" s="34" t="s">
        <v>637</v>
      </c>
      <c r="AD80" s="706" t="s">
        <v>8</v>
      </c>
      <c r="AE80" s="34" t="s">
        <v>637</v>
      </c>
      <c r="AF80" s="395" t="str">
        <f t="shared" si="38"/>
        <v>○</v>
      </c>
      <c r="AG80" s="34" t="s">
        <v>637</v>
      </c>
      <c r="AH80" s="706" t="s">
        <v>8</v>
      </c>
      <c r="AI80" s="706" t="s">
        <v>8</v>
      </c>
      <c r="AJ80" s="36" t="s">
        <v>637</v>
      </c>
      <c r="AK80" s="36" t="s">
        <v>8</v>
      </c>
      <c r="AL80" s="34" t="s">
        <v>644</v>
      </c>
      <c r="AM80" s="428" t="str">
        <f t="shared" si="39"/>
        <v>○</v>
      </c>
      <c r="AN80" s="428"/>
      <c r="AO80" s="428" t="str">
        <f t="shared" si="50"/>
        <v>○(1)</v>
      </c>
      <c r="AP80" s="706" t="s">
        <v>8</v>
      </c>
      <c r="AQ80" s="34" t="s">
        <v>637</v>
      </c>
      <c r="AR80" s="395" t="s">
        <v>637</v>
      </c>
      <c r="AS80" s="706" t="s">
        <v>8</v>
      </c>
      <c r="AT80" s="34" t="s">
        <v>644</v>
      </c>
      <c r="AU80" s="405" t="str">
        <f t="shared" si="40"/>
        <v>○(1)</v>
      </c>
      <c r="AV80" s="395" t="s">
        <v>58</v>
      </c>
      <c r="AW80" s="428" t="str">
        <f t="shared" si="41"/>
        <v>×</v>
      </c>
      <c r="AX80" s="927" t="s">
        <v>8</v>
      </c>
      <c r="AY80" s="706" t="s">
        <v>8</v>
      </c>
      <c r="AZ80" s="928" t="s">
        <v>8</v>
      </c>
      <c r="BA80" s="813" t="str">
        <f t="shared" si="42"/>
        <v>×</v>
      </c>
      <c r="BB80" s="767" t="str">
        <f t="shared" si="43"/>
        <v>○</v>
      </c>
      <c r="BC80" s="768" t="str">
        <f t="shared" si="44"/>
        <v>○</v>
      </c>
      <c r="BD80" s="765" t="str">
        <f t="shared" si="45"/>
        <v>×</v>
      </c>
      <c r="BE80" s="822" t="str">
        <f t="shared" si="46"/>
        <v>○</v>
      </c>
      <c r="BF80" s="768" t="str">
        <f t="shared" si="47"/>
        <v>○</v>
      </c>
      <c r="BG80" s="766" t="s">
        <v>8</v>
      </c>
      <c r="BH80" s="804" t="str">
        <f t="shared" si="49"/>
        <v>○</v>
      </c>
      <c r="BI80" s="767" t="str">
        <f t="shared" si="51"/>
        <v>×</v>
      </c>
      <c r="BJ80" s="804" t="str">
        <f t="shared" si="52"/>
        <v>×</v>
      </c>
      <c r="BK80" s="765" t="str">
        <f t="shared" si="53"/>
        <v>○(1)</v>
      </c>
      <c r="BL80" s="768" t="str">
        <f t="shared" si="54"/>
        <v>○(1)</v>
      </c>
      <c r="BM80" s="766" t="str">
        <f t="shared" si="48"/>
        <v>○(1)</v>
      </c>
      <c r="BN80" s="762" t="str">
        <f t="shared" si="55"/>
        <v>○(1)</v>
      </c>
      <c r="BO80" s="1198"/>
    </row>
    <row r="81" spans="1:67" ht="13.5" customHeight="1" thickBot="1">
      <c r="A81" s="1196"/>
      <c r="B81" s="551" t="s">
        <v>751</v>
      </c>
      <c r="C81" s="27">
        <v>0</v>
      </c>
      <c r="D81" s="418">
        <v>136</v>
      </c>
      <c r="E81" s="419">
        <v>157</v>
      </c>
      <c r="F81" s="51" t="s">
        <v>637</v>
      </c>
      <c r="G81" s="568" t="s">
        <v>8</v>
      </c>
      <c r="H81" s="51" t="s">
        <v>58</v>
      </c>
      <c r="I81" s="568" t="s">
        <v>8</v>
      </c>
      <c r="J81" s="568" t="s">
        <v>8</v>
      </c>
      <c r="K81" s="51" t="str">
        <f t="shared" si="56"/>
        <v>○</v>
      </c>
      <c r="L81" s="34" t="s">
        <v>638</v>
      </c>
      <c r="M81" s="51" t="s">
        <v>637</v>
      </c>
      <c r="N81" s="34" t="s">
        <v>637</v>
      </c>
      <c r="O81" s="51" t="s">
        <v>58</v>
      </c>
      <c r="P81" s="51" t="s">
        <v>58</v>
      </c>
      <c r="Q81" s="34" t="s">
        <v>637</v>
      </c>
      <c r="R81" s="34" t="s">
        <v>637</v>
      </c>
      <c r="S81" s="34" t="s">
        <v>637</v>
      </c>
      <c r="T81" s="34" t="s">
        <v>637</v>
      </c>
      <c r="U81" s="34" t="s">
        <v>637</v>
      </c>
      <c r="V81" s="706" t="s">
        <v>8</v>
      </c>
      <c r="W81" s="34" t="s">
        <v>637</v>
      </c>
      <c r="X81" s="395" t="s">
        <v>637</v>
      </c>
      <c r="Y81" s="395" t="s">
        <v>637</v>
      </c>
      <c r="Z81" s="428" t="s">
        <v>644</v>
      </c>
      <c r="AA81" s="395" t="s">
        <v>8</v>
      </c>
      <c r="AB81" s="34" t="s">
        <v>637</v>
      </c>
      <c r="AC81" s="34" t="s">
        <v>637</v>
      </c>
      <c r="AD81" s="706" t="s">
        <v>8</v>
      </c>
      <c r="AE81" s="34" t="s">
        <v>637</v>
      </c>
      <c r="AF81" s="395" t="str">
        <f t="shared" si="38"/>
        <v>○</v>
      </c>
      <c r="AG81" s="34" t="s">
        <v>637</v>
      </c>
      <c r="AH81" s="706" t="s">
        <v>8</v>
      </c>
      <c r="AI81" s="706" t="s">
        <v>8</v>
      </c>
      <c r="AJ81" s="36" t="s">
        <v>637</v>
      </c>
      <c r="AK81" s="36" t="s">
        <v>8</v>
      </c>
      <c r="AL81" s="34" t="s">
        <v>644</v>
      </c>
      <c r="AM81" s="428" t="str">
        <f t="shared" si="39"/>
        <v>○</v>
      </c>
      <c r="AN81" s="428"/>
      <c r="AO81" s="428" t="str">
        <f t="shared" si="50"/>
        <v>○(1)</v>
      </c>
      <c r="AP81" s="706" t="s">
        <v>8</v>
      </c>
      <c r="AQ81" s="34" t="s">
        <v>637</v>
      </c>
      <c r="AR81" s="395" t="s">
        <v>637</v>
      </c>
      <c r="AS81" s="706" t="s">
        <v>8</v>
      </c>
      <c r="AT81" s="34" t="s">
        <v>644</v>
      </c>
      <c r="AU81" s="405" t="str">
        <f t="shared" si="40"/>
        <v>○(1)</v>
      </c>
      <c r="AV81" s="395" t="s">
        <v>58</v>
      </c>
      <c r="AW81" s="428" t="str">
        <f t="shared" si="41"/>
        <v>×</v>
      </c>
      <c r="AX81" s="927" t="s">
        <v>8</v>
      </c>
      <c r="AY81" s="706" t="s">
        <v>8</v>
      </c>
      <c r="AZ81" s="928" t="s">
        <v>8</v>
      </c>
      <c r="BA81" s="813" t="str">
        <f t="shared" si="42"/>
        <v>×</v>
      </c>
      <c r="BB81" s="767" t="str">
        <f t="shared" si="43"/>
        <v>○</v>
      </c>
      <c r="BC81" s="768" t="str">
        <f t="shared" si="44"/>
        <v>○</v>
      </c>
      <c r="BD81" s="765" t="str">
        <f t="shared" si="45"/>
        <v>×</v>
      </c>
      <c r="BE81" s="822" t="str">
        <f t="shared" si="46"/>
        <v>○</v>
      </c>
      <c r="BF81" s="768" t="str">
        <f t="shared" si="47"/>
        <v>○</v>
      </c>
      <c r="BG81" s="766" t="s">
        <v>8</v>
      </c>
      <c r="BH81" s="804" t="str">
        <f t="shared" si="49"/>
        <v>○</v>
      </c>
      <c r="BI81" s="767" t="str">
        <f t="shared" si="51"/>
        <v>×</v>
      </c>
      <c r="BJ81" s="804" t="str">
        <f t="shared" si="52"/>
        <v>×</v>
      </c>
      <c r="BK81" s="765" t="str">
        <f t="shared" si="53"/>
        <v>○(1)</v>
      </c>
      <c r="BL81" s="768" t="str">
        <f t="shared" si="54"/>
        <v>○(1)</v>
      </c>
      <c r="BM81" s="766" t="str">
        <f t="shared" si="48"/>
        <v>○(1)</v>
      </c>
      <c r="BN81" s="762" t="str">
        <f t="shared" si="55"/>
        <v>○(1)</v>
      </c>
      <c r="BO81" s="1198"/>
    </row>
    <row r="82" spans="1:67" ht="13.5" customHeight="1" thickBot="1">
      <c r="A82" s="1196"/>
      <c r="B82" s="551" t="s">
        <v>752</v>
      </c>
      <c r="C82" s="27">
        <v>0</v>
      </c>
      <c r="D82" s="418">
        <v>158</v>
      </c>
      <c r="E82" s="419">
        <v>176</v>
      </c>
      <c r="F82" s="51" t="s">
        <v>637</v>
      </c>
      <c r="G82" s="568" t="s">
        <v>8</v>
      </c>
      <c r="H82" s="51" t="s">
        <v>58</v>
      </c>
      <c r="I82" s="568" t="s">
        <v>8</v>
      </c>
      <c r="J82" s="568" t="s">
        <v>8</v>
      </c>
      <c r="K82" s="51" t="str">
        <f t="shared" si="56"/>
        <v>○</v>
      </c>
      <c r="L82" s="34" t="s">
        <v>638</v>
      </c>
      <c r="M82" s="51" t="s">
        <v>637</v>
      </c>
      <c r="N82" s="34" t="s">
        <v>637</v>
      </c>
      <c r="O82" s="51" t="s">
        <v>58</v>
      </c>
      <c r="P82" s="51" t="s">
        <v>58</v>
      </c>
      <c r="Q82" s="34" t="s">
        <v>637</v>
      </c>
      <c r="R82" s="34" t="s">
        <v>637</v>
      </c>
      <c r="S82" s="34" t="s">
        <v>637</v>
      </c>
      <c r="T82" s="34" t="s">
        <v>637</v>
      </c>
      <c r="U82" s="34" t="s">
        <v>637</v>
      </c>
      <c r="V82" s="706" t="s">
        <v>8</v>
      </c>
      <c r="W82" s="34" t="s">
        <v>637</v>
      </c>
      <c r="X82" s="395" t="s">
        <v>637</v>
      </c>
      <c r="Y82" s="395" t="s">
        <v>637</v>
      </c>
      <c r="Z82" s="428" t="s">
        <v>644</v>
      </c>
      <c r="AA82" s="395" t="s">
        <v>8</v>
      </c>
      <c r="AB82" s="34" t="s">
        <v>637</v>
      </c>
      <c r="AC82" s="34" t="s">
        <v>637</v>
      </c>
      <c r="AD82" s="706" t="s">
        <v>8</v>
      </c>
      <c r="AE82" s="34" t="s">
        <v>637</v>
      </c>
      <c r="AF82" s="395" t="str">
        <f t="shared" si="38"/>
        <v>○</v>
      </c>
      <c r="AG82" s="34" t="s">
        <v>637</v>
      </c>
      <c r="AH82" s="706" t="s">
        <v>8</v>
      </c>
      <c r="AI82" s="706" t="s">
        <v>8</v>
      </c>
      <c r="AJ82" s="36" t="s">
        <v>637</v>
      </c>
      <c r="AK82" s="36" t="s">
        <v>8</v>
      </c>
      <c r="AL82" s="34" t="s">
        <v>644</v>
      </c>
      <c r="AM82" s="428" t="str">
        <f t="shared" si="39"/>
        <v>○</v>
      </c>
      <c r="AN82" s="428"/>
      <c r="AO82" s="428" t="str">
        <f t="shared" si="50"/>
        <v>○(1)</v>
      </c>
      <c r="AP82" s="706" t="s">
        <v>8</v>
      </c>
      <c r="AQ82" s="34" t="s">
        <v>637</v>
      </c>
      <c r="AR82" s="395" t="s">
        <v>637</v>
      </c>
      <c r="AS82" s="706" t="s">
        <v>8</v>
      </c>
      <c r="AT82" s="34" t="s">
        <v>644</v>
      </c>
      <c r="AU82" s="405" t="str">
        <f t="shared" si="40"/>
        <v>○(1)</v>
      </c>
      <c r="AV82" s="395" t="s">
        <v>58</v>
      </c>
      <c r="AW82" s="428" t="str">
        <f t="shared" si="41"/>
        <v>×</v>
      </c>
      <c r="AX82" s="927" t="s">
        <v>8</v>
      </c>
      <c r="AY82" s="706" t="s">
        <v>8</v>
      </c>
      <c r="AZ82" s="928" t="s">
        <v>8</v>
      </c>
      <c r="BA82" s="813" t="str">
        <f t="shared" si="42"/>
        <v>×</v>
      </c>
      <c r="BB82" s="767" t="str">
        <f t="shared" si="43"/>
        <v>○</v>
      </c>
      <c r="BC82" s="768" t="str">
        <f t="shared" si="44"/>
        <v>○</v>
      </c>
      <c r="BD82" s="765" t="str">
        <f t="shared" si="45"/>
        <v>×</v>
      </c>
      <c r="BE82" s="822" t="str">
        <f t="shared" si="46"/>
        <v>○</v>
      </c>
      <c r="BF82" s="768" t="str">
        <f t="shared" si="47"/>
        <v>○</v>
      </c>
      <c r="BG82" s="766" t="s">
        <v>8</v>
      </c>
      <c r="BH82" s="804" t="str">
        <f t="shared" si="49"/>
        <v>○</v>
      </c>
      <c r="BI82" s="767" t="str">
        <f t="shared" si="51"/>
        <v>×</v>
      </c>
      <c r="BJ82" s="804" t="str">
        <f t="shared" si="52"/>
        <v>×</v>
      </c>
      <c r="BK82" s="765" t="str">
        <f t="shared" si="53"/>
        <v>○(1)</v>
      </c>
      <c r="BL82" s="768" t="str">
        <f t="shared" si="54"/>
        <v>○(1)</v>
      </c>
      <c r="BM82" s="766" t="str">
        <f t="shared" si="48"/>
        <v>○(1)</v>
      </c>
      <c r="BN82" s="762" t="str">
        <f t="shared" si="55"/>
        <v>○(1)</v>
      </c>
      <c r="BO82" s="1198"/>
    </row>
    <row r="83" spans="1:67" ht="13.5" customHeight="1" thickBot="1">
      <c r="A83" s="1196"/>
      <c r="B83" s="551" t="s">
        <v>753</v>
      </c>
      <c r="C83" s="27">
        <v>0</v>
      </c>
      <c r="D83" s="418">
        <f>$19:$19</f>
        <v>106</v>
      </c>
      <c r="E83" s="419">
        <f>$19:$19</f>
        <v>176</v>
      </c>
      <c r="F83" s="51" t="s">
        <v>637</v>
      </c>
      <c r="G83" s="568" t="s">
        <v>8</v>
      </c>
      <c r="H83" s="51" t="s">
        <v>58</v>
      </c>
      <c r="I83" s="568" t="s">
        <v>8</v>
      </c>
      <c r="J83" s="568" t="s">
        <v>8</v>
      </c>
      <c r="K83" s="51" t="str">
        <f t="shared" si="56"/>
        <v>○</v>
      </c>
      <c r="L83" s="34" t="s">
        <v>638</v>
      </c>
      <c r="M83" s="51" t="s">
        <v>637</v>
      </c>
      <c r="N83" s="34" t="s">
        <v>637</v>
      </c>
      <c r="O83" s="51" t="s">
        <v>58</v>
      </c>
      <c r="P83" s="51" t="s">
        <v>58</v>
      </c>
      <c r="Q83" s="34" t="s">
        <v>637</v>
      </c>
      <c r="R83" s="34" t="s">
        <v>637</v>
      </c>
      <c r="S83" s="34" t="s">
        <v>637</v>
      </c>
      <c r="T83" s="34" t="s">
        <v>637</v>
      </c>
      <c r="U83" s="34" t="s">
        <v>637</v>
      </c>
      <c r="V83" s="706" t="s">
        <v>8</v>
      </c>
      <c r="W83" s="34" t="s">
        <v>637</v>
      </c>
      <c r="X83" s="395" t="s">
        <v>637</v>
      </c>
      <c r="Y83" s="395" t="s">
        <v>637</v>
      </c>
      <c r="Z83" s="428" t="s">
        <v>644</v>
      </c>
      <c r="AA83" s="395" t="s">
        <v>8</v>
      </c>
      <c r="AB83" s="34" t="s">
        <v>637</v>
      </c>
      <c r="AC83" s="34" t="s">
        <v>637</v>
      </c>
      <c r="AD83" s="706" t="s">
        <v>8</v>
      </c>
      <c r="AE83" s="34" t="s">
        <v>637</v>
      </c>
      <c r="AF83" s="395" t="str">
        <f t="shared" si="38"/>
        <v>○</v>
      </c>
      <c r="AG83" s="34" t="s">
        <v>637</v>
      </c>
      <c r="AH83" s="706" t="s">
        <v>8</v>
      </c>
      <c r="AI83" s="706" t="s">
        <v>8</v>
      </c>
      <c r="AJ83" s="36" t="s">
        <v>637</v>
      </c>
      <c r="AK83" s="36" t="s">
        <v>8</v>
      </c>
      <c r="AL83" s="34" t="s">
        <v>644</v>
      </c>
      <c r="AM83" s="428" t="str">
        <f t="shared" si="39"/>
        <v>○</v>
      </c>
      <c r="AN83" s="428"/>
      <c r="AO83" s="428" t="str">
        <f t="shared" si="50"/>
        <v>○(1)</v>
      </c>
      <c r="AP83" s="706" t="s">
        <v>8</v>
      </c>
      <c r="AQ83" s="34" t="s">
        <v>637</v>
      </c>
      <c r="AR83" s="395" t="s">
        <v>637</v>
      </c>
      <c r="AS83" s="706" t="s">
        <v>8</v>
      </c>
      <c r="AT83" s="34" t="s">
        <v>644</v>
      </c>
      <c r="AU83" s="405" t="str">
        <f t="shared" si="40"/>
        <v>○(1)</v>
      </c>
      <c r="AV83" s="395" t="s">
        <v>58</v>
      </c>
      <c r="AW83" s="428" t="str">
        <f t="shared" si="41"/>
        <v>×</v>
      </c>
      <c r="AX83" s="927" t="s">
        <v>8</v>
      </c>
      <c r="AY83" s="706" t="s">
        <v>8</v>
      </c>
      <c r="AZ83" s="928" t="s">
        <v>8</v>
      </c>
      <c r="BA83" s="813" t="str">
        <f t="shared" si="42"/>
        <v>×</v>
      </c>
      <c r="BB83" s="767" t="str">
        <f t="shared" si="43"/>
        <v>○</v>
      </c>
      <c r="BC83" s="768" t="str">
        <f t="shared" si="44"/>
        <v>○</v>
      </c>
      <c r="BD83" s="765" t="str">
        <f t="shared" si="45"/>
        <v>×</v>
      </c>
      <c r="BE83" s="822" t="str">
        <f t="shared" si="46"/>
        <v>○</v>
      </c>
      <c r="BF83" s="768" t="str">
        <f t="shared" si="47"/>
        <v>○</v>
      </c>
      <c r="BG83" s="766" t="s">
        <v>8</v>
      </c>
      <c r="BH83" s="804" t="str">
        <f t="shared" si="49"/>
        <v>○</v>
      </c>
      <c r="BI83" s="767" t="str">
        <f t="shared" si="51"/>
        <v>×</v>
      </c>
      <c r="BJ83" s="804" t="str">
        <f t="shared" si="52"/>
        <v>×</v>
      </c>
      <c r="BK83" s="765" t="str">
        <f t="shared" si="53"/>
        <v>○(1)</v>
      </c>
      <c r="BL83" s="768" t="str">
        <f t="shared" si="54"/>
        <v>○(1)</v>
      </c>
      <c r="BM83" s="766" t="str">
        <f t="shared" si="48"/>
        <v>○(1)</v>
      </c>
      <c r="BN83" s="762" t="str">
        <f t="shared" si="55"/>
        <v>○(1)</v>
      </c>
      <c r="BO83" s="1198"/>
    </row>
    <row r="84" spans="1:67" s="840" customFormat="1" ht="13.5" customHeight="1" thickBot="1">
      <c r="A84" s="1196"/>
      <c r="B84" s="863" t="s">
        <v>754</v>
      </c>
      <c r="C84" s="841">
        <v>0</v>
      </c>
      <c r="D84" s="834">
        <v>0</v>
      </c>
      <c r="E84" s="835">
        <v>0</v>
      </c>
      <c r="F84" s="708" t="s">
        <v>58</v>
      </c>
      <c r="G84" s="836" t="s">
        <v>8</v>
      </c>
      <c r="H84" s="708" t="s">
        <v>58</v>
      </c>
      <c r="I84" s="836" t="s">
        <v>8</v>
      </c>
      <c r="J84" s="836" t="s">
        <v>8</v>
      </c>
      <c r="K84" s="708" t="str">
        <f t="shared" si="56"/>
        <v>×</v>
      </c>
      <c r="L84" s="706" t="s">
        <v>58</v>
      </c>
      <c r="M84" s="708" t="s">
        <v>58</v>
      </c>
      <c r="N84" s="706" t="s">
        <v>58</v>
      </c>
      <c r="O84" s="706" t="s">
        <v>58</v>
      </c>
      <c r="P84" s="706" t="s">
        <v>58</v>
      </c>
      <c r="Q84" s="706" t="s">
        <v>58</v>
      </c>
      <c r="R84" s="706" t="s">
        <v>58</v>
      </c>
      <c r="S84" s="706" t="s">
        <v>58</v>
      </c>
      <c r="T84" s="706" t="s">
        <v>58</v>
      </c>
      <c r="U84" s="706" t="s">
        <v>58</v>
      </c>
      <c r="V84" s="706" t="s">
        <v>8</v>
      </c>
      <c r="W84" s="706" t="s">
        <v>8</v>
      </c>
      <c r="X84" s="706" t="s">
        <v>8</v>
      </c>
      <c r="Y84" s="706" t="s">
        <v>8</v>
      </c>
      <c r="Z84" s="706" t="s">
        <v>58</v>
      </c>
      <c r="AA84" s="706" t="s">
        <v>8</v>
      </c>
      <c r="AB84" s="706" t="s">
        <v>58</v>
      </c>
      <c r="AC84" s="706" t="s">
        <v>58</v>
      </c>
      <c r="AD84" s="706" t="s">
        <v>8</v>
      </c>
      <c r="AE84" s="706" t="s">
        <v>8</v>
      </c>
      <c r="AF84" s="706" t="str">
        <f t="shared" si="38"/>
        <v>×</v>
      </c>
      <c r="AG84" s="706" t="s">
        <v>58</v>
      </c>
      <c r="AH84" s="706" t="s">
        <v>8</v>
      </c>
      <c r="AI84" s="706" t="s">
        <v>8</v>
      </c>
      <c r="AJ84" s="837" t="s">
        <v>8</v>
      </c>
      <c r="AK84" s="837" t="s">
        <v>8</v>
      </c>
      <c r="AL84" s="706" t="s">
        <v>8</v>
      </c>
      <c r="AM84" s="837" t="str">
        <f t="shared" si="39"/>
        <v>×</v>
      </c>
      <c r="AN84" s="837"/>
      <c r="AO84" s="837" t="str">
        <f t="shared" si="50"/>
        <v>×</v>
      </c>
      <c r="AP84" s="706" t="s">
        <v>8</v>
      </c>
      <c r="AQ84" s="706" t="s">
        <v>8</v>
      </c>
      <c r="AR84" s="706" t="s">
        <v>8</v>
      </c>
      <c r="AS84" s="706" t="s">
        <v>8</v>
      </c>
      <c r="AT84" s="706" t="s">
        <v>8</v>
      </c>
      <c r="AU84" s="706" t="s">
        <v>8</v>
      </c>
      <c r="AV84" s="706" t="s">
        <v>58</v>
      </c>
      <c r="AW84" s="837" t="str">
        <f t="shared" si="41"/>
        <v>×</v>
      </c>
      <c r="AX84" s="927" t="s">
        <v>8</v>
      </c>
      <c r="AY84" s="706" t="s">
        <v>8</v>
      </c>
      <c r="AZ84" s="928" t="s">
        <v>8</v>
      </c>
      <c r="BA84" s="839" t="str">
        <f t="shared" si="42"/>
        <v>×</v>
      </c>
      <c r="BB84" s="798" t="str">
        <f t="shared" si="43"/>
        <v>×</v>
      </c>
      <c r="BC84" s="797" t="str">
        <f t="shared" si="44"/>
        <v>×</v>
      </c>
      <c r="BD84" s="796" t="str">
        <f t="shared" si="45"/>
        <v>×</v>
      </c>
      <c r="BE84" s="798" t="str">
        <f t="shared" si="46"/>
        <v>×</v>
      </c>
      <c r="BF84" s="797" t="str">
        <f t="shared" si="47"/>
        <v>×</v>
      </c>
      <c r="BG84" s="799" t="s">
        <v>8</v>
      </c>
      <c r="BH84" s="800" t="str">
        <f t="shared" si="49"/>
        <v>×</v>
      </c>
      <c r="BI84" s="798" t="str">
        <f t="shared" si="51"/>
        <v>×</v>
      </c>
      <c r="BJ84" s="800" t="str">
        <f t="shared" si="52"/>
        <v>×</v>
      </c>
      <c r="BK84" s="796" t="str">
        <f t="shared" si="53"/>
        <v>×</v>
      </c>
      <c r="BL84" s="797" t="str">
        <f t="shared" si="54"/>
        <v>×</v>
      </c>
      <c r="BM84" s="799" t="str">
        <f t="shared" si="48"/>
        <v>×</v>
      </c>
      <c r="BN84" s="801" t="str">
        <f t="shared" si="55"/>
        <v>×</v>
      </c>
      <c r="BO84" s="1198"/>
    </row>
    <row r="85" spans="1:67" s="840" customFormat="1" ht="13.5" customHeight="1" thickBot="1">
      <c r="A85" s="1196"/>
      <c r="B85" s="863" t="s">
        <v>755</v>
      </c>
      <c r="C85" s="841">
        <v>0</v>
      </c>
      <c r="D85" s="834">
        <v>0</v>
      </c>
      <c r="E85" s="835">
        <v>0</v>
      </c>
      <c r="F85" s="708" t="s">
        <v>58</v>
      </c>
      <c r="G85" s="836" t="s">
        <v>8</v>
      </c>
      <c r="H85" s="708" t="s">
        <v>58</v>
      </c>
      <c r="I85" s="836" t="s">
        <v>8</v>
      </c>
      <c r="J85" s="836" t="s">
        <v>8</v>
      </c>
      <c r="K85" s="708" t="str">
        <f t="shared" si="56"/>
        <v>×</v>
      </c>
      <c r="L85" s="706" t="s">
        <v>58</v>
      </c>
      <c r="M85" s="708" t="s">
        <v>58</v>
      </c>
      <c r="N85" s="706" t="s">
        <v>58</v>
      </c>
      <c r="O85" s="706" t="s">
        <v>58</v>
      </c>
      <c r="P85" s="706" t="s">
        <v>58</v>
      </c>
      <c r="Q85" s="706" t="s">
        <v>58</v>
      </c>
      <c r="R85" s="706" t="s">
        <v>58</v>
      </c>
      <c r="S85" s="706" t="s">
        <v>58</v>
      </c>
      <c r="T85" s="706" t="s">
        <v>58</v>
      </c>
      <c r="U85" s="706" t="s">
        <v>58</v>
      </c>
      <c r="V85" s="706" t="s">
        <v>8</v>
      </c>
      <c r="W85" s="706" t="s">
        <v>8</v>
      </c>
      <c r="X85" s="706" t="s">
        <v>8</v>
      </c>
      <c r="Y85" s="706" t="s">
        <v>8</v>
      </c>
      <c r="Z85" s="706" t="s">
        <v>8</v>
      </c>
      <c r="AA85" s="706" t="s">
        <v>8</v>
      </c>
      <c r="AB85" s="706" t="s">
        <v>58</v>
      </c>
      <c r="AC85" s="706" t="s">
        <v>58</v>
      </c>
      <c r="AD85" s="706" t="s">
        <v>8</v>
      </c>
      <c r="AE85" s="706" t="s">
        <v>8</v>
      </c>
      <c r="AF85" s="706" t="str">
        <f t="shared" si="38"/>
        <v>×</v>
      </c>
      <c r="AG85" s="706" t="s">
        <v>58</v>
      </c>
      <c r="AH85" s="706" t="s">
        <v>8</v>
      </c>
      <c r="AI85" s="706" t="s">
        <v>8</v>
      </c>
      <c r="AJ85" s="837" t="s">
        <v>8</v>
      </c>
      <c r="AK85" s="837" t="s">
        <v>8</v>
      </c>
      <c r="AL85" s="706" t="s">
        <v>8</v>
      </c>
      <c r="AM85" s="837" t="str">
        <f t="shared" si="39"/>
        <v>×</v>
      </c>
      <c r="AN85" s="837"/>
      <c r="AO85" s="837" t="str">
        <f t="shared" si="50"/>
        <v>×</v>
      </c>
      <c r="AP85" s="706" t="s">
        <v>8</v>
      </c>
      <c r="AQ85" s="706" t="s">
        <v>8</v>
      </c>
      <c r="AR85" s="706" t="s">
        <v>8</v>
      </c>
      <c r="AS85" s="706" t="s">
        <v>8</v>
      </c>
      <c r="AT85" s="706" t="s">
        <v>8</v>
      </c>
      <c r="AU85" s="706" t="s">
        <v>8</v>
      </c>
      <c r="AV85" s="706" t="s">
        <v>58</v>
      </c>
      <c r="AW85" s="837" t="str">
        <f t="shared" si="41"/>
        <v>×</v>
      </c>
      <c r="AX85" s="927" t="s">
        <v>8</v>
      </c>
      <c r="AY85" s="706" t="s">
        <v>8</v>
      </c>
      <c r="AZ85" s="928" t="s">
        <v>8</v>
      </c>
      <c r="BA85" s="839" t="str">
        <f t="shared" si="42"/>
        <v>×</v>
      </c>
      <c r="BB85" s="798" t="str">
        <f t="shared" si="43"/>
        <v>×</v>
      </c>
      <c r="BC85" s="797" t="str">
        <f t="shared" si="44"/>
        <v>×</v>
      </c>
      <c r="BD85" s="796" t="str">
        <f t="shared" si="45"/>
        <v>×</v>
      </c>
      <c r="BE85" s="798" t="str">
        <f t="shared" si="46"/>
        <v>×</v>
      </c>
      <c r="BF85" s="797" t="str">
        <f t="shared" si="47"/>
        <v>×</v>
      </c>
      <c r="BG85" s="799" t="s">
        <v>8</v>
      </c>
      <c r="BH85" s="800" t="str">
        <f t="shared" si="49"/>
        <v>×</v>
      </c>
      <c r="BI85" s="798" t="str">
        <f t="shared" si="51"/>
        <v>×</v>
      </c>
      <c r="BJ85" s="800" t="str">
        <f t="shared" si="52"/>
        <v>×</v>
      </c>
      <c r="BK85" s="796" t="str">
        <f t="shared" si="53"/>
        <v>×</v>
      </c>
      <c r="BL85" s="797" t="str">
        <f t="shared" si="54"/>
        <v>×</v>
      </c>
      <c r="BM85" s="799" t="str">
        <f t="shared" si="48"/>
        <v>×</v>
      </c>
      <c r="BN85" s="801" t="str">
        <f t="shared" si="55"/>
        <v>×</v>
      </c>
      <c r="BO85" s="1198"/>
    </row>
    <row r="86" spans="1:67" s="840" customFormat="1" ht="13.5" customHeight="1" thickBot="1">
      <c r="A86" s="1196"/>
      <c r="B86" s="863" t="s">
        <v>756</v>
      </c>
      <c r="C86" s="841">
        <v>0</v>
      </c>
      <c r="D86" s="842">
        <v>0</v>
      </c>
      <c r="E86" s="843">
        <v>0</v>
      </c>
      <c r="F86" s="708" t="s">
        <v>58</v>
      </c>
      <c r="G86" s="836" t="s">
        <v>8</v>
      </c>
      <c r="H86" s="708" t="s">
        <v>58</v>
      </c>
      <c r="I86" s="836" t="s">
        <v>8</v>
      </c>
      <c r="J86" s="836" t="s">
        <v>8</v>
      </c>
      <c r="K86" s="708" t="str">
        <f t="shared" si="56"/>
        <v>×</v>
      </c>
      <c r="L86" s="708" t="s">
        <v>58</v>
      </c>
      <c r="M86" s="708" t="s">
        <v>58</v>
      </c>
      <c r="N86" s="708" t="s">
        <v>58</v>
      </c>
      <c r="O86" s="708" t="s">
        <v>58</v>
      </c>
      <c r="P86" s="708" t="s">
        <v>58</v>
      </c>
      <c r="Q86" s="708" t="s">
        <v>58</v>
      </c>
      <c r="R86" s="708" t="s">
        <v>58</v>
      </c>
      <c r="S86" s="708" t="s">
        <v>58</v>
      </c>
      <c r="T86" s="708" t="s">
        <v>58</v>
      </c>
      <c r="U86" s="708" t="s">
        <v>58</v>
      </c>
      <c r="V86" s="706" t="s">
        <v>8</v>
      </c>
      <c r="W86" s="708" t="s">
        <v>58</v>
      </c>
      <c r="X86" s="708" t="s">
        <v>58</v>
      </c>
      <c r="Y86" s="708" t="s">
        <v>58</v>
      </c>
      <c r="Z86" s="708" t="s">
        <v>58</v>
      </c>
      <c r="AA86" s="706" t="s">
        <v>8</v>
      </c>
      <c r="AB86" s="708" t="s">
        <v>58</v>
      </c>
      <c r="AC86" s="708" t="s">
        <v>58</v>
      </c>
      <c r="AD86" s="706" t="s">
        <v>8</v>
      </c>
      <c r="AE86" s="708" t="s">
        <v>58</v>
      </c>
      <c r="AF86" s="708" t="str">
        <f t="shared" si="38"/>
        <v>×</v>
      </c>
      <c r="AG86" s="708" t="s">
        <v>58</v>
      </c>
      <c r="AH86" s="706" t="s">
        <v>8</v>
      </c>
      <c r="AI86" s="706" t="s">
        <v>8</v>
      </c>
      <c r="AJ86" s="708" t="s">
        <v>58</v>
      </c>
      <c r="AK86" s="837" t="s">
        <v>8</v>
      </c>
      <c r="AL86" s="706" t="s">
        <v>58</v>
      </c>
      <c r="AM86" s="708" t="str">
        <f t="shared" si="39"/>
        <v>×</v>
      </c>
      <c r="AN86" s="708"/>
      <c r="AO86" s="837" t="str">
        <f t="shared" si="50"/>
        <v>×</v>
      </c>
      <c r="AP86" s="706" t="s">
        <v>8</v>
      </c>
      <c r="AQ86" s="708" t="s">
        <v>58</v>
      </c>
      <c r="AR86" s="708" t="s">
        <v>58</v>
      </c>
      <c r="AS86" s="706" t="s">
        <v>8</v>
      </c>
      <c r="AT86" s="706" t="s">
        <v>58</v>
      </c>
      <c r="AU86" s="706" t="s">
        <v>8</v>
      </c>
      <c r="AV86" s="706" t="s">
        <v>58</v>
      </c>
      <c r="AW86" s="837" t="str">
        <f t="shared" si="41"/>
        <v>×</v>
      </c>
      <c r="AX86" s="927" t="s">
        <v>8</v>
      </c>
      <c r="AY86" s="706" t="s">
        <v>8</v>
      </c>
      <c r="AZ86" s="928" t="s">
        <v>8</v>
      </c>
      <c r="BA86" s="839" t="str">
        <f t="shared" si="42"/>
        <v>×</v>
      </c>
      <c r="BB86" s="798" t="str">
        <f t="shared" si="43"/>
        <v>×</v>
      </c>
      <c r="BC86" s="797" t="str">
        <f t="shared" si="44"/>
        <v>×</v>
      </c>
      <c r="BD86" s="796" t="str">
        <f t="shared" si="45"/>
        <v>×</v>
      </c>
      <c r="BE86" s="798" t="str">
        <f t="shared" si="46"/>
        <v>×</v>
      </c>
      <c r="BF86" s="797" t="str">
        <f t="shared" si="47"/>
        <v>×</v>
      </c>
      <c r="BG86" s="799" t="s">
        <v>8</v>
      </c>
      <c r="BH86" s="800" t="str">
        <f t="shared" si="49"/>
        <v>×</v>
      </c>
      <c r="BI86" s="798" t="str">
        <f t="shared" si="51"/>
        <v>×</v>
      </c>
      <c r="BJ86" s="800" t="str">
        <f t="shared" si="52"/>
        <v>×</v>
      </c>
      <c r="BK86" s="796" t="str">
        <f t="shared" si="53"/>
        <v>×</v>
      </c>
      <c r="BL86" s="797" t="str">
        <f t="shared" si="54"/>
        <v>×</v>
      </c>
      <c r="BM86" s="799" t="str">
        <f t="shared" si="48"/>
        <v>×</v>
      </c>
      <c r="BN86" s="801" t="str">
        <f t="shared" si="55"/>
        <v>×</v>
      </c>
      <c r="BO86" s="1198"/>
    </row>
    <row r="87" spans="1:67" s="840" customFormat="1" ht="13.5" customHeight="1" thickBot="1">
      <c r="A87" s="1196"/>
      <c r="B87" s="863" t="s">
        <v>757</v>
      </c>
      <c r="C87" s="841">
        <v>0</v>
      </c>
      <c r="D87" s="842">
        <v>0</v>
      </c>
      <c r="E87" s="843">
        <v>0</v>
      </c>
      <c r="F87" s="708" t="s">
        <v>58</v>
      </c>
      <c r="G87" s="836" t="s">
        <v>8</v>
      </c>
      <c r="H87" s="708" t="s">
        <v>58</v>
      </c>
      <c r="I87" s="836" t="s">
        <v>8</v>
      </c>
      <c r="J87" s="836" t="s">
        <v>8</v>
      </c>
      <c r="K87" s="708" t="str">
        <f t="shared" si="56"/>
        <v>×</v>
      </c>
      <c r="L87" s="708" t="s">
        <v>58</v>
      </c>
      <c r="M87" s="708" t="s">
        <v>58</v>
      </c>
      <c r="N87" s="708" t="s">
        <v>58</v>
      </c>
      <c r="O87" s="708" t="s">
        <v>58</v>
      </c>
      <c r="P87" s="708" t="s">
        <v>58</v>
      </c>
      <c r="Q87" s="708" t="s">
        <v>58</v>
      </c>
      <c r="R87" s="708" t="s">
        <v>58</v>
      </c>
      <c r="S87" s="708" t="s">
        <v>58</v>
      </c>
      <c r="T87" s="708" t="s">
        <v>58</v>
      </c>
      <c r="U87" s="708" t="s">
        <v>58</v>
      </c>
      <c r="V87" s="706" t="s">
        <v>8</v>
      </c>
      <c r="W87" s="708" t="s">
        <v>58</v>
      </c>
      <c r="X87" s="708" t="s">
        <v>58</v>
      </c>
      <c r="Y87" s="708" t="s">
        <v>58</v>
      </c>
      <c r="Z87" s="708" t="s">
        <v>58</v>
      </c>
      <c r="AA87" s="706" t="s">
        <v>8</v>
      </c>
      <c r="AB87" s="708" t="s">
        <v>58</v>
      </c>
      <c r="AC87" s="708" t="s">
        <v>58</v>
      </c>
      <c r="AD87" s="706" t="s">
        <v>8</v>
      </c>
      <c r="AE87" s="708" t="s">
        <v>58</v>
      </c>
      <c r="AF87" s="708" t="str">
        <f t="shared" si="38"/>
        <v>×</v>
      </c>
      <c r="AG87" s="708" t="s">
        <v>58</v>
      </c>
      <c r="AH87" s="706" t="s">
        <v>8</v>
      </c>
      <c r="AI87" s="706" t="s">
        <v>8</v>
      </c>
      <c r="AJ87" s="708" t="s">
        <v>58</v>
      </c>
      <c r="AK87" s="837" t="s">
        <v>8</v>
      </c>
      <c r="AL87" s="706" t="s">
        <v>58</v>
      </c>
      <c r="AM87" s="708" t="str">
        <f t="shared" si="39"/>
        <v>×</v>
      </c>
      <c r="AN87" s="708"/>
      <c r="AO87" s="837" t="str">
        <f t="shared" si="50"/>
        <v>×</v>
      </c>
      <c r="AP87" s="706" t="s">
        <v>8</v>
      </c>
      <c r="AQ87" s="708" t="s">
        <v>58</v>
      </c>
      <c r="AR87" s="708" t="s">
        <v>58</v>
      </c>
      <c r="AS87" s="706" t="s">
        <v>8</v>
      </c>
      <c r="AT87" s="706" t="s">
        <v>58</v>
      </c>
      <c r="AU87" s="706" t="s">
        <v>8</v>
      </c>
      <c r="AV87" s="706" t="s">
        <v>58</v>
      </c>
      <c r="AW87" s="837" t="str">
        <f t="shared" si="41"/>
        <v>×</v>
      </c>
      <c r="AX87" s="927" t="s">
        <v>8</v>
      </c>
      <c r="AY87" s="706" t="s">
        <v>8</v>
      </c>
      <c r="AZ87" s="928" t="s">
        <v>8</v>
      </c>
      <c r="BA87" s="839" t="str">
        <f t="shared" si="42"/>
        <v>×</v>
      </c>
      <c r="BB87" s="798" t="str">
        <f t="shared" si="43"/>
        <v>×</v>
      </c>
      <c r="BC87" s="797" t="str">
        <f t="shared" si="44"/>
        <v>×</v>
      </c>
      <c r="BD87" s="796" t="str">
        <f t="shared" si="45"/>
        <v>×</v>
      </c>
      <c r="BE87" s="798" t="str">
        <f t="shared" si="46"/>
        <v>×</v>
      </c>
      <c r="BF87" s="797" t="str">
        <f t="shared" si="47"/>
        <v>×</v>
      </c>
      <c r="BG87" s="799" t="s">
        <v>8</v>
      </c>
      <c r="BH87" s="800" t="str">
        <f t="shared" si="49"/>
        <v>×</v>
      </c>
      <c r="BI87" s="798" t="str">
        <f t="shared" si="51"/>
        <v>×</v>
      </c>
      <c r="BJ87" s="800" t="str">
        <f t="shared" si="52"/>
        <v>×</v>
      </c>
      <c r="BK87" s="796" t="str">
        <f t="shared" si="53"/>
        <v>×</v>
      </c>
      <c r="BL87" s="797" t="str">
        <f t="shared" si="54"/>
        <v>×</v>
      </c>
      <c r="BM87" s="799" t="str">
        <f t="shared" si="48"/>
        <v>×</v>
      </c>
      <c r="BN87" s="801" t="str">
        <f t="shared" si="55"/>
        <v>×</v>
      </c>
      <c r="BO87" s="1198"/>
    </row>
    <row r="88" spans="1:67" s="840" customFormat="1" ht="13.5" customHeight="1" thickBot="1">
      <c r="A88" s="1196"/>
      <c r="B88" s="863" t="s">
        <v>758</v>
      </c>
      <c r="C88" s="841">
        <v>0</v>
      </c>
      <c r="D88" s="842">
        <v>0</v>
      </c>
      <c r="E88" s="843">
        <v>0</v>
      </c>
      <c r="F88" s="708" t="s">
        <v>58</v>
      </c>
      <c r="G88" s="836" t="s">
        <v>8</v>
      </c>
      <c r="H88" s="708" t="s">
        <v>58</v>
      </c>
      <c r="I88" s="836" t="s">
        <v>8</v>
      </c>
      <c r="J88" s="836" t="s">
        <v>8</v>
      </c>
      <c r="K88" s="708" t="str">
        <f t="shared" si="56"/>
        <v>×</v>
      </c>
      <c r="L88" s="708" t="s">
        <v>58</v>
      </c>
      <c r="M88" s="708" t="s">
        <v>58</v>
      </c>
      <c r="N88" s="708" t="s">
        <v>58</v>
      </c>
      <c r="O88" s="708" t="s">
        <v>58</v>
      </c>
      <c r="P88" s="708" t="s">
        <v>58</v>
      </c>
      <c r="Q88" s="708" t="s">
        <v>58</v>
      </c>
      <c r="R88" s="708" t="s">
        <v>58</v>
      </c>
      <c r="S88" s="708" t="s">
        <v>58</v>
      </c>
      <c r="T88" s="708" t="s">
        <v>58</v>
      </c>
      <c r="U88" s="708" t="s">
        <v>58</v>
      </c>
      <c r="V88" s="706" t="s">
        <v>8</v>
      </c>
      <c r="W88" s="708" t="s">
        <v>58</v>
      </c>
      <c r="X88" s="708" t="s">
        <v>58</v>
      </c>
      <c r="Y88" s="708" t="s">
        <v>58</v>
      </c>
      <c r="Z88" s="708" t="s">
        <v>58</v>
      </c>
      <c r="AA88" s="706" t="s">
        <v>8</v>
      </c>
      <c r="AB88" s="708" t="s">
        <v>58</v>
      </c>
      <c r="AC88" s="708" t="s">
        <v>58</v>
      </c>
      <c r="AD88" s="706" t="s">
        <v>8</v>
      </c>
      <c r="AE88" s="708" t="s">
        <v>58</v>
      </c>
      <c r="AF88" s="708" t="str">
        <f t="shared" si="38"/>
        <v>×</v>
      </c>
      <c r="AG88" s="708" t="s">
        <v>58</v>
      </c>
      <c r="AH88" s="706" t="s">
        <v>8</v>
      </c>
      <c r="AI88" s="706" t="s">
        <v>8</v>
      </c>
      <c r="AJ88" s="708" t="s">
        <v>58</v>
      </c>
      <c r="AK88" s="837" t="s">
        <v>8</v>
      </c>
      <c r="AL88" s="706" t="s">
        <v>58</v>
      </c>
      <c r="AM88" s="708" t="str">
        <f t="shared" si="39"/>
        <v>×</v>
      </c>
      <c r="AN88" s="708"/>
      <c r="AO88" s="837" t="str">
        <f t="shared" si="50"/>
        <v>×</v>
      </c>
      <c r="AP88" s="706" t="s">
        <v>8</v>
      </c>
      <c r="AQ88" s="708" t="s">
        <v>58</v>
      </c>
      <c r="AR88" s="708" t="s">
        <v>58</v>
      </c>
      <c r="AS88" s="706" t="s">
        <v>8</v>
      </c>
      <c r="AT88" s="706" t="s">
        <v>58</v>
      </c>
      <c r="AU88" s="706" t="s">
        <v>8</v>
      </c>
      <c r="AV88" s="706" t="s">
        <v>58</v>
      </c>
      <c r="AW88" s="837" t="str">
        <f t="shared" si="41"/>
        <v>×</v>
      </c>
      <c r="AX88" s="927" t="s">
        <v>8</v>
      </c>
      <c r="AY88" s="706" t="s">
        <v>8</v>
      </c>
      <c r="AZ88" s="928" t="s">
        <v>8</v>
      </c>
      <c r="BA88" s="839" t="str">
        <f t="shared" si="42"/>
        <v>×</v>
      </c>
      <c r="BB88" s="798" t="str">
        <f t="shared" si="43"/>
        <v>×</v>
      </c>
      <c r="BC88" s="797" t="str">
        <f t="shared" si="44"/>
        <v>×</v>
      </c>
      <c r="BD88" s="796" t="str">
        <f t="shared" si="45"/>
        <v>×</v>
      </c>
      <c r="BE88" s="798" t="str">
        <f t="shared" si="46"/>
        <v>×</v>
      </c>
      <c r="BF88" s="797" t="str">
        <f t="shared" si="47"/>
        <v>×</v>
      </c>
      <c r="BG88" s="799" t="s">
        <v>8</v>
      </c>
      <c r="BH88" s="800" t="str">
        <f t="shared" si="49"/>
        <v>×</v>
      </c>
      <c r="BI88" s="798" t="str">
        <f t="shared" si="51"/>
        <v>×</v>
      </c>
      <c r="BJ88" s="800" t="str">
        <f t="shared" si="52"/>
        <v>×</v>
      </c>
      <c r="BK88" s="796" t="str">
        <f t="shared" si="53"/>
        <v>×</v>
      </c>
      <c r="BL88" s="797" t="str">
        <f t="shared" si="54"/>
        <v>×</v>
      </c>
      <c r="BM88" s="799" t="str">
        <f t="shared" si="48"/>
        <v>×</v>
      </c>
      <c r="BN88" s="801" t="str">
        <f t="shared" si="55"/>
        <v>×</v>
      </c>
      <c r="BO88" s="1198"/>
    </row>
    <row r="89" spans="1:67" s="840" customFormat="1" ht="13.5" customHeight="1" thickBot="1">
      <c r="A89" s="1196"/>
      <c r="B89" s="863" t="s">
        <v>759</v>
      </c>
      <c r="C89" s="841">
        <v>0</v>
      </c>
      <c r="D89" s="842">
        <v>0</v>
      </c>
      <c r="E89" s="843">
        <v>0</v>
      </c>
      <c r="F89" s="708" t="s">
        <v>58</v>
      </c>
      <c r="G89" s="836" t="s">
        <v>8</v>
      </c>
      <c r="H89" s="708" t="s">
        <v>58</v>
      </c>
      <c r="I89" s="836" t="s">
        <v>8</v>
      </c>
      <c r="J89" s="836" t="s">
        <v>8</v>
      </c>
      <c r="K89" s="708" t="str">
        <f t="shared" ref="K89:K109" si="57">F89</f>
        <v>×</v>
      </c>
      <c r="L89" s="708" t="s">
        <v>58</v>
      </c>
      <c r="M89" s="708" t="s">
        <v>58</v>
      </c>
      <c r="N89" s="708" t="s">
        <v>58</v>
      </c>
      <c r="O89" s="708" t="s">
        <v>58</v>
      </c>
      <c r="P89" s="708" t="s">
        <v>58</v>
      </c>
      <c r="Q89" s="708" t="s">
        <v>58</v>
      </c>
      <c r="R89" s="708" t="s">
        <v>58</v>
      </c>
      <c r="S89" s="708" t="s">
        <v>58</v>
      </c>
      <c r="T89" s="708" t="s">
        <v>58</v>
      </c>
      <c r="U89" s="708" t="s">
        <v>58</v>
      </c>
      <c r="V89" s="706" t="s">
        <v>8</v>
      </c>
      <c r="W89" s="708" t="s">
        <v>58</v>
      </c>
      <c r="X89" s="708" t="s">
        <v>58</v>
      </c>
      <c r="Y89" s="708" t="s">
        <v>58</v>
      </c>
      <c r="Z89" s="708" t="s">
        <v>58</v>
      </c>
      <c r="AA89" s="706" t="s">
        <v>8</v>
      </c>
      <c r="AB89" s="708" t="s">
        <v>58</v>
      </c>
      <c r="AC89" s="708" t="s">
        <v>58</v>
      </c>
      <c r="AD89" s="706" t="s">
        <v>8</v>
      </c>
      <c r="AE89" s="708" t="s">
        <v>58</v>
      </c>
      <c r="AF89" s="708" t="str">
        <f t="shared" si="38"/>
        <v>×</v>
      </c>
      <c r="AG89" s="708" t="s">
        <v>58</v>
      </c>
      <c r="AH89" s="706" t="s">
        <v>8</v>
      </c>
      <c r="AI89" s="706" t="s">
        <v>8</v>
      </c>
      <c r="AJ89" s="708" t="s">
        <v>58</v>
      </c>
      <c r="AK89" s="837" t="s">
        <v>8</v>
      </c>
      <c r="AL89" s="706" t="s">
        <v>58</v>
      </c>
      <c r="AM89" s="708" t="str">
        <f t="shared" si="39"/>
        <v>×</v>
      </c>
      <c r="AN89" s="708"/>
      <c r="AO89" s="837" t="str">
        <f t="shared" si="50"/>
        <v>×</v>
      </c>
      <c r="AP89" s="706" t="s">
        <v>8</v>
      </c>
      <c r="AQ89" s="708" t="s">
        <v>58</v>
      </c>
      <c r="AR89" s="708" t="s">
        <v>58</v>
      </c>
      <c r="AS89" s="706" t="s">
        <v>8</v>
      </c>
      <c r="AT89" s="706" t="s">
        <v>58</v>
      </c>
      <c r="AU89" s="706" t="s">
        <v>8</v>
      </c>
      <c r="AV89" s="706" t="s">
        <v>58</v>
      </c>
      <c r="AW89" s="837" t="str">
        <f t="shared" si="41"/>
        <v>×</v>
      </c>
      <c r="AX89" s="927" t="s">
        <v>8</v>
      </c>
      <c r="AY89" s="706" t="s">
        <v>8</v>
      </c>
      <c r="AZ89" s="928" t="s">
        <v>8</v>
      </c>
      <c r="BA89" s="839" t="str">
        <f t="shared" si="42"/>
        <v>×</v>
      </c>
      <c r="BB89" s="798" t="str">
        <f t="shared" si="43"/>
        <v>×</v>
      </c>
      <c r="BC89" s="797" t="str">
        <f t="shared" si="44"/>
        <v>×</v>
      </c>
      <c r="BD89" s="796" t="str">
        <f t="shared" si="45"/>
        <v>×</v>
      </c>
      <c r="BE89" s="798" t="str">
        <f t="shared" si="46"/>
        <v>×</v>
      </c>
      <c r="BF89" s="797" t="str">
        <f t="shared" si="47"/>
        <v>×</v>
      </c>
      <c r="BG89" s="799" t="s">
        <v>8</v>
      </c>
      <c r="BH89" s="800" t="str">
        <f t="shared" si="49"/>
        <v>×</v>
      </c>
      <c r="BI89" s="798" t="str">
        <f t="shared" si="51"/>
        <v>×</v>
      </c>
      <c r="BJ89" s="800" t="str">
        <f t="shared" si="52"/>
        <v>×</v>
      </c>
      <c r="BK89" s="796" t="str">
        <f t="shared" si="53"/>
        <v>×</v>
      </c>
      <c r="BL89" s="797" t="str">
        <f t="shared" si="54"/>
        <v>×</v>
      </c>
      <c r="BM89" s="799" t="str">
        <f t="shared" si="48"/>
        <v>×</v>
      </c>
      <c r="BN89" s="801" t="str">
        <f t="shared" si="55"/>
        <v>×</v>
      </c>
      <c r="BO89" s="1198"/>
    </row>
    <row r="90" spans="1:67" ht="13.5" customHeight="1" thickBot="1">
      <c r="A90" s="1196"/>
      <c r="B90" s="551" t="s">
        <v>760</v>
      </c>
      <c r="C90" s="27">
        <v>0</v>
      </c>
      <c r="D90" s="418">
        <f>$19:$19</f>
        <v>106</v>
      </c>
      <c r="E90" s="419">
        <v>135</v>
      </c>
      <c r="F90" s="51" t="s">
        <v>637</v>
      </c>
      <c r="G90" s="568" t="s">
        <v>8</v>
      </c>
      <c r="H90" s="51" t="s">
        <v>58</v>
      </c>
      <c r="I90" s="568" t="s">
        <v>8</v>
      </c>
      <c r="J90" s="568" t="s">
        <v>8</v>
      </c>
      <c r="K90" s="51" t="str">
        <f t="shared" si="57"/>
        <v>○</v>
      </c>
      <c r="L90" s="34" t="s">
        <v>638</v>
      </c>
      <c r="M90" s="51" t="s">
        <v>637</v>
      </c>
      <c r="N90" s="34" t="s">
        <v>637</v>
      </c>
      <c r="O90" s="51" t="s">
        <v>58</v>
      </c>
      <c r="P90" s="51" t="s">
        <v>58</v>
      </c>
      <c r="Q90" s="34" t="s">
        <v>637</v>
      </c>
      <c r="R90" s="34" t="s">
        <v>8</v>
      </c>
      <c r="S90" s="34" t="s">
        <v>637</v>
      </c>
      <c r="T90" s="34" t="s">
        <v>637</v>
      </c>
      <c r="U90" s="34" t="s">
        <v>637</v>
      </c>
      <c r="V90" s="706" t="s">
        <v>8</v>
      </c>
      <c r="W90" s="34" t="s">
        <v>637</v>
      </c>
      <c r="X90" s="395" t="s">
        <v>637</v>
      </c>
      <c r="Y90" s="395" t="s">
        <v>637</v>
      </c>
      <c r="Z90" s="34" t="s">
        <v>8</v>
      </c>
      <c r="AA90" s="395" t="s">
        <v>8</v>
      </c>
      <c r="AB90" s="34" t="s">
        <v>637</v>
      </c>
      <c r="AC90" s="34" t="s">
        <v>637</v>
      </c>
      <c r="AD90" s="706" t="s">
        <v>8</v>
      </c>
      <c r="AE90" s="34" t="s">
        <v>637</v>
      </c>
      <c r="AF90" s="395" t="str">
        <f t="shared" si="38"/>
        <v>○</v>
      </c>
      <c r="AG90" s="34" t="s">
        <v>637</v>
      </c>
      <c r="AH90" s="706" t="s">
        <v>8</v>
      </c>
      <c r="AI90" s="706" t="s">
        <v>8</v>
      </c>
      <c r="AJ90" s="36" t="s">
        <v>637</v>
      </c>
      <c r="AK90" s="36" t="s">
        <v>8</v>
      </c>
      <c r="AL90" s="34" t="s">
        <v>8</v>
      </c>
      <c r="AM90" s="428" t="str">
        <f t="shared" si="39"/>
        <v>○</v>
      </c>
      <c r="AN90" s="428"/>
      <c r="AO90" s="428" t="str">
        <f t="shared" si="50"/>
        <v>×</v>
      </c>
      <c r="AP90" s="706" t="s">
        <v>8</v>
      </c>
      <c r="AQ90" s="34" t="s">
        <v>637</v>
      </c>
      <c r="AR90" s="395" t="s">
        <v>637</v>
      </c>
      <c r="AS90" s="706" t="s">
        <v>8</v>
      </c>
      <c r="AT90" s="34" t="s">
        <v>8</v>
      </c>
      <c r="AU90" s="395" t="s">
        <v>58</v>
      </c>
      <c r="AV90" s="395" t="s">
        <v>58</v>
      </c>
      <c r="AW90" s="428" t="str">
        <f t="shared" si="41"/>
        <v>×</v>
      </c>
      <c r="AX90" s="927" t="s">
        <v>8</v>
      </c>
      <c r="AY90" s="706" t="s">
        <v>8</v>
      </c>
      <c r="AZ90" s="928" t="s">
        <v>8</v>
      </c>
      <c r="BA90" s="813" t="str">
        <f t="shared" si="42"/>
        <v>×</v>
      </c>
      <c r="BB90" s="767" t="str">
        <f t="shared" si="43"/>
        <v>×</v>
      </c>
      <c r="BC90" s="768" t="str">
        <f t="shared" si="44"/>
        <v>×</v>
      </c>
      <c r="BD90" s="765" t="str">
        <f t="shared" si="45"/>
        <v>×</v>
      </c>
      <c r="BE90" s="767" t="str">
        <f t="shared" si="46"/>
        <v>×</v>
      </c>
      <c r="BF90" s="768" t="str">
        <f t="shared" si="47"/>
        <v>×</v>
      </c>
      <c r="BG90" s="766" t="s">
        <v>8</v>
      </c>
      <c r="BH90" s="804" t="str">
        <f t="shared" si="49"/>
        <v>×</v>
      </c>
      <c r="BI90" s="767" t="str">
        <f t="shared" si="51"/>
        <v>×</v>
      </c>
      <c r="BJ90" s="804" t="str">
        <f t="shared" si="52"/>
        <v>×</v>
      </c>
      <c r="BK90" s="765" t="str">
        <f t="shared" si="53"/>
        <v>×</v>
      </c>
      <c r="BL90" s="768" t="str">
        <f t="shared" si="54"/>
        <v>×</v>
      </c>
      <c r="BM90" s="766" t="str">
        <f t="shared" si="48"/>
        <v>×</v>
      </c>
      <c r="BN90" s="762" t="str">
        <f t="shared" si="55"/>
        <v>×</v>
      </c>
      <c r="BO90" s="1198"/>
    </row>
    <row r="91" spans="1:67" ht="13.5" customHeight="1" thickBot="1">
      <c r="A91" s="1196"/>
      <c r="B91" s="551" t="s">
        <v>761</v>
      </c>
      <c r="C91" s="27">
        <v>0</v>
      </c>
      <c r="D91" s="418">
        <v>136</v>
      </c>
      <c r="E91" s="419">
        <v>157</v>
      </c>
      <c r="F91" s="51" t="s">
        <v>637</v>
      </c>
      <c r="G91" s="568" t="s">
        <v>8</v>
      </c>
      <c r="H91" s="51" t="s">
        <v>58</v>
      </c>
      <c r="I91" s="568" t="s">
        <v>8</v>
      </c>
      <c r="J91" s="568" t="s">
        <v>8</v>
      </c>
      <c r="K91" s="51" t="str">
        <f t="shared" si="57"/>
        <v>○</v>
      </c>
      <c r="L91" s="34" t="s">
        <v>638</v>
      </c>
      <c r="M91" s="51" t="s">
        <v>637</v>
      </c>
      <c r="N91" s="34" t="s">
        <v>637</v>
      </c>
      <c r="O91" s="51" t="s">
        <v>58</v>
      </c>
      <c r="P91" s="51" t="s">
        <v>58</v>
      </c>
      <c r="Q91" s="34" t="s">
        <v>637</v>
      </c>
      <c r="R91" s="34" t="s">
        <v>8</v>
      </c>
      <c r="S91" s="34" t="s">
        <v>637</v>
      </c>
      <c r="T91" s="34" t="s">
        <v>637</v>
      </c>
      <c r="U91" s="34" t="s">
        <v>637</v>
      </c>
      <c r="V91" s="706" t="s">
        <v>8</v>
      </c>
      <c r="W91" s="34" t="s">
        <v>637</v>
      </c>
      <c r="X91" s="395" t="s">
        <v>637</v>
      </c>
      <c r="Y91" s="395" t="s">
        <v>637</v>
      </c>
      <c r="Z91" s="34" t="s">
        <v>8</v>
      </c>
      <c r="AA91" s="395" t="s">
        <v>8</v>
      </c>
      <c r="AB91" s="34" t="s">
        <v>637</v>
      </c>
      <c r="AC91" s="34" t="s">
        <v>637</v>
      </c>
      <c r="AD91" s="706" t="s">
        <v>8</v>
      </c>
      <c r="AE91" s="34" t="s">
        <v>637</v>
      </c>
      <c r="AF91" s="395" t="str">
        <f t="shared" si="38"/>
        <v>○</v>
      </c>
      <c r="AG91" s="34" t="s">
        <v>637</v>
      </c>
      <c r="AH91" s="706" t="s">
        <v>8</v>
      </c>
      <c r="AI91" s="706" t="s">
        <v>8</v>
      </c>
      <c r="AJ91" s="36" t="s">
        <v>637</v>
      </c>
      <c r="AK91" s="36" t="s">
        <v>8</v>
      </c>
      <c r="AL91" s="34" t="s">
        <v>8</v>
      </c>
      <c r="AM91" s="428" t="str">
        <f t="shared" si="39"/>
        <v>○</v>
      </c>
      <c r="AN91" s="428"/>
      <c r="AO91" s="428" t="str">
        <f t="shared" si="50"/>
        <v>×</v>
      </c>
      <c r="AP91" s="706" t="s">
        <v>8</v>
      </c>
      <c r="AQ91" s="34" t="s">
        <v>637</v>
      </c>
      <c r="AR91" s="395" t="s">
        <v>637</v>
      </c>
      <c r="AS91" s="706" t="s">
        <v>8</v>
      </c>
      <c r="AT91" s="34" t="s">
        <v>8</v>
      </c>
      <c r="AU91" s="395" t="s">
        <v>58</v>
      </c>
      <c r="AV91" s="395" t="s">
        <v>58</v>
      </c>
      <c r="AW91" s="428" t="str">
        <f t="shared" si="41"/>
        <v>×</v>
      </c>
      <c r="AX91" s="927" t="s">
        <v>8</v>
      </c>
      <c r="AY91" s="706" t="s">
        <v>8</v>
      </c>
      <c r="AZ91" s="928" t="s">
        <v>8</v>
      </c>
      <c r="BA91" s="813" t="str">
        <f t="shared" si="42"/>
        <v>×</v>
      </c>
      <c r="BB91" s="767" t="str">
        <f t="shared" si="43"/>
        <v>×</v>
      </c>
      <c r="BC91" s="768" t="str">
        <f t="shared" si="44"/>
        <v>×</v>
      </c>
      <c r="BD91" s="765" t="str">
        <f t="shared" si="45"/>
        <v>×</v>
      </c>
      <c r="BE91" s="767" t="str">
        <f t="shared" si="46"/>
        <v>×</v>
      </c>
      <c r="BF91" s="768" t="str">
        <f t="shared" si="47"/>
        <v>×</v>
      </c>
      <c r="BG91" s="766" t="s">
        <v>8</v>
      </c>
      <c r="BH91" s="804" t="str">
        <f t="shared" si="49"/>
        <v>×</v>
      </c>
      <c r="BI91" s="767" t="str">
        <f t="shared" si="51"/>
        <v>×</v>
      </c>
      <c r="BJ91" s="804" t="str">
        <f t="shared" si="52"/>
        <v>×</v>
      </c>
      <c r="BK91" s="765" t="str">
        <f t="shared" si="53"/>
        <v>×</v>
      </c>
      <c r="BL91" s="768" t="str">
        <f t="shared" si="54"/>
        <v>×</v>
      </c>
      <c r="BM91" s="766" t="str">
        <f t="shared" si="48"/>
        <v>×</v>
      </c>
      <c r="BN91" s="762" t="str">
        <f t="shared" si="55"/>
        <v>×</v>
      </c>
      <c r="BO91" s="1198"/>
    </row>
    <row r="92" spans="1:67" ht="13.5" customHeight="1" thickBot="1">
      <c r="A92" s="1196"/>
      <c r="B92" s="551" t="s">
        <v>762</v>
      </c>
      <c r="C92" s="27">
        <v>0</v>
      </c>
      <c r="D92" s="418">
        <v>158</v>
      </c>
      <c r="E92" s="420">
        <f>$21:$21</f>
        <v>176</v>
      </c>
      <c r="F92" s="51" t="s">
        <v>637</v>
      </c>
      <c r="G92" s="568" t="s">
        <v>8</v>
      </c>
      <c r="H92" s="51" t="s">
        <v>58</v>
      </c>
      <c r="I92" s="568" t="s">
        <v>8</v>
      </c>
      <c r="J92" s="568" t="s">
        <v>8</v>
      </c>
      <c r="K92" s="51" t="str">
        <f t="shared" si="57"/>
        <v>○</v>
      </c>
      <c r="L92" s="34" t="s">
        <v>638</v>
      </c>
      <c r="M92" s="51" t="s">
        <v>637</v>
      </c>
      <c r="N92" s="34" t="s">
        <v>637</v>
      </c>
      <c r="O92" s="51" t="s">
        <v>58</v>
      </c>
      <c r="P92" s="51" t="s">
        <v>58</v>
      </c>
      <c r="Q92" s="34" t="s">
        <v>637</v>
      </c>
      <c r="R92" s="34" t="s">
        <v>8</v>
      </c>
      <c r="S92" s="34" t="s">
        <v>637</v>
      </c>
      <c r="T92" s="34" t="s">
        <v>637</v>
      </c>
      <c r="U92" s="34" t="s">
        <v>637</v>
      </c>
      <c r="V92" s="706" t="s">
        <v>8</v>
      </c>
      <c r="W92" s="34" t="s">
        <v>637</v>
      </c>
      <c r="X92" s="395" t="s">
        <v>637</v>
      </c>
      <c r="Y92" s="395" t="s">
        <v>637</v>
      </c>
      <c r="Z92" s="34" t="s">
        <v>8</v>
      </c>
      <c r="AA92" s="395" t="s">
        <v>8</v>
      </c>
      <c r="AB92" s="34" t="s">
        <v>637</v>
      </c>
      <c r="AC92" s="34" t="s">
        <v>637</v>
      </c>
      <c r="AD92" s="706" t="s">
        <v>8</v>
      </c>
      <c r="AE92" s="34" t="s">
        <v>637</v>
      </c>
      <c r="AF92" s="395" t="str">
        <f t="shared" si="38"/>
        <v>○</v>
      </c>
      <c r="AG92" s="34" t="s">
        <v>637</v>
      </c>
      <c r="AH92" s="706" t="s">
        <v>8</v>
      </c>
      <c r="AI92" s="706" t="s">
        <v>8</v>
      </c>
      <c r="AJ92" s="36" t="s">
        <v>637</v>
      </c>
      <c r="AK92" s="36" t="s">
        <v>8</v>
      </c>
      <c r="AL92" s="34" t="s">
        <v>8</v>
      </c>
      <c r="AM92" s="428" t="str">
        <f t="shared" si="39"/>
        <v>○</v>
      </c>
      <c r="AN92" s="428"/>
      <c r="AO92" s="428" t="str">
        <f t="shared" si="50"/>
        <v>×</v>
      </c>
      <c r="AP92" s="706" t="s">
        <v>8</v>
      </c>
      <c r="AQ92" s="34" t="s">
        <v>637</v>
      </c>
      <c r="AR92" s="395" t="s">
        <v>637</v>
      </c>
      <c r="AS92" s="706" t="s">
        <v>8</v>
      </c>
      <c r="AT92" s="34" t="s">
        <v>8</v>
      </c>
      <c r="AU92" s="395" t="s">
        <v>58</v>
      </c>
      <c r="AV92" s="395" t="s">
        <v>58</v>
      </c>
      <c r="AW92" s="428" t="str">
        <f t="shared" si="41"/>
        <v>×</v>
      </c>
      <c r="AX92" s="927" t="s">
        <v>8</v>
      </c>
      <c r="AY92" s="706" t="s">
        <v>8</v>
      </c>
      <c r="AZ92" s="928" t="s">
        <v>8</v>
      </c>
      <c r="BA92" s="813" t="str">
        <f t="shared" si="42"/>
        <v>×</v>
      </c>
      <c r="BB92" s="767" t="str">
        <f t="shared" si="43"/>
        <v>×</v>
      </c>
      <c r="BC92" s="768" t="str">
        <f t="shared" si="44"/>
        <v>×</v>
      </c>
      <c r="BD92" s="765" t="str">
        <f t="shared" si="45"/>
        <v>×</v>
      </c>
      <c r="BE92" s="767" t="str">
        <f t="shared" si="46"/>
        <v>×</v>
      </c>
      <c r="BF92" s="768" t="str">
        <f t="shared" si="47"/>
        <v>×</v>
      </c>
      <c r="BG92" s="766" t="s">
        <v>8</v>
      </c>
      <c r="BH92" s="804" t="str">
        <f t="shared" si="49"/>
        <v>×</v>
      </c>
      <c r="BI92" s="767" t="str">
        <f t="shared" si="51"/>
        <v>×</v>
      </c>
      <c r="BJ92" s="804" t="str">
        <f t="shared" si="52"/>
        <v>×</v>
      </c>
      <c r="BK92" s="765" t="str">
        <f t="shared" si="53"/>
        <v>×</v>
      </c>
      <c r="BL92" s="768" t="str">
        <f t="shared" si="54"/>
        <v>×</v>
      </c>
      <c r="BM92" s="766" t="str">
        <f t="shared" si="48"/>
        <v>×</v>
      </c>
      <c r="BN92" s="762" t="str">
        <f t="shared" si="55"/>
        <v>×</v>
      </c>
      <c r="BO92" s="1198"/>
    </row>
    <row r="93" spans="1:67" ht="13.5" customHeight="1" thickBot="1">
      <c r="A93" s="1196"/>
      <c r="B93" s="551" t="s">
        <v>763</v>
      </c>
      <c r="C93" s="27">
        <v>0</v>
      </c>
      <c r="D93" s="456">
        <f>$21:$21</f>
        <v>106</v>
      </c>
      <c r="E93" s="420">
        <f>$21:$21</f>
        <v>176</v>
      </c>
      <c r="F93" s="51" t="s">
        <v>637</v>
      </c>
      <c r="G93" s="568" t="s">
        <v>8</v>
      </c>
      <c r="H93" s="51" t="s">
        <v>58</v>
      </c>
      <c r="I93" s="568" t="s">
        <v>8</v>
      </c>
      <c r="J93" s="568" t="s">
        <v>8</v>
      </c>
      <c r="K93" s="51" t="str">
        <f t="shared" si="57"/>
        <v>○</v>
      </c>
      <c r="L93" s="34" t="s">
        <v>638</v>
      </c>
      <c r="M93" s="51" t="s">
        <v>637</v>
      </c>
      <c r="N93" s="34" t="s">
        <v>637</v>
      </c>
      <c r="O93" s="51" t="s">
        <v>58</v>
      </c>
      <c r="P93" s="51" t="s">
        <v>58</v>
      </c>
      <c r="Q93" s="34" t="s">
        <v>637</v>
      </c>
      <c r="R93" s="34" t="s">
        <v>8</v>
      </c>
      <c r="S93" s="34" t="s">
        <v>637</v>
      </c>
      <c r="T93" s="34" t="s">
        <v>637</v>
      </c>
      <c r="U93" s="34" t="s">
        <v>637</v>
      </c>
      <c r="V93" s="706" t="s">
        <v>8</v>
      </c>
      <c r="W93" s="34" t="s">
        <v>637</v>
      </c>
      <c r="X93" s="395" t="s">
        <v>637</v>
      </c>
      <c r="Y93" s="395" t="s">
        <v>637</v>
      </c>
      <c r="Z93" s="34" t="s">
        <v>8</v>
      </c>
      <c r="AA93" s="395" t="s">
        <v>8</v>
      </c>
      <c r="AB93" s="34" t="s">
        <v>637</v>
      </c>
      <c r="AC93" s="34" t="s">
        <v>637</v>
      </c>
      <c r="AD93" s="706" t="s">
        <v>8</v>
      </c>
      <c r="AE93" s="34" t="s">
        <v>637</v>
      </c>
      <c r="AF93" s="395" t="str">
        <f t="shared" si="38"/>
        <v>○</v>
      </c>
      <c r="AG93" s="34" t="s">
        <v>637</v>
      </c>
      <c r="AH93" s="706" t="s">
        <v>8</v>
      </c>
      <c r="AI93" s="706" t="s">
        <v>8</v>
      </c>
      <c r="AJ93" s="36" t="s">
        <v>637</v>
      </c>
      <c r="AK93" s="36" t="s">
        <v>8</v>
      </c>
      <c r="AL93" s="34" t="s">
        <v>8</v>
      </c>
      <c r="AM93" s="428" t="str">
        <f t="shared" si="39"/>
        <v>○</v>
      </c>
      <c r="AN93" s="428"/>
      <c r="AO93" s="428" t="str">
        <f t="shared" si="50"/>
        <v>×</v>
      </c>
      <c r="AP93" s="706" t="s">
        <v>8</v>
      </c>
      <c r="AQ93" s="34" t="s">
        <v>637</v>
      </c>
      <c r="AR93" s="395" t="s">
        <v>637</v>
      </c>
      <c r="AS93" s="706" t="s">
        <v>8</v>
      </c>
      <c r="AT93" s="34" t="s">
        <v>8</v>
      </c>
      <c r="AU93" s="395" t="s">
        <v>58</v>
      </c>
      <c r="AV93" s="395" t="s">
        <v>58</v>
      </c>
      <c r="AW93" s="428" t="str">
        <f t="shared" si="41"/>
        <v>×</v>
      </c>
      <c r="AX93" s="927" t="s">
        <v>8</v>
      </c>
      <c r="AY93" s="706" t="s">
        <v>8</v>
      </c>
      <c r="AZ93" s="928" t="s">
        <v>8</v>
      </c>
      <c r="BA93" s="813" t="str">
        <f t="shared" si="42"/>
        <v>×</v>
      </c>
      <c r="BB93" s="767" t="str">
        <f t="shared" si="43"/>
        <v>×</v>
      </c>
      <c r="BC93" s="768" t="str">
        <f t="shared" si="44"/>
        <v>×</v>
      </c>
      <c r="BD93" s="765" t="str">
        <f t="shared" si="45"/>
        <v>×</v>
      </c>
      <c r="BE93" s="767" t="str">
        <f t="shared" si="46"/>
        <v>×</v>
      </c>
      <c r="BF93" s="768" t="str">
        <f t="shared" si="47"/>
        <v>×</v>
      </c>
      <c r="BG93" s="766" t="s">
        <v>8</v>
      </c>
      <c r="BH93" s="804" t="str">
        <f t="shared" si="49"/>
        <v>×</v>
      </c>
      <c r="BI93" s="767" t="str">
        <f t="shared" si="51"/>
        <v>×</v>
      </c>
      <c r="BJ93" s="804" t="str">
        <f t="shared" si="52"/>
        <v>×</v>
      </c>
      <c r="BK93" s="765" t="str">
        <f t="shared" si="53"/>
        <v>×</v>
      </c>
      <c r="BL93" s="768" t="str">
        <f t="shared" si="54"/>
        <v>×</v>
      </c>
      <c r="BM93" s="766" t="str">
        <f t="shared" si="48"/>
        <v>×</v>
      </c>
      <c r="BN93" s="762" t="str">
        <f t="shared" si="55"/>
        <v>×</v>
      </c>
      <c r="BO93" s="1198"/>
    </row>
    <row r="94" spans="1:67" ht="13.5" customHeight="1" thickBot="1">
      <c r="A94" s="1196"/>
      <c r="B94" s="551" t="s">
        <v>764</v>
      </c>
      <c r="C94" s="27">
        <v>0</v>
      </c>
      <c r="D94" s="456">
        <v>177</v>
      </c>
      <c r="E94" s="420">
        <v>220</v>
      </c>
      <c r="F94" s="51" t="s">
        <v>637</v>
      </c>
      <c r="G94" s="568" t="s">
        <v>8</v>
      </c>
      <c r="H94" s="51" t="s">
        <v>58</v>
      </c>
      <c r="I94" s="568" t="s">
        <v>8</v>
      </c>
      <c r="J94" s="568" t="s">
        <v>8</v>
      </c>
      <c r="K94" s="51" t="str">
        <f t="shared" si="57"/>
        <v>○</v>
      </c>
      <c r="L94" s="34" t="s">
        <v>638</v>
      </c>
      <c r="M94" s="34" t="s">
        <v>637</v>
      </c>
      <c r="N94" s="34" t="s">
        <v>637</v>
      </c>
      <c r="O94" s="51" t="s">
        <v>58</v>
      </c>
      <c r="P94" s="51" t="s">
        <v>58</v>
      </c>
      <c r="Q94" s="34" t="s">
        <v>637</v>
      </c>
      <c r="R94" s="34" t="s">
        <v>637</v>
      </c>
      <c r="S94" s="34" t="s">
        <v>637</v>
      </c>
      <c r="T94" s="34" t="s">
        <v>637</v>
      </c>
      <c r="U94" s="34" t="s">
        <v>637</v>
      </c>
      <c r="V94" s="706" t="s">
        <v>8</v>
      </c>
      <c r="W94" s="34" t="s">
        <v>637</v>
      </c>
      <c r="X94" s="395" t="s">
        <v>637</v>
      </c>
      <c r="Y94" s="395" t="s">
        <v>637</v>
      </c>
      <c r="Z94" s="428" t="s">
        <v>645</v>
      </c>
      <c r="AA94" s="395" t="s">
        <v>8</v>
      </c>
      <c r="AB94" s="34" t="s">
        <v>637</v>
      </c>
      <c r="AC94" s="34" t="s">
        <v>637</v>
      </c>
      <c r="AD94" s="706" t="s">
        <v>8</v>
      </c>
      <c r="AE94" s="34" t="s">
        <v>637</v>
      </c>
      <c r="AF94" s="395" t="str">
        <f t="shared" si="38"/>
        <v>○</v>
      </c>
      <c r="AG94" s="34" t="s">
        <v>637</v>
      </c>
      <c r="AH94" s="706" t="s">
        <v>8</v>
      </c>
      <c r="AI94" s="706" t="s">
        <v>8</v>
      </c>
      <c r="AJ94" s="36" t="s">
        <v>637</v>
      </c>
      <c r="AK94" s="36" t="s">
        <v>8</v>
      </c>
      <c r="AL94" s="34" t="s">
        <v>645</v>
      </c>
      <c r="AM94" s="395" t="str">
        <f t="shared" si="39"/>
        <v>○</v>
      </c>
      <c r="AN94" s="428"/>
      <c r="AO94" s="428" t="str">
        <f t="shared" si="50"/>
        <v>○(2)</v>
      </c>
      <c r="AP94" s="706" t="s">
        <v>8</v>
      </c>
      <c r="AQ94" s="34" t="s">
        <v>638</v>
      </c>
      <c r="AR94" s="395" t="s">
        <v>638</v>
      </c>
      <c r="AS94" s="706" t="s">
        <v>8</v>
      </c>
      <c r="AT94" s="34" t="s">
        <v>645</v>
      </c>
      <c r="AU94" s="395" t="str">
        <f>$Z:$Z</f>
        <v>○(2)</v>
      </c>
      <c r="AV94" s="395" t="s">
        <v>58</v>
      </c>
      <c r="AW94" s="428" t="str">
        <f t="shared" si="41"/>
        <v>×</v>
      </c>
      <c r="AX94" s="927" t="s">
        <v>8</v>
      </c>
      <c r="AY94" s="706" t="s">
        <v>8</v>
      </c>
      <c r="AZ94" s="928" t="s">
        <v>8</v>
      </c>
      <c r="BA94" s="813" t="str">
        <f t="shared" si="42"/>
        <v>×</v>
      </c>
      <c r="BB94" s="767" t="str">
        <f t="shared" si="43"/>
        <v>○</v>
      </c>
      <c r="BC94" s="768" t="str">
        <f t="shared" si="44"/>
        <v>○</v>
      </c>
      <c r="BD94" s="765" t="str">
        <f t="shared" si="45"/>
        <v>×</v>
      </c>
      <c r="BE94" s="767" t="str">
        <f t="shared" si="46"/>
        <v>○</v>
      </c>
      <c r="BF94" s="768" t="str">
        <f t="shared" si="47"/>
        <v>○</v>
      </c>
      <c r="BG94" s="766" t="s">
        <v>8</v>
      </c>
      <c r="BH94" s="804" t="str">
        <f t="shared" si="49"/>
        <v>○</v>
      </c>
      <c r="BI94" s="767" t="str">
        <f t="shared" si="51"/>
        <v>×</v>
      </c>
      <c r="BJ94" s="804" t="str">
        <f t="shared" si="52"/>
        <v>×</v>
      </c>
      <c r="BK94" s="765" t="str">
        <f t="shared" si="53"/>
        <v>○(2)</v>
      </c>
      <c r="BL94" s="768" t="str">
        <f t="shared" si="54"/>
        <v>○(2)</v>
      </c>
      <c r="BM94" s="766" t="str">
        <f t="shared" si="48"/>
        <v>○(2)</v>
      </c>
      <c r="BN94" s="762" t="str">
        <f t="shared" si="55"/>
        <v>○(2)</v>
      </c>
      <c r="BO94" s="1198"/>
    </row>
    <row r="95" spans="1:67" s="840" customFormat="1" ht="13.5" customHeight="1" thickBot="1">
      <c r="A95" s="1196"/>
      <c r="B95" s="863" t="s">
        <v>765</v>
      </c>
      <c r="C95" s="841">
        <v>0</v>
      </c>
      <c r="D95" s="842">
        <v>0</v>
      </c>
      <c r="E95" s="843">
        <v>0</v>
      </c>
      <c r="F95" s="708" t="s">
        <v>58</v>
      </c>
      <c r="G95" s="836" t="s">
        <v>8</v>
      </c>
      <c r="H95" s="708" t="s">
        <v>58</v>
      </c>
      <c r="I95" s="836" t="s">
        <v>8</v>
      </c>
      <c r="J95" s="836" t="s">
        <v>8</v>
      </c>
      <c r="K95" s="708" t="s">
        <v>58</v>
      </c>
      <c r="L95" s="708" t="s">
        <v>58</v>
      </c>
      <c r="M95" s="708" t="s">
        <v>58</v>
      </c>
      <c r="N95" s="708" t="s">
        <v>58</v>
      </c>
      <c r="O95" s="708" t="s">
        <v>58</v>
      </c>
      <c r="P95" s="708" t="s">
        <v>58</v>
      </c>
      <c r="Q95" s="708" t="s">
        <v>58</v>
      </c>
      <c r="R95" s="708" t="s">
        <v>58</v>
      </c>
      <c r="S95" s="708" t="s">
        <v>58</v>
      </c>
      <c r="T95" s="708" t="s">
        <v>58</v>
      </c>
      <c r="U95" s="708" t="s">
        <v>58</v>
      </c>
      <c r="V95" s="706" t="s">
        <v>8</v>
      </c>
      <c r="W95" s="708" t="s">
        <v>58</v>
      </c>
      <c r="X95" s="708" t="s">
        <v>58</v>
      </c>
      <c r="Y95" s="708" t="s">
        <v>58</v>
      </c>
      <c r="Z95" s="708" t="s">
        <v>58</v>
      </c>
      <c r="AA95" s="708" t="s">
        <v>58</v>
      </c>
      <c r="AB95" s="708" t="s">
        <v>58</v>
      </c>
      <c r="AC95" s="708" t="s">
        <v>58</v>
      </c>
      <c r="AD95" s="706" t="s">
        <v>8</v>
      </c>
      <c r="AE95" s="708" t="s">
        <v>58</v>
      </c>
      <c r="AF95" s="708" t="s">
        <v>58</v>
      </c>
      <c r="AG95" s="708" t="s">
        <v>58</v>
      </c>
      <c r="AH95" s="706" t="s">
        <v>8</v>
      </c>
      <c r="AI95" s="706" t="s">
        <v>8</v>
      </c>
      <c r="AJ95" s="708" t="s">
        <v>58</v>
      </c>
      <c r="AK95" s="837" t="s">
        <v>8</v>
      </c>
      <c r="AL95" s="706" t="s">
        <v>58</v>
      </c>
      <c r="AM95" s="708" t="s">
        <v>58</v>
      </c>
      <c r="AN95" s="708"/>
      <c r="AO95" s="837" t="str">
        <f t="shared" si="50"/>
        <v>×</v>
      </c>
      <c r="AP95" s="706" t="s">
        <v>8</v>
      </c>
      <c r="AQ95" s="708" t="s">
        <v>58</v>
      </c>
      <c r="AR95" s="708" t="s">
        <v>58</v>
      </c>
      <c r="AS95" s="706" t="s">
        <v>8</v>
      </c>
      <c r="AT95" s="708" t="s">
        <v>58</v>
      </c>
      <c r="AU95" s="708" t="s">
        <v>58</v>
      </c>
      <c r="AV95" s="706" t="s">
        <v>58</v>
      </c>
      <c r="AW95" s="837" t="str">
        <f t="shared" si="41"/>
        <v>×</v>
      </c>
      <c r="AX95" s="927" t="s">
        <v>8</v>
      </c>
      <c r="AY95" s="706" t="s">
        <v>8</v>
      </c>
      <c r="AZ95" s="928" t="s">
        <v>8</v>
      </c>
      <c r="BA95" s="839" t="str">
        <f t="shared" si="42"/>
        <v>×</v>
      </c>
      <c r="BB95" s="798" t="str">
        <f t="shared" si="43"/>
        <v>×</v>
      </c>
      <c r="BC95" s="797" t="str">
        <f t="shared" si="44"/>
        <v>×</v>
      </c>
      <c r="BD95" s="796" t="str">
        <f t="shared" si="45"/>
        <v>×</v>
      </c>
      <c r="BE95" s="799" t="str">
        <f t="shared" si="46"/>
        <v>×</v>
      </c>
      <c r="BF95" s="797" t="str">
        <f t="shared" si="47"/>
        <v>×</v>
      </c>
      <c r="BG95" s="799" t="s">
        <v>8</v>
      </c>
      <c r="BH95" s="800" t="str">
        <f t="shared" si="49"/>
        <v>×</v>
      </c>
      <c r="BI95" s="798" t="str">
        <f t="shared" si="51"/>
        <v>×</v>
      </c>
      <c r="BJ95" s="800" t="str">
        <f t="shared" si="52"/>
        <v>×</v>
      </c>
      <c r="BK95" s="796" t="str">
        <f t="shared" si="53"/>
        <v>×</v>
      </c>
      <c r="BL95" s="797" t="str">
        <f t="shared" si="54"/>
        <v>×</v>
      </c>
      <c r="BM95" s="799" t="str">
        <f t="shared" si="48"/>
        <v>×</v>
      </c>
      <c r="BN95" s="801" t="str">
        <f t="shared" si="55"/>
        <v>×</v>
      </c>
      <c r="BO95" s="1198"/>
    </row>
    <row r="96" spans="1:67" s="840" customFormat="1" ht="13.5" customHeight="1" thickBot="1">
      <c r="A96" s="1196"/>
      <c r="B96" s="863" t="s">
        <v>766</v>
      </c>
      <c r="C96" s="841">
        <v>0</v>
      </c>
      <c r="D96" s="842">
        <v>0</v>
      </c>
      <c r="E96" s="843">
        <v>0</v>
      </c>
      <c r="F96" s="708" t="s">
        <v>58</v>
      </c>
      <c r="G96" s="836" t="s">
        <v>8</v>
      </c>
      <c r="H96" s="708" t="s">
        <v>58</v>
      </c>
      <c r="I96" s="836" t="s">
        <v>8</v>
      </c>
      <c r="J96" s="836" t="s">
        <v>8</v>
      </c>
      <c r="K96" s="708" t="s">
        <v>58</v>
      </c>
      <c r="L96" s="708" t="s">
        <v>58</v>
      </c>
      <c r="M96" s="708" t="s">
        <v>58</v>
      </c>
      <c r="N96" s="708" t="s">
        <v>58</v>
      </c>
      <c r="O96" s="708" t="s">
        <v>58</v>
      </c>
      <c r="P96" s="708" t="s">
        <v>58</v>
      </c>
      <c r="Q96" s="708" t="s">
        <v>58</v>
      </c>
      <c r="R96" s="708" t="s">
        <v>58</v>
      </c>
      <c r="S96" s="708" t="s">
        <v>58</v>
      </c>
      <c r="T96" s="708" t="s">
        <v>58</v>
      </c>
      <c r="U96" s="708" t="s">
        <v>58</v>
      </c>
      <c r="V96" s="706" t="s">
        <v>8</v>
      </c>
      <c r="W96" s="708" t="s">
        <v>58</v>
      </c>
      <c r="X96" s="708" t="s">
        <v>58</v>
      </c>
      <c r="Y96" s="708" t="s">
        <v>58</v>
      </c>
      <c r="Z96" s="708" t="s">
        <v>58</v>
      </c>
      <c r="AA96" s="708" t="s">
        <v>58</v>
      </c>
      <c r="AB96" s="708" t="s">
        <v>58</v>
      </c>
      <c r="AC96" s="708" t="s">
        <v>58</v>
      </c>
      <c r="AD96" s="706" t="s">
        <v>8</v>
      </c>
      <c r="AE96" s="708" t="s">
        <v>58</v>
      </c>
      <c r="AF96" s="708" t="s">
        <v>58</v>
      </c>
      <c r="AG96" s="708" t="s">
        <v>58</v>
      </c>
      <c r="AH96" s="706" t="s">
        <v>8</v>
      </c>
      <c r="AI96" s="706" t="s">
        <v>8</v>
      </c>
      <c r="AJ96" s="708" t="s">
        <v>58</v>
      </c>
      <c r="AK96" s="837" t="s">
        <v>8</v>
      </c>
      <c r="AL96" s="706" t="s">
        <v>58</v>
      </c>
      <c r="AM96" s="708" t="s">
        <v>58</v>
      </c>
      <c r="AN96" s="708"/>
      <c r="AO96" s="837" t="str">
        <f t="shared" si="50"/>
        <v>×</v>
      </c>
      <c r="AP96" s="706" t="s">
        <v>8</v>
      </c>
      <c r="AQ96" s="708" t="s">
        <v>58</v>
      </c>
      <c r="AR96" s="708" t="s">
        <v>58</v>
      </c>
      <c r="AS96" s="706" t="s">
        <v>8</v>
      </c>
      <c r="AT96" s="708" t="s">
        <v>58</v>
      </c>
      <c r="AU96" s="708" t="s">
        <v>58</v>
      </c>
      <c r="AV96" s="706" t="s">
        <v>58</v>
      </c>
      <c r="AW96" s="837" t="str">
        <f t="shared" si="41"/>
        <v>×</v>
      </c>
      <c r="AX96" s="927" t="s">
        <v>8</v>
      </c>
      <c r="AY96" s="706" t="s">
        <v>8</v>
      </c>
      <c r="AZ96" s="928" t="s">
        <v>8</v>
      </c>
      <c r="BA96" s="839" t="str">
        <f t="shared" si="42"/>
        <v>×</v>
      </c>
      <c r="BB96" s="798" t="str">
        <f t="shared" si="43"/>
        <v>×</v>
      </c>
      <c r="BC96" s="797" t="str">
        <f t="shared" si="44"/>
        <v>×</v>
      </c>
      <c r="BD96" s="796" t="str">
        <f t="shared" si="45"/>
        <v>×</v>
      </c>
      <c r="BE96" s="799" t="str">
        <f t="shared" si="46"/>
        <v>×</v>
      </c>
      <c r="BF96" s="797" t="str">
        <f t="shared" si="47"/>
        <v>×</v>
      </c>
      <c r="BG96" s="799" t="s">
        <v>8</v>
      </c>
      <c r="BH96" s="800" t="str">
        <f t="shared" si="49"/>
        <v>×</v>
      </c>
      <c r="BI96" s="798" t="str">
        <f t="shared" si="51"/>
        <v>×</v>
      </c>
      <c r="BJ96" s="800" t="str">
        <f t="shared" si="52"/>
        <v>×</v>
      </c>
      <c r="BK96" s="796" t="str">
        <f t="shared" si="53"/>
        <v>×</v>
      </c>
      <c r="BL96" s="797" t="str">
        <f t="shared" si="54"/>
        <v>×</v>
      </c>
      <c r="BM96" s="799" t="str">
        <f t="shared" si="48"/>
        <v>×</v>
      </c>
      <c r="BN96" s="801" t="str">
        <f t="shared" si="55"/>
        <v>×</v>
      </c>
      <c r="BO96" s="1198"/>
    </row>
    <row r="97" spans="1:67" s="840" customFormat="1" ht="13.5" customHeight="1" thickBot="1">
      <c r="A97" s="1196"/>
      <c r="B97" s="863" t="s">
        <v>767</v>
      </c>
      <c r="C97" s="841">
        <v>0</v>
      </c>
      <c r="D97" s="842">
        <v>0</v>
      </c>
      <c r="E97" s="843">
        <v>0</v>
      </c>
      <c r="F97" s="708" t="s">
        <v>58</v>
      </c>
      <c r="G97" s="836" t="s">
        <v>8</v>
      </c>
      <c r="H97" s="708" t="s">
        <v>58</v>
      </c>
      <c r="I97" s="836" t="s">
        <v>8</v>
      </c>
      <c r="J97" s="836" t="s">
        <v>8</v>
      </c>
      <c r="K97" s="708" t="s">
        <v>58</v>
      </c>
      <c r="L97" s="708" t="s">
        <v>58</v>
      </c>
      <c r="M97" s="708" t="s">
        <v>58</v>
      </c>
      <c r="N97" s="708" t="s">
        <v>58</v>
      </c>
      <c r="O97" s="708" t="s">
        <v>58</v>
      </c>
      <c r="P97" s="708" t="s">
        <v>58</v>
      </c>
      <c r="Q97" s="708" t="s">
        <v>58</v>
      </c>
      <c r="R97" s="708" t="s">
        <v>58</v>
      </c>
      <c r="S97" s="708" t="s">
        <v>58</v>
      </c>
      <c r="T97" s="708" t="s">
        <v>58</v>
      </c>
      <c r="U97" s="708" t="s">
        <v>58</v>
      </c>
      <c r="V97" s="706" t="s">
        <v>8</v>
      </c>
      <c r="W97" s="708" t="s">
        <v>58</v>
      </c>
      <c r="X97" s="708" t="s">
        <v>58</v>
      </c>
      <c r="Y97" s="708" t="s">
        <v>58</v>
      </c>
      <c r="Z97" s="708" t="s">
        <v>58</v>
      </c>
      <c r="AA97" s="708" t="s">
        <v>58</v>
      </c>
      <c r="AB97" s="708" t="s">
        <v>58</v>
      </c>
      <c r="AC97" s="708" t="s">
        <v>58</v>
      </c>
      <c r="AD97" s="706" t="s">
        <v>8</v>
      </c>
      <c r="AE97" s="708" t="s">
        <v>58</v>
      </c>
      <c r="AF97" s="708" t="s">
        <v>58</v>
      </c>
      <c r="AG97" s="708" t="s">
        <v>58</v>
      </c>
      <c r="AH97" s="706" t="s">
        <v>8</v>
      </c>
      <c r="AI97" s="706" t="s">
        <v>8</v>
      </c>
      <c r="AJ97" s="708" t="s">
        <v>58</v>
      </c>
      <c r="AK97" s="837" t="s">
        <v>8</v>
      </c>
      <c r="AL97" s="706" t="s">
        <v>58</v>
      </c>
      <c r="AM97" s="708" t="s">
        <v>58</v>
      </c>
      <c r="AN97" s="708"/>
      <c r="AO97" s="837" t="str">
        <f t="shared" si="50"/>
        <v>×</v>
      </c>
      <c r="AP97" s="706" t="s">
        <v>8</v>
      </c>
      <c r="AQ97" s="708" t="s">
        <v>58</v>
      </c>
      <c r="AR97" s="708" t="s">
        <v>58</v>
      </c>
      <c r="AS97" s="706" t="s">
        <v>8</v>
      </c>
      <c r="AT97" s="708" t="s">
        <v>58</v>
      </c>
      <c r="AU97" s="708" t="s">
        <v>58</v>
      </c>
      <c r="AV97" s="706" t="s">
        <v>58</v>
      </c>
      <c r="AW97" s="837" t="str">
        <f t="shared" si="41"/>
        <v>×</v>
      </c>
      <c r="AX97" s="927" t="s">
        <v>8</v>
      </c>
      <c r="AY97" s="706" t="s">
        <v>8</v>
      </c>
      <c r="AZ97" s="928" t="s">
        <v>8</v>
      </c>
      <c r="BA97" s="839" t="str">
        <f t="shared" si="42"/>
        <v>×</v>
      </c>
      <c r="BB97" s="798" t="str">
        <f t="shared" si="43"/>
        <v>×</v>
      </c>
      <c r="BC97" s="797" t="str">
        <f t="shared" si="44"/>
        <v>×</v>
      </c>
      <c r="BD97" s="796" t="str">
        <f t="shared" si="45"/>
        <v>×</v>
      </c>
      <c r="BE97" s="799" t="str">
        <f t="shared" si="46"/>
        <v>×</v>
      </c>
      <c r="BF97" s="797" t="str">
        <f t="shared" si="47"/>
        <v>×</v>
      </c>
      <c r="BG97" s="799" t="s">
        <v>8</v>
      </c>
      <c r="BH97" s="800" t="str">
        <f t="shared" si="49"/>
        <v>×</v>
      </c>
      <c r="BI97" s="798" t="str">
        <f t="shared" si="51"/>
        <v>×</v>
      </c>
      <c r="BJ97" s="800" t="str">
        <f t="shared" si="52"/>
        <v>×</v>
      </c>
      <c r="BK97" s="796" t="str">
        <f t="shared" si="53"/>
        <v>×</v>
      </c>
      <c r="BL97" s="797" t="str">
        <f t="shared" si="54"/>
        <v>×</v>
      </c>
      <c r="BM97" s="799" t="str">
        <f t="shared" si="48"/>
        <v>×</v>
      </c>
      <c r="BN97" s="801" t="str">
        <f t="shared" si="55"/>
        <v>×</v>
      </c>
      <c r="BO97" s="1198"/>
    </row>
    <row r="98" spans="1:67" s="840" customFormat="1" ht="13.5" customHeight="1" thickBot="1">
      <c r="A98" s="1196"/>
      <c r="B98" s="863" t="s">
        <v>768</v>
      </c>
      <c r="C98" s="841">
        <v>0</v>
      </c>
      <c r="D98" s="842">
        <v>0</v>
      </c>
      <c r="E98" s="843">
        <v>0</v>
      </c>
      <c r="F98" s="708" t="s">
        <v>58</v>
      </c>
      <c r="G98" s="836" t="s">
        <v>8</v>
      </c>
      <c r="H98" s="708" t="s">
        <v>58</v>
      </c>
      <c r="I98" s="836" t="s">
        <v>8</v>
      </c>
      <c r="J98" s="836" t="s">
        <v>8</v>
      </c>
      <c r="K98" s="708" t="s">
        <v>58</v>
      </c>
      <c r="L98" s="708" t="s">
        <v>58</v>
      </c>
      <c r="M98" s="708" t="s">
        <v>58</v>
      </c>
      <c r="N98" s="708" t="s">
        <v>58</v>
      </c>
      <c r="O98" s="708" t="s">
        <v>58</v>
      </c>
      <c r="P98" s="708" t="s">
        <v>58</v>
      </c>
      <c r="Q98" s="708" t="s">
        <v>58</v>
      </c>
      <c r="R98" s="708" t="s">
        <v>58</v>
      </c>
      <c r="S98" s="708" t="s">
        <v>58</v>
      </c>
      <c r="T98" s="708" t="s">
        <v>58</v>
      </c>
      <c r="U98" s="708" t="s">
        <v>58</v>
      </c>
      <c r="V98" s="706" t="s">
        <v>8</v>
      </c>
      <c r="W98" s="708" t="s">
        <v>58</v>
      </c>
      <c r="X98" s="708" t="s">
        <v>58</v>
      </c>
      <c r="Y98" s="708" t="s">
        <v>58</v>
      </c>
      <c r="Z98" s="708" t="s">
        <v>58</v>
      </c>
      <c r="AA98" s="708" t="s">
        <v>58</v>
      </c>
      <c r="AB98" s="708" t="s">
        <v>58</v>
      </c>
      <c r="AC98" s="708" t="s">
        <v>58</v>
      </c>
      <c r="AD98" s="706" t="s">
        <v>8</v>
      </c>
      <c r="AE98" s="708" t="s">
        <v>58</v>
      </c>
      <c r="AF98" s="708" t="s">
        <v>58</v>
      </c>
      <c r="AG98" s="708" t="s">
        <v>58</v>
      </c>
      <c r="AH98" s="706" t="s">
        <v>8</v>
      </c>
      <c r="AI98" s="706" t="s">
        <v>8</v>
      </c>
      <c r="AJ98" s="708" t="s">
        <v>58</v>
      </c>
      <c r="AK98" s="837" t="s">
        <v>8</v>
      </c>
      <c r="AL98" s="706" t="s">
        <v>58</v>
      </c>
      <c r="AM98" s="708" t="s">
        <v>58</v>
      </c>
      <c r="AN98" s="708"/>
      <c r="AO98" s="837" t="str">
        <f t="shared" si="50"/>
        <v>×</v>
      </c>
      <c r="AP98" s="706" t="s">
        <v>8</v>
      </c>
      <c r="AQ98" s="708" t="s">
        <v>58</v>
      </c>
      <c r="AR98" s="708" t="s">
        <v>58</v>
      </c>
      <c r="AS98" s="706" t="s">
        <v>8</v>
      </c>
      <c r="AT98" s="708" t="s">
        <v>58</v>
      </c>
      <c r="AU98" s="708" t="s">
        <v>58</v>
      </c>
      <c r="AV98" s="706" t="s">
        <v>58</v>
      </c>
      <c r="AW98" s="837" t="str">
        <f t="shared" si="41"/>
        <v>×</v>
      </c>
      <c r="AX98" s="927" t="s">
        <v>8</v>
      </c>
      <c r="AY98" s="706" t="s">
        <v>8</v>
      </c>
      <c r="AZ98" s="928" t="s">
        <v>8</v>
      </c>
      <c r="BA98" s="839" t="str">
        <f t="shared" si="42"/>
        <v>×</v>
      </c>
      <c r="BB98" s="798" t="str">
        <f t="shared" si="43"/>
        <v>×</v>
      </c>
      <c r="BC98" s="797" t="str">
        <f t="shared" si="44"/>
        <v>×</v>
      </c>
      <c r="BD98" s="796" t="str">
        <f t="shared" si="45"/>
        <v>×</v>
      </c>
      <c r="BE98" s="799" t="str">
        <f t="shared" si="46"/>
        <v>×</v>
      </c>
      <c r="BF98" s="797" t="str">
        <f t="shared" si="47"/>
        <v>×</v>
      </c>
      <c r="BG98" s="799" t="s">
        <v>8</v>
      </c>
      <c r="BH98" s="800" t="str">
        <f t="shared" si="49"/>
        <v>×</v>
      </c>
      <c r="BI98" s="798" t="str">
        <f t="shared" si="51"/>
        <v>×</v>
      </c>
      <c r="BJ98" s="800" t="str">
        <f t="shared" si="52"/>
        <v>×</v>
      </c>
      <c r="BK98" s="796" t="str">
        <f t="shared" si="53"/>
        <v>×</v>
      </c>
      <c r="BL98" s="797" t="str">
        <f t="shared" si="54"/>
        <v>×</v>
      </c>
      <c r="BM98" s="799" t="str">
        <f t="shared" si="48"/>
        <v>×</v>
      </c>
      <c r="BN98" s="801" t="str">
        <f t="shared" si="55"/>
        <v>×</v>
      </c>
      <c r="BO98" s="1198"/>
    </row>
    <row r="99" spans="1:67" ht="13.5" customHeight="1" thickBot="1">
      <c r="A99" s="1196"/>
      <c r="B99" s="551" t="s">
        <v>769</v>
      </c>
      <c r="C99" s="27">
        <v>0</v>
      </c>
      <c r="D99" s="162">
        <f>$22:$22</f>
        <v>177</v>
      </c>
      <c r="E99" s="163">
        <f>$22:$22</f>
        <v>220</v>
      </c>
      <c r="F99" s="51" t="s">
        <v>637</v>
      </c>
      <c r="G99" s="568" t="s">
        <v>8</v>
      </c>
      <c r="H99" s="51" t="s">
        <v>58</v>
      </c>
      <c r="I99" s="568" t="s">
        <v>8</v>
      </c>
      <c r="J99" s="568" t="s">
        <v>8</v>
      </c>
      <c r="K99" s="51" t="str">
        <f t="shared" si="57"/>
        <v>○</v>
      </c>
      <c r="L99" s="34" t="s">
        <v>638</v>
      </c>
      <c r="M99" s="34" t="s">
        <v>637</v>
      </c>
      <c r="N99" s="34" t="s">
        <v>637</v>
      </c>
      <c r="O99" s="51" t="s">
        <v>58</v>
      </c>
      <c r="P99" s="51" t="s">
        <v>58</v>
      </c>
      <c r="Q99" s="34" t="s">
        <v>637</v>
      </c>
      <c r="R99" s="34" t="s">
        <v>637</v>
      </c>
      <c r="S99" s="34" t="s">
        <v>637</v>
      </c>
      <c r="T99" s="34" t="s">
        <v>637</v>
      </c>
      <c r="U99" s="34" t="s">
        <v>637</v>
      </c>
      <c r="V99" s="706" t="s">
        <v>8</v>
      </c>
      <c r="W99" s="34" t="s">
        <v>637</v>
      </c>
      <c r="X99" s="395" t="s">
        <v>637</v>
      </c>
      <c r="Y99" s="395" t="s">
        <v>637</v>
      </c>
      <c r="Z99" s="428" t="s">
        <v>645</v>
      </c>
      <c r="AA99" s="395" t="s">
        <v>8</v>
      </c>
      <c r="AB99" s="34" t="s">
        <v>637</v>
      </c>
      <c r="AC99" s="34" t="s">
        <v>637</v>
      </c>
      <c r="AD99" s="706" t="s">
        <v>8</v>
      </c>
      <c r="AE99" s="34" t="s">
        <v>637</v>
      </c>
      <c r="AF99" s="395" t="str">
        <f>$Y:$Y</f>
        <v>○</v>
      </c>
      <c r="AG99" s="34" t="s">
        <v>637</v>
      </c>
      <c r="AH99" s="706" t="s">
        <v>8</v>
      </c>
      <c r="AI99" s="706" t="s">
        <v>8</v>
      </c>
      <c r="AJ99" s="36" t="s">
        <v>637</v>
      </c>
      <c r="AK99" s="36" t="s">
        <v>8</v>
      </c>
      <c r="AL99" s="34" t="s">
        <v>645</v>
      </c>
      <c r="AM99" s="395" t="str">
        <f>$Y:$Y</f>
        <v>○</v>
      </c>
      <c r="AN99" s="428"/>
      <c r="AO99" s="428" t="str">
        <f t="shared" si="50"/>
        <v>○(2)</v>
      </c>
      <c r="AP99" s="706" t="s">
        <v>8</v>
      </c>
      <c r="AQ99" s="34" t="s">
        <v>638</v>
      </c>
      <c r="AR99" s="395" t="s">
        <v>638</v>
      </c>
      <c r="AS99" s="706" t="s">
        <v>8</v>
      </c>
      <c r="AT99" s="34" t="s">
        <v>645</v>
      </c>
      <c r="AU99" s="395" t="str">
        <f>$Z:$Z</f>
        <v>○(2)</v>
      </c>
      <c r="AV99" s="395" t="s">
        <v>58</v>
      </c>
      <c r="AW99" s="428" t="str">
        <f t="shared" si="41"/>
        <v>×</v>
      </c>
      <c r="AX99" s="927" t="s">
        <v>8</v>
      </c>
      <c r="AY99" s="706" t="s">
        <v>8</v>
      </c>
      <c r="AZ99" s="928" t="s">
        <v>8</v>
      </c>
      <c r="BA99" s="813" t="str">
        <f t="shared" si="42"/>
        <v>×</v>
      </c>
      <c r="BB99" s="767" t="str">
        <f t="shared" si="43"/>
        <v>○</v>
      </c>
      <c r="BC99" s="768" t="str">
        <f t="shared" si="44"/>
        <v>○</v>
      </c>
      <c r="BD99" s="765" t="str">
        <f t="shared" si="45"/>
        <v>×</v>
      </c>
      <c r="BE99" s="767" t="str">
        <f t="shared" si="46"/>
        <v>○</v>
      </c>
      <c r="BF99" s="768" t="str">
        <f t="shared" si="47"/>
        <v>○</v>
      </c>
      <c r="BG99" s="766" t="s">
        <v>8</v>
      </c>
      <c r="BH99" s="804" t="str">
        <f t="shared" si="49"/>
        <v>○</v>
      </c>
      <c r="BI99" s="767" t="str">
        <f t="shared" si="51"/>
        <v>×</v>
      </c>
      <c r="BJ99" s="804" t="str">
        <f t="shared" si="52"/>
        <v>×</v>
      </c>
      <c r="BK99" s="765" t="str">
        <f t="shared" si="53"/>
        <v>○(2)</v>
      </c>
      <c r="BL99" s="768" t="str">
        <f t="shared" si="54"/>
        <v>○(2)</v>
      </c>
      <c r="BM99" s="766" t="str">
        <f t="shared" si="48"/>
        <v>○(2)</v>
      </c>
      <c r="BN99" s="805" t="str">
        <f t="shared" si="55"/>
        <v>○(2)</v>
      </c>
      <c r="BO99" s="1198"/>
    </row>
    <row r="100" spans="1:67" s="840" customFormat="1" ht="13.5" customHeight="1" thickBot="1">
      <c r="A100" s="1196"/>
      <c r="B100" s="863" t="s">
        <v>770</v>
      </c>
      <c r="C100" s="841">
        <v>0</v>
      </c>
      <c r="D100" s="842">
        <v>0</v>
      </c>
      <c r="E100" s="843">
        <v>0</v>
      </c>
      <c r="F100" s="708" t="s">
        <v>58</v>
      </c>
      <c r="G100" s="836" t="s">
        <v>8</v>
      </c>
      <c r="H100" s="708" t="s">
        <v>58</v>
      </c>
      <c r="I100" s="836" t="s">
        <v>8</v>
      </c>
      <c r="J100" s="836" t="s">
        <v>8</v>
      </c>
      <c r="K100" s="708" t="str">
        <f t="shared" si="57"/>
        <v>×</v>
      </c>
      <c r="L100" s="706" t="s">
        <v>58</v>
      </c>
      <c r="M100" s="708" t="s">
        <v>58</v>
      </c>
      <c r="N100" s="706" t="s">
        <v>58</v>
      </c>
      <c r="O100" s="706" t="s">
        <v>58</v>
      </c>
      <c r="P100" s="706" t="s">
        <v>58</v>
      </c>
      <c r="Q100" s="706" t="s">
        <v>58</v>
      </c>
      <c r="R100" s="706" t="s">
        <v>58</v>
      </c>
      <c r="S100" s="706" t="s">
        <v>58</v>
      </c>
      <c r="T100" s="706" t="s">
        <v>58</v>
      </c>
      <c r="U100" s="706" t="s">
        <v>58</v>
      </c>
      <c r="V100" s="706" t="s">
        <v>8</v>
      </c>
      <c r="W100" s="706" t="s">
        <v>8</v>
      </c>
      <c r="X100" s="706" t="s">
        <v>8</v>
      </c>
      <c r="Y100" s="706" t="s">
        <v>8</v>
      </c>
      <c r="Z100" s="706" t="s">
        <v>8</v>
      </c>
      <c r="AA100" s="706" t="s">
        <v>8</v>
      </c>
      <c r="AB100" s="706" t="s">
        <v>58</v>
      </c>
      <c r="AC100" s="706" t="s">
        <v>58</v>
      </c>
      <c r="AD100" s="706" t="s">
        <v>8</v>
      </c>
      <c r="AE100" s="706" t="s">
        <v>8</v>
      </c>
      <c r="AF100" s="706" t="str">
        <f>$Y:$Y</f>
        <v>×</v>
      </c>
      <c r="AG100" s="706" t="s">
        <v>58</v>
      </c>
      <c r="AH100" s="706" t="s">
        <v>8</v>
      </c>
      <c r="AI100" s="706" t="s">
        <v>8</v>
      </c>
      <c r="AJ100" s="837" t="s">
        <v>8</v>
      </c>
      <c r="AK100" s="837" t="s">
        <v>8</v>
      </c>
      <c r="AL100" s="706" t="s">
        <v>8</v>
      </c>
      <c r="AM100" s="837" t="str">
        <f>$Y:$Y</f>
        <v>×</v>
      </c>
      <c r="AN100" s="837"/>
      <c r="AO100" s="837" t="str">
        <f t="shared" si="50"/>
        <v>×</v>
      </c>
      <c r="AP100" s="706" t="s">
        <v>8</v>
      </c>
      <c r="AQ100" s="706" t="s">
        <v>8</v>
      </c>
      <c r="AR100" s="706" t="s">
        <v>8</v>
      </c>
      <c r="AS100" s="706" t="s">
        <v>8</v>
      </c>
      <c r="AT100" s="706" t="s">
        <v>8</v>
      </c>
      <c r="AU100" s="708" t="s">
        <v>58</v>
      </c>
      <c r="AV100" s="706" t="s">
        <v>58</v>
      </c>
      <c r="AW100" s="837" t="str">
        <f t="shared" si="41"/>
        <v>×</v>
      </c>
      <c r="AX100" s="927" t="s">
        <v>8</v>
      </c>
      <c r="AY100" s="706" t="s">
        <v>8</v>
      </c>
      <c r="AZ100" s="928" t="s">
        <v>8</v>
      </c>
      <c r="BA100" s="839" t="str">
        <f t="shared" si="42"/>
        <v>×</v>
      </c>
      <c r="BB100" s="798" t="str">
        <f t="shared" si="43"/>
        <v>×</v>
      </c>
      <c r="BC100" s="797" t="str">
        <f t="shared" si="44"/>
        <v>×</v>
      </c>
      <c r="BD100" s="796" t="str">
        <f t="shared" si="45"/>
        <v>×</v>
      </c>
      <c r="BE100" s="799" t="str">
        <f t="shared" si="46"/>
        <v>×</v>
      </c>
      <c r="BF100" s="797" t="str">
        <f t="shared" si="47"/>
        <v>×</v>
      </c>
      <c r="BG100" s="799" t="s">
        <v>8</v>
      </c>
      <c r="BH100" s="800" t="str">
        <f t="shared" si="49"/>
        <v>×</v>
      </c>
      <c r="BI100" s="798" t="str">
        <f t="shared" si="51"/>
        <v>×</v>
      </c>
      <c r="BJ100" s="800" t="str">
        <f t="shared" si="52"/>
        <v>×</v>
      </c>
      <c r="BK100" s="796" t="str">
        <f t="shared" si="53"/>
        <v>×</v>
      </c>
      <c r="BL100" s="797" t="str">
        <f t="shared" si="54"/>
        <v>×</v>
      </c>
      <c r="BM100" s="799" t="str">
        <f t="shared" si="48"/>
        <v>×</v>
      </c>
      <c r="BN100" s="801" t="str">
        <f t="shared" si="55"/>
        <v>×</v>
      </c>
      <c r="BO100" s="1198"/>
    </row>
    <row r="101" spans="1:67" s="840" customFormat="1" ht="13.5" customHeight="1" thickBot="1">
      <c r="A101" s="1196"/>
      <c r="B101" s="863" t="s">
        <v>771</v>
      </c>
      <c r="C101" s="841">
        <v>0</v>
      </c>
      <c r="D101" s="842">
        <v>0</v>
      </c>
      <c r="E101" s="843">
        <v>0</v>
      </c>
      <c r="F101" s="708" t="s">
        <v>58</v>
      </c>
      <c r="G101" s="836" t="s">
        <v>8</v>
      </c>
      <c r="H101" s="708" t="s">
        <v>58</v>
      </c>
      <c r="I101" s="836" t="s">
        <v>8</v>
      </c>
      <c r="J101" s="836" t="s">
        <v>8</v>
      </c>
      <c r="K101" s="708" t="str">
        <f t="shared" si="57"/>
        <v>×</v>
      </c>
      <c r="L101" s="706" t="s">
        <v>58</v>
      </c>
      <c r="M101" s="708" t="s">
        <v>58</v>
      </c>
      <c r="N101" s="706" t="s">
        <v>58</v>
      </c>
      <c r="O101" s="706" t="s">
        <v>58</v>
      </c>
      <c r="P101" s="706" t="s">
        <v>58</v>
      </c>
      <c r="Q101" s="706" t="s">
        <v>58</v>
      </c>
      <c r="R101" s="706" t="s">
        <v>58</v>
      </c>
      <c r="S101" s="706" t="s">
        <v>58</v>
      </c>
      <c r="T101" s="706" t="s">
        <v>58</v>
      </c>
      <c r="U101" s="706" t="s">
        <v>58</v>
      </c>
      <c r="V101" s="706" t="s">
        <v>8</v>
      </c>
      <c r="W101" s="706" t="s">
        <v>8</v>
      </c>
      <c r="X101" s="706" t="s">
        <v>8</v>
      </c>
      <c r="Y101" s="706" t="s">
        <v>8</v>
      </c>
      <c r="Z101" s="706" t="s">
        <v>8</v>
      </c>
      <c r="AA101" s="706" t="s">
        <v>8</v>
      </c>
      <c r="AB101" s="706" t="s">
        <v>58</v>
      </c>
      <c r="AC101" s="706" t="s">
        <v>58</v>
      </c>
      <c r="AD101" s="706" t="s">
        <v>8</v>
      </c>
      <c r="AE101" s="706" t="s">
        <v>8</v>
      </c>
      <c r="AF101" s="706" t="str">
        <f>$Y:$Y</f>
        <v>×</v>
      </c>
      <c r="AG101" s="706" t="s">
        <v>58</v>
      </c>
      <c r="AH101" s="706" t="s">
        <v>8</v>
      </c>
      <c r="AI101" s="706" t="s">
        <v>8</v>
      </c>
      <c r="AJ101" s="837" t="s">
        <v>8</v>
      </c>
      <c r="AK101" s="837" t="s">
        <v>8</v>
      </c>
      <c r="AL101" s="706" t="s">
        <v>8</v>
      </c>
      <c r="AM101" s="837" t="str">
        <f>$Y:$Y</f>
        <v>×</v>
      </c>
      <c r="AN101" s="837"/>
      <c r="AO101" s="837" t="str">
        <f t="shared" si="50"/>
        <v>×</v>
      </c>
      <c r="AP101" s="706" t="s">
        <v>8</v>
      </c>
      <c r="AQ101" s="706" t="s">
        <v>8</v>
      </c>
      <c r="AR101" s="706" t="s">
        <v>8</v>
      </c>
      <c r="AS101" s="706" t="s">
        <v>8</v>
      </c>
      <c r="AT101" s="706" t="s">
        <v>8</v>
      </c>
      <c r="AU101" s="708" t="s">
        <v>58</v>
      </c>
      <c r="AV101" s="706" t="s">
        <v>58</v>
      </c>
      <c r="AW101" s="837" t="str">
        <f t="shared" ref="AW101:AW124" si="58">$AA:$AA</f>
        <v>×</v>
      </c>
      <c r="AX101" s="927" t="s">
        <v>8</v>
      </c>
      <c r="AY101" s="706" t="s">
        <v>8</v>
      </c>
      <c r="AZ101" s="928" t="s">
        <v>8</v>
      </c>
      <c r="BA101" s="839" t="str">
        <f t="shared" si="42"/>
        <v>×</v>
      </c>
      <c r="BB101" s="798" t="str">
        <f t="shared" si="43"/>
        <v>×</v>
      </c>
      <c r="BC101" s="797" t="str">
        <f t="shared" si="44"/>
        <v>×</v>
      </c>
      <c r="BD101" s="796" t="str">
        <f t="shared" si="45"/>
        <v>×</v>
      </c>
      <c r="BE101" s="799" t="str">
        <f t="shared" si="46"/>
        <v>×</v>
      </c>
      <c r="BF101" s="797" t="str">
        <f t="shared" si="47"/>
        <v>×</v>
      </c>
      <c r="BG101" s="799" t="s">
        <v>8</v>
      </c>
      <c r="BH101" s="800" t="str">
        <f t="shared" si="49"/>
        <v>×</v>
      </c>
      <c r="BI101" s="798" t="str">
        <f t="shared" si="51"/>
        <v>×</v>
      </c>
      <c r="BJ101" s="800" t="str">
        <f t="shared" si="52"/>
        <v>×</v>
      </c>
      <c r="BK101" s="796" t="str">
        <f t="shared" si="53"/>
        <v>×</v>
      </c>
      <c r="BL101" s="797" t="str">
        <f t="shared" si="54"/>
        <v>×</v>
      </c>
      <c r="BM101" s="799" t="str">
        <f t="shared" si="48"/>
        <v>×</v>
      </c>
      <c r="BN101" s="801" t="str">
        <f t="shared" si="55"/>
        <v>×</v>
      </c>
      <c r="BO101" s="1198"/>
    </row>
    <row r="102" spans="1:67" ht="13.5" customHeight="1" thickBot="1">
      <c r="A102" s="1196"/>
      <c r="B102" s="551" t="s">
        <v>772</v>
      </c>
      <c r="C102" s="27">
        <v>0</v>
      </c>
      <c r="D102" s="162">
        <f>$23:$23</f>
        <v>177</v>
      </c>
      <c r="E102" s="163">
        <f>$23:$23</f>
        <v>220</v>
      </c>
      <c r="F102" s="51" t="s">
        <v>637</v>
      </c>
      <c r="G102" s="568" t="s">
        <v>8</v>
      </c>
      <c r="H102" s="51" t="s">
        <v>58</v>
      </c>
      <c r="I102" s="568" t="s">
        <v>8</v>
      </c>
      <c r="J102" s="568" t="s">
        <v>8</v>
      </c>
      <c r="K102" s="51" t="str">
        <f t="shared" si="57"/>
        <v>○</v>
      </c>
      <c r="L102" s="34" t="s">
        <v>638</v>
      </c>
      <c r="M102" s="34" t="s">
        <v>637</v>
      </c>
      <c r="N102" s="34" t="s">
        <v>637</v>
      </c>
      <c r="O102" s="51" t="s">
        <v>58</v>
      </c>
      <c r="P102" s="51" t="s">
        <v>58</v>
      </c>
      <c r="Q102" s="34" t="s">
        <v>637</v>
      </c>
      <c r="R102" s="34" t="s">
        <v>8</v>
      </c>
      <c r="S102" s="34" t="s">
        <v>637</v>
      </c>
      <c r="T102" s="34" t="s">
        <v>637</v>
      </c>
      <c r="U102" s="34" t="s">
        <v>637</v>
      </c>
      <c r="V102" s="706" t="s">
        <v>8</v>
      </c>
      <c r="W102" s="34" t="s">
        <v>638</v>
      </c>
      <c r="X102" s="34" t="s">
        <v>637</v>
      </c>
      <c r="Y102" s="34" t="s">
        <v>637</v>
      </c>
      <c r="Z102" s="34" t="s">
        <v>8</v>
      </c>
      <c r="AA102" s="34" t="s">
        <v>8</v>
      </c>
      <c r="AB102" s="34" t="s">
        <v>637</v>
      </c>
      <c r="AC102" s="34" t="s">
        <v>637</v>
      </c>
      <c r="AD102" s="706" t="s">
        <v>8</v>
      </c>
      <c r="AE102" s="34" t="s">
        <v>638</v>
      </c>
      <c r="AF102" s="34" t="str">
        <f>$Y:$Y</f>
        <v>○</v>
      </c>
      <c r="AG102" s="34" t="s">
        <v>637</v>
      </c>
      <c r="AH102" s="706" t="s">
        <v>8</v>
      </c>
      <c r="AI102" s="706" t="s">
        <v>8</v>
      </c>
      <c r="AJ102" s="34" t="s">
        <v>638</v>
      </c>
      <c r="AK102" s="36" t="s">
        <v>8</v>
      </c>
      <c r="AL102" s="34" t="s">
        <v>8</v>
      </c>
      <c r="AM102" s="34" t="str">
        <f>$Y:$Y</f>
        <v>○</v>
      </c>
      <c r="AN102" s="36"/>
      <c r="AO102" s="428" t="str">
        <f t="shared" si="50"/>
        <v>×</v>
      </c>
      <c r="AP102" s="706" t="s">
        <v>8</v>
      </c>
      <c r="AQ102" s="34" t="s">
        <v>638</v>
      </c>
      <c r="AR102" s="395" t="s">
        <v>638</v>
      </c>
      <c r="AS102" s="706" t="s">
        <v>8</v>
      </c>
      <c r="AT102" s="34" t="s">
        <v>8</v>
      </c>
      <c r="AU102" s="395" t="s">
        <v>58</v>
      </c>
      <c r="AV102" s="395" t="s">
        <v>58</v>
      </c>
      <c r="AW102" s="428" t="str">
        <f t="shared" si="58"/>
        <v>×</v>
      </c>
      <c r="AX102" s="927" t="s">
        <v>8</v>
      </c>
      <c r="AY102" s="706" t="s">
        <v>8</v>
      </c>
      <c r="AZ102" s="928" t="s">
        <v>8</v>
      </c>
      <c r="BA102" s="813" t="str">
        <f t="shared" si="42"/>
        <v>×</v>
      </c>
      <c r="BB102" s="767" t="str">
        <f t="shared" si="43"/>
        <v>×</v>
      </c>
      <c r="BC102" s="768" t="str">
        <f t="shared" si="44"/>
        <v>×</v>
      </c>
      <c r="BD102" s="765" t="str">
        <f t="shared" si="45"/>
        <v>×</v>
      </c>
      <c r="BE102" s="767" t="str">
        <f t="shared" si="46"/>
        <v>×</v>
      </c>
      <c r="BF102" s="768" t="str">
        <f t="shared" si="47"/>
        <v>×</v>
      </c>
      <c r="BG102" s="766" t="s">
        <v>8</v>
      </c>
      <c r="BH102" s="804" t="str">
        <f t="shared" si="49"/>
        <v>×</v>
      </c>
      <c r="BI102" s="767" t="str">
        <f t="shared" si="51"/>
        <v>×</v>
      </c>
      <c r="BJ102" s="804" t="str">
        <f t="shared" si="52"/>
        <v>×</v>
      </c>
      <c r="BK102" s="765" t="str">
        <f t="shared" si="53"/>
        <v>×</v>
      </c>
      <c r="BL102" s="768" t="str">
        <f t="shared" si="54"/>
        <v>×</v>
      </c>
      <c r="BM102" s="766" t="str">
        <f t="shared" si="48"/>
        <v>×</v>
      </c>
      <c r="BN102" s="805" t="str">
        <f t="shared" si="55"/>
        <v>×</v>
      </c>
      <c r="BO102" s="1198"/>
    </row>
    <row r="103" spans="1:67" s="840" customFormat="1" ht="13.5" customHeight="1" thickBot="1">
      <c r="A103" s="1196"/>
      <c r="B103" s="863" t="s">
        <v>773</v>
      </c>
      <c r="C103" s="841">
        <v>0</v>
      </c>
      <c r="D103" s="842">
        <v>0</v>
      </c>
      <c r="E103" s="843">
        <v>0</v>
      </c>
      <c r="F103" s="708" t="s">
        <v>58</v>
      </c>
      <c r="G103" s="836" t="s">
        <v>8</v>
      </c>
      <c r="H103" s="708" t="s">
        <v>58</v>
      </c>
      <c r="I103" s="836" t="s">
        <v>8</v>
      </c>
      <c r="J103" s="836" t="s">
        <v>8</v>
      </c>
      <c r="K103" s="708" t="str">
        <f t="shared" si="57"/>
        <v>×</v>
      </c>
      <c r="L103" s="708" t="str">
        <f t="shared" ref="L103:M105" si="59">G103</f>
        <v>×</v>
      </c>
      <c r="M103" s="708" t="str">
        <f t="shared" si="59"/>
        <v>×</v>
      </c>
      <c r="N103" s="708" t="s">
        <v>58</v>
      </c>
      <c r="O103" s="708" t="s">
        <v>58</v>
      </c>
      <c r="P103" s="708" t="s">
        <v>58</v>
      </c>
      <c r="Q103" s="708" t="s">
        <v>58</v>
      </c>
      <c r="R103" s="708" t="str">
        <f t="shared" ref="R103:W105" si="60">I103</f>
        <v>×</v>
      </c>
      <c r="S103" s="708" t="str">
        <f t="shared" si="60"/>
        <v>×</v>
      </c>
      <c r="T103" s="708" t="str">
        <f t="shared" si="60"/>
        <v>×</v>
      </c>
      <c r="U103" s="708" t="str">
        <f t="shared" si="60"/>
        <v>×</v>
      </c>
      <c r="V103" s="706" t="s">
        <v>8</v>
      </c>
      <c r="W103" s="708" t="str">
        <f t="shared" si="60"/>
        <v>×</v>
      </c>
      <c r="X103" s="708" t="str">
        <f t="shared" ref="X103:AB105" si="61">R103</f>
        <v>×</v>
      </c>
      <c r="Y103" s="708" t="str">
        <f t="shared" si="61"/>
        <v>×</v>
      </c>
      <c r="Z103" s="708" t="str">
        <f t="shared" si="61"/>
        <v>×</v>
      </c>
      <c r="AA103" s="708" t="str">
        <f t="shared" si="61"/>
        <v>×</v>
      </c>
      <c r="AB103" s="708" t="str">
        <f t="shared" si="61"/>
        <v>×</v>
      </c>
      <c r="AC103" s="708" t="str">
        <f t="shared" ref="AC103:AE105" si="62">X103</f>
        <v>×</v>
      </c>
      <c r="AD103" s="706" t="s">
        <v>8</v>
      </c>
      <c r="AE103" s="708" t="str">
        <f t="shared" si="62"/>
        <v>×</v>
      </c>
      <c r="AF103" s="708" t="str">
        <f t="shared" ref="AF103:AJ105" si="63">Z103</f>
        <v>×</v>
      </c>
      <c r="AG103" s="708" t="str">
        <f t="shared" si="63"/>
        <v>×</v>
      </c>
      <c r="AH103" s="706" t="s">
        <v>8</v>
      </c>
      <c r="AI103" s="706" t="s">
        <v>8</v>
      </c>
      <c r="AJ103" s="708" t="str">
        <f t="shared" si="63"/>
        <v>×</v>
      </c>
      <c r="AK103" s="837" t="s">
        <v>8</v>
      </c>
      <c r="AL103" s="706" t="str">
        <f>AE103</f>
        <v>×</v>
      </c>
      <c r="AM103" s="708" t="str">
        <f>AD103</f>
        <v>×</v>
      </c>
      <c r="AN103" s="708"/>
      <c r="AO103" s="837" t="str">
        <f t="shared" si="50"/>
        <v>×</v>
      </c>
      <c r="AP103" s="706" t="s">
        <v>8</v>
      </c>
      <c r="AQ103" s="708" t="str">
        <f>AH103</f>
        <v>×</v>
      </c>
      <c r="AR103" s="708" t="str">
        <f>AH103</f>
        <v>×</v>
      </c>
      <c r="AS103" s="706" t="s">
        <v>8</v>
      </c>
      <c r="AT103" s="708" t="str">
        <f>AJ103</f>
        <v>×</v>
      </c>
      <c r="AU103" s="708" t="s">
        <v>58</v>
      </c>
      <c r="AV103" s="706" t="s">
        <v>58</v>
      </c>
      <c r="AW103" s="837" t="str">
        <f t="shared" si="58"/>
        <v>×</v>
      </c>
      <c r="AX103" s="927" t="s">
        <v>8</v>
      </c>
      <c r="AY103" s="706" t="s">
        <v>8</v>
      </c>
      <c r="AZ103" s="928" t="s">
        <v>8</v>
      </c>
      <c r="BA103" s="839" t="str">
        <f t="shared" si="42"/>
        <v>×</v>
      </c>
      <c r="BB103" s="798" t="str">
        <f t="shared" si="43"/>
        <v>×</v>
      </c>
      <c r="BC103" s="797" t="str">
        <f t="shared" si="44"/>
        <v>×</v>
      </c>
      <c r="BD103" s="796" t="str">
        <f t="shared" si="45"/>
        <v>×</v>
      </c>
      <c r="BE103" s="799" t="str">
        <f t="shared" si="46"/>
        <v>×</v>
      </c>
      <c r="BF103" s="797" t="str">
        <f t="shared" si="47"/>
        <v>×</v>
      </c>
      <c r="BG103" s="799" t="s">
        <v>8</v>
      </c>
      <c r="BH103" s="800" t="str">
        <f t="shared" si="49"/>
        <v>×</v>
      </c>
      <c r="BI103" s="798" t="str">
        <f t="shared" si="51"/>
        <v>×</v>
      </c>
      <c r="BJ103" s="800" t="str">
        <f t="shared" si="52"/>
        <v>×</v>
      </c>
      <c r="BK103" s="796" t="str">
        <f t="shared" si="53"/>
        <v>×</v>
      </c>
      <c r="BL103" s="797" t="str">
        <f t="shared" si="54"/>
        <v>×</v>
      </c>
      <c r="BM103" s="799" t="str">
        <f t="shared" si="48"/>
        <v>×</v>
      </c>
      <c r="BN103" s="801" t="str">
        <f t="shared" si="55"/>
        <v>×</v>
      </c>
      <c r="BO103" s="1198"/>
    </row>
    <row r="104" spans="1:67" s="840" customFormat="1" ht="13.5" customHeight="1" thickBot="1">
      <c r="A104" s="1196"/>
      <c r="B104" s="863" t="s">
        <v>774</v>
      </c>
      <c r="C104" s="841">
        <v>0</v>
      </c>
      <c r="D104" s="842">
        <v>0</v>
      </c>
      <c r="E104" s="843">
        <v>0</v>
      </c>
      <c r="F104" s="708" t="s">
        <v>58</v>
      </c>
      <c r="G104" s="836" t="s">
        <v>8</v>
      </c>
      <c r="H104" s="708" t="s">
        <v>58</v>
      </c>
      <c r="I104" s="836" t="s">
        <v>8</v>
      </c>
      <c r="J104" s="836" t="s">
        <v>8</v>
      </c>
      <c r="K104" s="708" t="str">
        <f t="shared" si="57"/>
        <v>×</v>
      </c>
      <c r="L104" s="708" t="str">
        <f t="shared" si="59"/>
        <v>×</v>
      </c>
      <c r="M104" s="708" t="str">
        <f t="shared" si="59"/>
        <v>×</v>
      </c>
      <c r="N104" s="708" t="s">
        <v>58</v>
      </c>
      <c r="O104" s="708" t="s">
        <v>58</v>
      </c>
      <c r="P104" s="708" t="s">
        <v>58</v>
      </c>
      <c r="Q104" s="708" t="s">
        <v>58</v>
      </c>
      <c r="R104" s="708" t="str">
        <f t="shared" si="60"/>
        <v>×</v>
      </c>
      <c r="S104" s="708" t="str">
        <f t="shared" si="60"/>
        <v>×</v>
      </c>
      <c r="T104" s="708" t="str">
        <f t="shared" si="60"/>
        <v>×</v>
      </c>
      <c r="U104" s="708" t="str">
        <f t="shared" si="60"/>
        <v>×</v>
      </c>
      <c r="V104" s="706" t="s">
        <v>8</v>
      </c>
      <c r="W104" s="708" t="str">
        <f t="shared" si="60"/>
        <v>×</v>
      </c>
      <c r="X104" s="708" t="str">
        <f t="shared" si="61"/>
        <v>×</v>
      </c>
      <c r="Y104" s="708" t="str">
        <f t="shared" si="61"/>
        <v>×</v>
      </c>
      <c r="Z104" s="708" t="str">
        <f t="shared" si="61"/>
        <v>×</v>
      </c>
      <c r="AA104" s="708" t="str">
        <f t="shared" si="61"/>
        <v>×</v>
      </c>
      <c r="AB104" s="708" t="str">
        <f t="shared" si="61"/>
        <v>×</v>
      </c>
      <c r="AC104" s="708" t="str">
        <f t="shared" si="62"/>
        <v>×</v>
      </c>
      <c r="AD104" s="706" t="s">
        <v>8</v>
      </c>
      <c r="AE104" s="708" t="str">
        <f t="shared" si="62"/>
        <v>×</v>
      </c>
      <c r="AF104" s="708" t="str">
        <f t="shared" si="63"/>
        <v>×</v>
      </c>
      <c r="AG104" s="708" t="str">
        <f t="shared" si="63"/>
        <v>×</v>
      </c>
      <c r="AH104" s="706" t="s">
        <v>8</v>
      </c>
      <c r="AI104" s="706" t="s">
        <v>8</v>
      </c>
      <c r="AJ104" s="708" t="str">
        <f t="shared" si="63"/>
        <v>×</v>
      </c>
      <c r="AK104" s="837" t="s">
        <v>8</v>
      </c>
      <c r="AL104" s="706" t="str">
        <f>AE104</f>
        <v>×</v>
      </c>
      <c r="AM104" s="708" t="str">
        <f>AD104</f>
        <v>×</v>
      </c>
      <c r="AN104" s="708"/>
      <c r="AO104" s="837" t="str">
        <f t="shared" si="50"/>
        <v>×</v>
      </c>
      <c r="AP104" s="706" t="s">
        <v>8</v>
      </c>
      <c r="AQ104" s="708" t="str">
        <f>AH104</f>
        <v>×</v>
      </c>
      <c r="AR104" s="708" t="str">
        <f>AH104</f>
        <v>×</v>
      </c>
      <c r="AS104" s="706" t="s">
        <v>8</v>
      </c>
      <c r="AT104" s="708" t="str">
        <f>AJ104</f>
        <v>×</v>
      </c>
      <c r="AU104" s="708" t="s">
        <v>58</v>
      </c>
      <c r="AV104" s="706" t="s">
        <v>58</v>
      </c>
      <c r="AW104" s="837" t="str">
        <f t="shared" si="58"/>
        <v>×</v>
      </c>
      <c r="AX104" s="927" t="s">
        <v>8</v>
      </c>
      <c r="AY104" s="706" t="s">
        <v>8</v>
      </c>
      <c r="AZ104" s="928" t="s">
        <v>8</v>
      </c>
      <c r="BA104" s="839" t="str">
        <f t="shared" si="42"/>
        <v>×</v>
      </c>
      <c r="BB104" s="798" t="str">
        <f t="shared" si="43"/>
        <v>×</v>
      </c>
      <c r="BC104" s="797" t="str">
        <f t="shared" si="44"/>
        <v>×</v>
      </c>
      <c r="BD104" s="796" t="str">
        <f t="shared" si="45"/>
        <v>×</v>
      </c>
      <c r="BE104" s="799" t="str">
        <f t="shared" si="46"/>
        <v>×</v>
      </c>
      <c r="BF104" s="797" t="str">
        <f t="shared" si="47"/>
        <v>×</v>
      </c>
      <c r="BG104" s="799" t="s">
        <v>8</v>
      </c>
      <c r="BH104" s="800" t="str">
        <f t="shared" si="49"/>
        <v>×</v>
      </c>
      <c r="BI104" s="798" t="str">
        <f t="shared" si="51"/>
        <v>×</v>
      </c>
      <c r="BJ104" s="800" t="str">
        <f t="shared" si="52"/>
        <v>×</v>
      </c>
      <c r="BK104" s="796" t="str">
        <f t="shared" si="53"/>
        <v>×</v>
      </c>
      <c r="BL104" s="797" t="str">
        <f t="shared" si="54"/>
        <v>×</v>
      </c>
      <c r="BM104" s="799" t="str">
        <f t="shared" si="48"/>
        <v>×</v>
      </c>
      <c r="BN104" s="801" t="str">
        <f t="shared" si="55"/>
        <v>×</v>
      </c>
      <c r="BO104" s="1198"/>
    </row>
    <row r="105" spans="1:67" s="840" customFormat="1" ht="13.5" customHeight="1" thickBot="1">
      <c r="A105" s="1196"/>
      <c r="B105" s="863" t="s">
        <v>775</v>
      </c>
      <c r="C105" s="841">
        <v>0</v>
      </c>
      <c r="D105" s="842">
        <v>0</v>
      </c>
      <c r="E105" s="843">
        <v>0</v>
      </c>
      <c r="F105" s="708" t="s">
        <v>58</v>
      </c>
      <c r="G105" s="836" t="s">
        <v>8</v>
      </c>
      <c r="H105" s="708" t="s">
        <v>58</v>
      </c>
      <c r="I105" s="836" t="s">
        <v>8</v>
      </c>
      <c r="J105" s="836" t="s">
        <v>8</v>
      </c>
      <c r="K105" s="708" t="str">
        <f t="shared" si="57"/>
        <v>×</v>
      </c>
      <c r="L105" s="708" t="str">
        <f t="shared" si="59"/>
        <v>×</v>
      </c>
      <c r="M105" s="708" t="str">
        <f t="shared" si="59"/>
        <v>×</v>
      </c>
      <c r="N105" s="708" t="s">
        <v>58</v>
      </c>
      <c r="O105" s="708" t="s">
        <v>58</v>
      </c>
      <c r="P105" s="708" t="s">
        <v>58</v>
      </c>
      <c r="Q105" s="708" t="s">
        <v>58</v>
      </c>
      <c r="R105" s="708" t="str">
        <f t="shared" si="60"/>
        <v>×</v>
      </c>
      <c r="S105" s="708" t="str">
        <f t="shared" si="60"/>
        <v>×</v>
      </c>
      <c r="T105" s="708" t="str">
        <f t="shared" si="60"/>
        <v>×</v>
      </c>
      <c r="U105" s="708" t="str">
        <f t="shared" si="60"/>
        <v>×</v>
      </c>
      <c r="V105" s="706" t="s">
        <v>8</v>
      </c>
      <c r="W105" s="708" t="str">
        <f t="shared" si="60"/>
        <v>×</v>
      </c>
      <c r="X105" s="708" t="str">
        <f t="shared" si="61"/>
        <v>×</v>
      </c>
      <c r="Y105" s="708" t="str">
        <f t="shared" si="61"/>
        <v>×</v>
      </c>
      <c r="Z105" s="708" t="str">
        <f t="shared" si="61"/>
        <v>×</v>
      </c>
      <c r="AA105" s="708" t="str">
        <f t="shared" si="61"/>
        <v>×</v>
      </c>
      <c r="AB105" s="708" t="str">
        <f t="shared" si="61"/>
        <v>×</v>
      </c>
      <c r="AC105" s="708" t="str">
        <f t="shared" si="62"/>
        <v>×</v>
      </c>
      <c r="AD105" s="706" t="s">
        <v>8</v>
      </c>
      <c r="AE105" s="708" t="str">
        <f t="shared" si="62"/>
        <v>×</v>
      </c>
      <c r="AF105" s="708" t="str">
        <f t="shared" si="63"/>
        <v>×</v>
      </c>
      <c r="AG105" s="708" t="str">
        <f t="shared" si="63"/>
        <v>×</v>
      </c>
      <c r="AH105" s="706" t="s">
        <v>8</v>
      </c>
      <c r="AI105" s="706" t="s">
        <v>8</v>
      </c>
      <c r="AJ105" s="708" t="str">
        <f t="shared" si="63"/>
        <v>×</v>
      </c>
      <c r="AK105" s="837" t="s">
        <v>8</v>
      </c>
      <c r="AL105" s="706" t="str">
        <f>AE105</f>
        <v>×</v>
      </c>
      <c r="AM105" s="708" t="str">
        <f>AD105</f>
        <v>×</v>
      </c>
      <c r="AN105" s="708"/>
      <c r="AO105" s="837" t="str">
        <f t="shared" si="50"/>
        <v>×</v>
      </c>
      <c r="AP105" s="706" t="s">
        <v>8</v>
      </c>
      <c r="AQ105" s="708" t="str">
        <f>AH105</f>
        <v>×</v>
      </c>
      <c r="AR105" s="708" t="str">
        <f>AH105</f>
        <v>×</v>
      </c>
      <c r="AS105" s="706" t="s">
        <v>8</v>
      </c>
      <c r="AT105" s="708" t="str">
        <f>AJ105</f>
        <v>×</v>
      </c>
      <c r="AU105" s="708" t="s">
        <v>58</v>
      </c>
      <c r="AV105" s="706" t="s">
        <v>58</v>
      </c>
      <c r="AW105" s="837" t="str">
        <f t="shared" si="58"/>
        <v>×</v>
      </c>
      <c r="AX105" s="927" t="s">
        <v>8</v>
      </c>
      <c r="AY105" s="706" t="s">
        <v>8</v>
      </c>
      <c r="AZ105" s="928" t="s">
        <v>8</v>
      </c>
      <c r="BA105" s="839" t="str">
        <f t="shared" si="42"/>
        <v>×</v>
      </c>
      <c r="BB105" s="798" t="str">
        <f t="shared" si="43"/>
        <v>×</v>
      </c>
      <c r="BC105" s="797" t="str">
        <f t="shared" si="44"/>
        <v>×</v>
      </c>
      <c r="BD105" s="796" t="str">
        <f t="shared" si="45"/>
        <v>×</v>
      </c>
      <c r="BE105" s="799" t="str">
        <f t="shared" si="46"/>
        <v>×</v>
      </c>
      <c r="BF105" s="797" t="str">
        <f t="shared" si="47"/>
        <v>×</v>
      </c>
      <c r="BG105" s="799" t="s">
        <v>8</v>
      </c>
      <c r="BH105" s="800" t="str">
        <f t="shared" si="49"/>
        <v>×</v>
      </c>
      <c r="BI105" s="798" t="str">
        <f t="shared" si="51"/>
        <v>×</v>
      </c>
      <c r="BJ105" s="800" t="str">
        <f t="shared" si="52"/>
        <v>×</v>
      </c>
      <c r="BK105" s="796" t="str">
        <f t="shared" si="53"/>
        <v>×</v>
      </c>
      <c r="BL105" s="797" t="str">
        <f t="shared" si="54"/>
        <v>×</v>
      </c>
      <c r="BM105" s="799" t="str">
        <f t="shared" si="48"/>
        <v>×</v>
      </c>
      <c r="BN105" s="801" t="str">
        <f t="shared" si="55"/>
        <v>×</v>
      </c>
      <c r="BO105" s="1198"/>
    </row>
    <row r="106" spans="1:67" ht="13.5" customHeight="1" thickBot="1">
      <c r="A106" s="1196"/>
      <c r="B106" s="551" t="s">
        <v>776</v>
      </c>
      <c r="C106" s="27">
        <v>0</v>
      </c>
      <c r="D106" s="162">
        <f>$23:$23</f>
        <v>177</v>
      </c>
      <c r="E106" s="163">
        <f>$23:$23</f>
        <v>220</v>
      </c>
      <c r="F106" s="51" t="s">
        <v>637</v>
      </c>
      <c r="G106" s="568" t="s">
        <v>8</v>
      </c>
      <c r="H106" s="51" t="s">
        <v>58</v>
      </c>
      <c r="I106" s="568" t="s">
        <v>8</v>
      </c>
      <c r="J106" s="568" t="s">
        <v>8</v>
      </c>
      <c r="K106" s="51" t="str">
        <f>F106</f>
        <v>○</v>
      </c>
      <c r="L106" s="34" t="s">
        <v>638</v>
      </c>
      <c r="M106" s="34" t="s">
        <v>637</v>
      </c>
      <c r="N106" s="34" t="s">
        <v>637</v>
      </c>
      <c r="O106" s="51" t="s">
        <v>58</v>
      </c>
      <c r="P106" s="51" t="s">
        <v>58</v>
      </c>
      <c r="Q106" s="34" t="s">
        <v>637</v>
      </c>
      <c r="R106" s="34" t="s">
        <v>8</v>
      </c>
      <c r="S106" s="34" t="s">
        <v>637</v>
      </c>
      <c r="T106" s="34" t="s">
        <v>637</v>
      </c>
      <c r="U106" s="34" t="s">
        <v>637</v>
      </c>
      <c r="V106" s="706" t="s">
        <v>8</v>
      </c>
      <c r="W106" s="190" t="s">
        <v>848</v>
      </c>
      <c r="X106" s="34" t="s">
        <v>637</v>
      </c>
      <c r="Y106" s="34" t="s">
        <v>637</v>
      </c>
      <c r="Z106" s="34" t="s">
        <v>8</v>
      </c>
      <c r="AA106" s="34" t="s">
        <v>8</v>
      </c>
      <c r="AB106" s="34" t="s">
        <v>637</v>
      </c>
      <c r="AC106" s="34" t="s">
        <v>637</v>
      </c>
      <c r="AD106" s="706" t="s">
        <v>8</v>
      </c>
      <c r="AE106" s="34" t="s">
        <v>638</v>
      </c>
      <c r="AF106" s="34" t="str">
        <f t="shared" ref="AF106:AF124" si="64">$Y:$Y</f>
        <v>○</v>
      </c>
      <c r="AG106" s="34" t="s">
        <v>637</v>
      </c>
      <c r="AH106" s="706" t="s">
        <v>8</v>
      </c>
      <c r="AI106" s="706" t="s">
        <v>8</v>
      </c>
      <c r="AJ106" s="34" t="s">
        <v>638</v>
      </c>
      <c r="AK106" s="36" t="s">
        <v>8</v>
      </c>
      <c r="AL106" s="34" t="s">
        <v>8</v>
      </c>
      <c r="AM106" s="34" t="str">
        <f t="shared" ref="AM106:AM124" si="65">$Y:$Y</f>
        <v>○</v>
      </c>
      <c r="AN106" s="36"/>
      <c r="AO106" s="428" t="str">
        <f t="shared" si="50"/>
        <v>×</v>
      </c>
      <c r="AP106" s="706" t="s">
        <v>8</v>
      </c>
      <c r="AQ106" s="34" t="s">
        <v>638</v>
      </c>
      <c r="AR106" s="34" t="s">
        <v>638</v>
      </c>
      <c r="AS106" s="706" t="s">
        <v>8</v>
      </c>
      <c r="AT106" s="34" t="s">
        <v>8</v>
      </c>
      <c r="AU106" s="34" t="str">
        <f>$Z:$Z</f>
        <v>×</v>
      </c>
      <c r="AV106" s="34" t="s">
        <v>58</v>
      </c>
      <c r="AW106" s="36" t="str">
        <f t="shared" si="58"/>
        <v>×</v>
      </c>
      <c r="AX106" s="927" t="s">
        <v>8</v>
      </c>
      <c r="AY106" s="706" t="s">
        <v>8</v>
      </c>
      <c r="AZ106" s="928" t="s">
        <v>8</v>
      </c>
      <c r="BA106" s="813" t="str">
        <f t="shared" si="42"/>
        <v>×</v>
      </c>
      <c r="BB106" s="767" t="str">
        <f t="shared" si="43"/>
        <v>×</v>
      </c>
      <c r="BC106" s="768" t="str">
        <f t="shared" si="44"/>
        <v>×</v>
      </c>
      <c r="BD106" s="765" t="str">
        <f t="shared" si="45"/>
        <v>×</v>
      </c>
      <c r="BE106" s="766" t="str">
        <f t="shared" si="46"/>
        <v>×</v>
      </c>
      <c r="BF106" s="768" t="str">
        <f t="shared" si="47"/>
        <v>×</v>
      </c>
      <c r="BG106" s="766" t="s">
        <v>8</v>
      </c>
      <c r="BH106" s="804" t="str">
        <f t="shared" si="49"/>
        <v>×</v>
      </c>
      <c r="BI106" s="767" t="str">
        <f t="shared" si="51"/>
        <v>×</v>
      </c>
      <c r="BJ106" s="804" t="str">
        <f t="shared" si="52"/>
        <v>×</v>
      </c>
      <c r="BK106" s="765" t="str">
        <f t="shared" si="53"/>
        <v>×</v>
      </c>
      <c r="BL106" s="768" t="str">
        <f t="shared" si="54"/>
        <v>×</v>
      </c>
      <c r="BM106" s="766" t="str">
        <f t="shared" si="48"/>
        <v>×</v>
      </c>
      <c r="BN106" s="805" t="str">
        <f t="shared" si="55"/>
        <v>×</v>
      </c>
      <c r="BO106" s="1198"/>
    </row>
    <row r="107" spans="1:67" ht="13.5" customHeight="1" thickBot="1">
      <c r="A107" s="1196"/>
      <c r="B107" s="551" t="s">
        <v>594</v>
      </c>
      <c r="C107" s="422">
        <v>0</v>
      </c>
      <c r="D107" s="418">
        <v>221</v>
      </c>
      <c r="E107" s="419">
        <v>256</v>
      </c>
      <c r="F107" s="51" t="s">
        <v>637</v>
      </c>
      <c r="G107" s="568" t="s">
        <v>8</v>
      </c>
      <c r="H107" s="51" t="s">
        <v>58</v>
      </c>
      <c r="I107" s="568" t="s">
        <v>8</v>
      </c>
      <c r="J107" s="568" t="s">
        <v>8</v>
      </c>
      <c r="K107" s="51" t="str">
        <f t="shared" si="57"/>
        <v>○</v>
      </c>
      <c r="L107" s="34" t="s">
        <v>638</v>
      </c>
      <c r="M107" s="51" t="s">
        <v>638</v>
      </c>
      <c r="N107" s="34" t="s">
        <v>637</v>
      </c>
      <c r="O107" s="51" t="s">
        <v>58</v>
      </c>
      <c r="P107" s="51" t="s">
        <v>58</v>
      </c>
      <c r="Q107" s="34" t="s">
        <v>637</v>
      </c>
      <c r="R107" s="34" t="s">
        <v>637</v>
      </c>
      <c r="S107" s="34" t="s">
        <v>637</v>
      </c>
      <c r="T107" s="34" t="s">
        <v>637</v>
      </c>
      <c r="U107" s="34" t="s">
        <v>637</v>
      </c>
      <c r="V107" s="706" t="s">
        <v>8</v>
      </c>
      <c r="W107" s="190" t="s">
        <v>1035</v>
      </c>
      <c r="X107" s="34" t="s">
        <v>637</v>
      </c>
      <c r="Y107" s="34" t="s">
        <v>637</v>
      </c>
      <c r="Z107" s="36" t="s">
        <v>645</v>
      </c>
      <c r="AA107" s="34" t="s">
        <v>8</v>
      </c>
      <c r="AB107" s="34" t="s">
        <v>637</v>
      </c>
      <c r="AC107" s="34" t="s">
        <v>637</v>
      </c>
      <c r="AD107" s="706" t="s">
        <v>8</v>
      </c>
      <c r="AE107" s="190" t="s">
        <v>1035</v>
      </c>
      <c r="AF107" s="34" t="str">
        <f t="shared" si="64"/>
        <v>○</v>
      </c>
      <c r="AG107" s="34" t="s">
        <v>637</v>
      </c>
      <c r="AH107" s="706" t="s">
        <v>8</v>
      </c>
      <c r="AI107" s="706" t="s">
        <v>8</v>
      </c>
      <c r="AJ107" s="190" t="s">
        <v>1035</v>
      </c>
      <c r="AK107" s="36" t="s">
        <v>8</v>
      </c>
      <c r="AL107" s="34" t="s">
        <v>8</v>
      </c>
      <c r="AM107" s="36" t="str">
        <f t="shared" si="65"/>
        <v>○</v>
      </c>
      <c r="AN107" s="36"/>
      <c r="AO107" s="428" t="str">
        <f t="shared" si="50"/>
        <v>○(2)</v>
      </c>
      <c r="AP107" s="706" t="s">
        <v>8</v>
      </c>
      <c r="AQ107" s="34" t="s">
        <v>8</v>
      </c>
      <c r="AR107" s="34" t="s">
        <v>8</v>
      </c>
      <c r="AS107" s="706" t="s">
        <v>8</v>
      </c>
      <c r="AT107" s="34" t="s">
        <v>8</v>
      </c>
      <c r="AU107" s="34" t="str">
        <f t="shared" ref="AU107:AU112" si="66">$Z:$Z</f>
        <v>○(2)</v>
      </c>
      <c r="AV107" s="34" t="s">
        <v>58</v>
      </c>
      <c r="AW107" s="36" t="str">
        <f t="shared" si="58"/>
        <v>×</v>
      </c>
      <c r="AX107" s="927" t="s">
        <v>8</v>
      </c>
      <c r="AY107" s="706" t="s">
        <v>8</v>
      </c>
      <c r="AZ107" s="928" t="s">
        <v>8</v>
      </c>
      <c r="BA107" s="813" t="str">
        <f t="shared" si="42"/>
        <v>×</v>
      </c>
      <c r="BB107" s="767" t="str">
        <f t="shared" si="43"/>
        <v>×</v>
      </c>
      <c r="BC107" s="768" t="str">
        <f t="shared" si="44"/>
        <v>×</v>
      </c>
      <c r="BD107" s="765" t="str">
        <f t="shared" si="45"/>
        <v>×</v>
      </c>
      <c r="BE107" s="766" t="str">
        <f t="shared" si="46"/>
        <v>○</v>
      </c>
      <c r="BF107" s="768" t="str">
        <f t="shared" si="47"/>
        <v>○</v>
      </c>
      <c r="BG107" s="766" t="s">
        <v>8</v>
      </c>
      <c r="BH107" s="804" t="str">
        <f t="shared" si="49"/>
        <v>○</v>
      </c>
      <c r="BI107" s="767" t="str">
        <f t="shared" si="51"/>
        <v>×</v>
      </c>
      <c r="BJ107" s="804" t="str">
        <f t="shared" si="52"/>
        <v>×</v>
      </c>
      <c r="BK107" s="765" t="str">
        <f t="shared" si="53"/>
        <v>×</v>
      </c>
      <c r="BL107" s="768" t="str">
        <f t="shared" si="54"/>
        <v>×</v>
      </c>
      <c r="BM107" s="766" t="str">
        <f t="shared" si="48"/>
        <v>○(2)</v>
      </c>
      <c r="BN107" s="805" t="str">
        <f t="shared" si="55"/>
        <v>○(2)</v>
      </c>
      <c r="BO107" s="1198"/>
    </row>
    <row r="108" spans="1:67" ht="13.5" customHeight="1" thickBot="1">
      <c r="A108" s="1196"/>
      <c r="B108" s="551" t="s">
        <v>595</v>
      </c>
      <c r="C108" s="422">
        <v>0</v>
      </c>
      <c r="D108" s="418">
        <v>257</v>
      </c>
      <c r="E108" s="419">
        <v>300</v>
      </c>
      <c r="F108" s="51" t="s">
        <v>637</v>
      </c>
      <c r="G108" s="568" t="s">
        <v>8</v>
      </c>
      <c r="H108" s="51" t="s">
        <v>58</v>
      </c>
      <c r="I108" s="568" t="s">
        <v>8</v>
      </c>
      <c r="J108" s="568" t="s">
        <v>8</v>
      </c>
      <c r="K108" s="51" t="str">
        <f t="shared" si="57"/>
        <v>○</v>
      </c>
      <c r="L108" s="34" t="s">
        <v>638</v>
      </c>
      <c r="M108" s="51" t="s">
        <v>637</v>
      </c>
      <c r="N108" s="34" t="s">
        <v>637</v>
      </c>
      <c r="O108" s="51" t="s">
        <v>58</v>
      </c>
      <c r="P108" s="51" t="s">
        <v>58</v>
      </c>
      <c r="Q108" s="34" t="s">
        <v>637</v>
      </c>
      <c r="R108" s="34" t="s">
        <v>637</v>
      </c>
      <c r="S108" s="34" t="s">
        <v>637</v>
      </c>
      <c r="T108" s="34" t="s">
        <v>637</v>
      </c>
      <c r="U108" s="34" t="s">
        <v>8</v>
      </c>
      <c r="V108" s="706" t="s">
        <v>8</v>
      </c>
      <c r="W108" s="190" t="s">
        <v>1035</v>
      </c>
      <c r="X108" s="34" t="s">
        <v>637</v>
      </c>
      <c r="Y108" s="34" t="s">
        <v>637</v>
      </c>
      <c r="Z108" s="36" t="s">
        <v>645</v>
      </c>
      <c r="AA108" s="34" t="s">
        <v>8</v>
      </c>
      <c r="AB108" s="34" t="s">
        <v>637</v>
      </c>
      <c r="AC108" s="34" t="s">
        <v>8</v>
      </c>
      <c r="AD108" s="706" t="s">
        <v>8</v>
      </c>
      <c r="AE108" s="34" t="s">
        <v>8</v>
      </c>
      <c r="AF108" s="34" t="str">
        <f t="shared" si="64"/>
        <v>○</v>
      </c>
      <c r="AG108" s="34" t="s">
        <v>8</v>
      </c>
      <c r="AH108" s="706" t="s">
        <v>8</v>
      </c>
      <c r="AI108" s="706" t="s">
        <v>8</v>
      </c>
      <c r="AJ108" s="34" t="s">
        <v>8</v>
      </c>
      <c r="AK108" s="36" t="s">
        <v>8</v>
      </c>
      <c r="AL108" s="34" t="s">
        <v>8</v>
      </c>
      <c r="AM108" s="36" t="str">
        <f t="shared" si="65"/>
        <v>○</v>
      </c>
      <c r="AN108" s="36"/>
      <c r="AO108" s="428" t="str">
        <f t="shared" si="50"/>
        <v>○(2)</v>
      </c>
      <c r="AP108" s="706" t="s">
        <v>8</v>
      </c>
      <c r="AQ108" s="34" t="s">
        <v>8</v>
      </c>
      <c r="AR108" s="34" t="s">
        <v>8</v>
      </c>
      <c r="AS108" s="706" t="s">
        <v>8</v>
      </c>
      <c r="AT108" s="34" t="s">
        <v>8</v>
      </c>
      <c r="AU108" s="34" t="str">
        <f t="shared" si="66"/>
        <v>○(2)</v>
      </c>
      <c r="AV108" s="34" t="s">
        <v>58</v>
      </c>
      <c r="AW108" s="36" t="str">
        <f t="shared" si="58"/>
        <v>×</v>
      </c>
      <c r="AX108" s="927" t="s">
        <v>8</v>
      </c>
      <c r="AY108" s="706" t="s">
        <v>8</v>
      </c>
      <c r="AZ108" s="928" t="s">
        <v>8</v>
      </c>
      <c r="BA108" s="813" t="str">
        <f t="shared" si="42"/>
        <v>×</v>
      </c>
      <c r="BB108" s="767" t="str">
        <f t="shared" si="43"/>
        <v>×</v>
      </c>
      <c r="BC108" s="768" t="str">
        <f t="shared" si="44"/>
        <v>×</v>
      </c>
      <c r="BD108" s="765" t="str">
        <f t="shared" si="45"/>
        <v>×</v>
      </c>
      <c r="BE108" s="766" t="str">
        <f t="shared" si="46"/>
        <v>○</v>
      </c>
      <c r="BF108" s="768" t="str">
        <f t="shared" si="47"/>
        <v>○</v>
      </c>
      <c r="BG108" s="766" t="s">
        <v>8</v>
      </c>
      <c r="BH108" s="804" t="str">
        <f t="shared" si="49"/>
        <v>○</v>
      </c>
      <c r="BI108" s="767" t="str">
        <f t="shared" si="51"/>
        <v>×</v>
      </c>
      <c r="BJ108" s="804" t="str">
        <f t="shared" si="52"/>
        <v>×</v>
      </c>
      <c r="BK108" s="765" t="str">
        <f t="shared" si="53"/>
        <v>×</v>
      </c>
      <c r="BL108" s="768" t="str">
        <f t="shared" si="54"/>
        <v>×</v>
      </c>
      <c r="BM108" s="766" t="str">
        <f t="shared" si="48"/>
        <v>○(2)</v>
      </c>
      <c r="BN108" s="805" t="str">
        <f t="shared" si="55"/>
        <v>○(2)</v>
      </c>
      <c r="BO108" s="1198"/>
    </row>
    <row r="109" spans="1:67" ht="13.5" customHeight="1" thickBot="1">
      <c r="A109" s="1196"/>
      <c r="B109" s="551" t="s">
        <v>596</v>
      </c>
      <c r="C109" s="422">
        <v>0</v>
      </c>
      <c r="D109" s="418">
        <v>221</v>
      </c>
      <c r="E109" s="419">
        <v>300</v>
      </c>
      <c r="F109" s="51" t="s">
        <v>637</v>
      </c>
      <c r="G109" s="568" t="s">
        <v>8</v>
      </c>
      <c r="H109" s="51" t="s">
        <v>58</v>
      </c>
      <c r="I109" s="568" t="s">
        <v>8</v>
      </c>
      <c r="J109" s="568" t="s">
        <v>8</v>
      </c>
      <c r="K109" s="51" t="str">
        <f t="shared" si="57"/>
        <v>○</v>
      </c>
      <c r="L109" s="34" t="s">
        <v>638</v>
      </c>
      <c r="M109" s="51" t="s">
        <v>637</v>
      </c>
      <c r="N109" s="34" t="s">
        <v>637</v>
      </c>
      <c r="O109" s="51" t="s">
        <v>58</v>
      </c>
      <c r="P109" s="51" t="s">
        <v>58</v>
      </c>
      <c r="Q109" s="34" t="s">
        <v>637</v>
      </c>
      <c r="R109" s="34" t="s">
        <v>637</v>
      </c>
      <c r="S109" s="34" t="s">
        <v>637</v>
      </c>
      <c r="T109" s="34" t="s">
        <v>637</v>
      </c>
      <c r="U109" s="34" t="s">
        <v>637</v>
      </c>
      <c r="V109" s="706" t="s">
        <v>8</v>
      </c>
      <c r="W109" s="190" t="s">
        <v>1035</v>
      </c>
      <c r="X109" s="34" t="s">
        <v>637</v>
      </c>
      <c r="Y109" s="34" t="s">
        <v>637</v>
      </c>
      <c r="Z109" s="36" t="s">
        <v>645</v>
      </c>
      <c r="AA109" s="34" t="s">
        <v>8</v>
      </c>
      <c r="AB109" s="34" t="s">
        <v>637</v>
      </c>
      <c r="AC109" s="34" t="s">
        <v>637</v>
      </c>
      <c r="AD109" s="706" t="s">
        <v>8</v>
      </c>
      <c r="AE109" s="190" t="s">
        <v>1035</v>
      </c>
      <c r="AF109" s="34" t="str">
        <f t="shared" si="64"/>
        <v>○</v>
      </c>
      <c r="AG109" s="34" t="s">
        <v>637</v>
      </c>
      <c r="AH109" s="706" t="s">
        <v>8</v>
      </c>
      <c r="AI109" s="706" t="s">
        <v>8</v>
      </c>
      <c r="AJ109" s="190" t="s">
        <v>1035</v>
      </c>
      <c r="AK109" s="36" t="s">
        <v>8</v>
      </c>
      <c r="AL109" s="34" t="s">
        <v>8</v>
      </c>
      <c r="AM109" s="36" t="str">
        <f t="shared" si="65"/>
        <v>○</v>
      </c>
      <c r="AN109" s="36"/>
      <c r="AO109" s="428" t="str">
        <f t="shared" si="50"/>
        <v>○(2)</v>
      </c>
      <c r="AP109" s="706" t="s">
        <v>8</v>
      </c>
      <c r="AQ109" s="34" t="s">
        <v>8</v>
      </c>
      <c r="AR109" s="34" t="s">
        <v>8</v>
      </c>
      <c r="AS109" s="706" t="s">
        <v>8</v>
      </c>
      <c r="AT109" s="34" t="s">
        <v>8</v>
      </c>
      <c r="AU109" s="34" t="str">
        <f t="shared" si="66"/>
        <v>○(2)</v>
      </c>
      <c r="AV109" s="34" t="s">
        <v>58</v>
      </c>
      <c r="AW109" s="36" t="str">
        <f t="shared" si="58"/>
        <v>×</v>
      </c>
      <c r="AX109" s="927" t="s">
        <v>8</v>
      </c>
      <c r="AY109" s="706" t="s">
        <v>8</v>
      </c>
      <c r="AZ109" s="928" t="s">
        <v>8</v>
      </c>
      <c r="BA109" s="813" t="str">
        <f t="shared" si="42"/>
        <v>×</v>
      </c>
      <c r="BB109" s="767" t="str">
        <f t="shared" si="43"/>
        <v>×</v>
      </c>
      <c r="BC109" s="768" t="str">
        <f t="shared" si="44"/>
        <v>×</v>
      </c>
      <c r="BD109" s="765" t="str">
        <f t="shared" si="45"/>
        <v>×</v>
      </c>
      <c r="BE109" s="766" t="str">
        <f t="shared" si="46"/>
        <v>○</v>
      </c>
      <c r="BF109" s="768" t="str">
        <f t="shared" si="47"/>
        <v>○</v>
      </c>
      <c r="BG109" s="766" t="s">
        <v>8</v>
      </c>
      <c r="BH109" s="804" t="str">
        <f t="shared" si="49"/>
        <v>○</v>
      </c>
      <c r="BI109" s="767" t="str">
        <f t="shared" si="51"/>
        <v>×</v>
      </c>
      <c r="BJ109" s="804" t="str">
        <f t="shared" si="52"/>
        <v>×</v>
      </c>
      <c r="BK109" s="765" t="str">
        <f t="shared" si="53"/>
        <v>×</v>
      </c>
      <c r="BL109" s="768" t="str">
        <f t="shared" si="54"/>
        <v>×</v>
      </c>
      <c r="BM109" s="766" t="str">
        <f t="shared" si="48"/>
        <v>○(2)</v>
      </c>
      <c r="BN109" s="805" t="str">
        <f t="shared" si="55"/>
        <v>○(2)</v>
      </c>
      <c r="BO109" s="1198"/>
    </row>
    <row r="110" spans="1:67" ht="13.5" customHeight="1" thickBot="1">
      <c r="A110" s="1196"/>
      <c r="B110" s="551" t="s">
        <v>600</v>
      </c>
      <c r="C110" s="422">
        <v>0</v>
      </c>
      <c r="D110" s="418">
        <v>221</v>
      </c>
      <c r="E110" s="419">
        <v>256</v>
      </c>
      <c r="F110" s="51" t="s">
        <v>637</v>
      </c>
      <c r="G110" s="568" t="s">
        <v>8</v>
      </c>
      <c r="H110" s="51" t="s">
        <v>58</v>
      </c>
      <c r="I110" s="568" t="s">
        <v>8</v>
      </c>
      <c r="J110" s="568" t="s">
        <v>8</v>
      </c>
      <c r="K110" s="51" t="str">
        <f>F110</f>
        <v>○</v>
      </c>
      <c r="L110" s="34" t="s">
        <v>638</v>
      </c>
      <c r="M110" s="51" t="s">
        <v>637</v>
      </c>
      <c r="N110" s="34" t="s">
        <v>637</v>
      </c>
      <c r="O110" s="51" t="s">
        <v>58</v>
      </c>
      <c r="P110" s="51" t="s">
        <v>58</v>
      </c>
      <c r="Q110" s="34" t="s">
        <v>637</v>
      </c>
      <c r="R110" s="34" t="s">
        <v>8</v>
      </c>
      <c r="S110" s="34" t="s">
        <v>637</v>
      </c>
      <c r="T110" s="34" t="s">
        <v>637</v>
      </c>
      <c r="U110" s="34" t="s">
        <v>637</v>
      </c>
      <c r="V110" s="706" t="s">
        <v>8</v>
      </c>
      <c r="W110" s="190" t="s">
        <v>1035</v>
      </c>
      <c r="X110" s="34" t="s">
        <v>637</v>
      </c>
      <c r="Y110" s="34" t="s">
        <v>637</v>
      </c>
      <c r="Z110" s="34" t="s">
        <v>8</v>
      </c>
      <c r="AA110" s="34" t="s">
        <v>8</v>
      </c>
      <c r="AB110" s="34" t="s">
        <v>637</v>
      </c>
      <c r="AC110" s="34" t="s">
        <v>637</v>
      </c>
      <c r="AD110" s="706" t="s">
        <v>8</v>
      </c>
      <c r="AE110" s="190" t="s">
        <v>1035</v>
      </c>
      <c r="AF110" s="34" t="str">
        <f t="shared" si="64"/>
        <v>○</v>
      </c>
      <c r="AG110" s="34" t="s">
        <v>637</v>
      </c>
      <c r="AH110" s="706" t="s">
        <v>8</v>
      </c>
      <c r="AI110" s="706" t="s">
        <v>8</v>
      </c>
      <c r="AJ110" s="190" t="s">
        <v>1035</v>
      </c>
      <c r="AK110" s="36" t="s">
        <v>8</v>
      </c>
      <c r="AL110" s="34" t="s">
        <v>8</v>
      </c>
      <c r="AM110" s="36" t="str">
        <f t="shared" si="65"/>
        <v>○</v>
      </c>
      <c r="AN110" s="36"/>
      <c r="AO110" s="428" t="str">
        <f t="shared" si="50"/>
        <v>×</v>
      </c>
      <c r="AP110" s="706" t="s">
        <v>8</v>
      </c>
      <c r="AQ110" s="34" t="s">
        <v>8</v>
      </c>
      <c r="AR110" s="34" t="s">
        <v>8</v>
      </c>
      <c r="AS110" s="706" t="s">
        <v>8</v>
      </c>
      <c r="AT110" s="34" t="s">
        <v>8</v>
      </c>
      <c r="AU110" s="34" t="str">
        <f t="shared" si="66"/>
        <v>×</v>
      </c>
      <c r="AV110" s="34" t="s">
        <v>58</v>
      </c>
      <c r="AW110" s="36" t="str">
        <f t="shared" si="58"/>
        <v>×</v>
      </c>
      <c r="AX110" s="927" t="s">
        <v>8</v>
      </c>
      <c r="AY110" s="706" t="s">
        <v>8</v>
      </c>
      <c r="AZ110" s="928" t="s">
        <v>8</v>
      </c>
      <c r="BA110" s="813" t="str">
        <f t="shared" si="42"/>
        <v>×</v>
      </c>
      <c r="BB110" s="767" t="str">
        <f t="shared" si="43"/>
        <v>×</v>
      </c>
      <c r="BC110" s="768" t="str">
        <f t="shared" si="44"/>
        <v>×</v>
      </c>
      <c r="BD110" s="765" t="str">
        <f t="shared" si="45"/>
        <v>×</v>
      </c>
      <c r="BE110" s="766" t="str">
        <f t="shared" si="46"/>
        <v>×</v>
      </c>
      <c r="BF110" s="768" t="str">
        <f t="shared" si="47"/>
        <v>×</v>
      </c>
      <c r="BG110" s="766" t="s">
        <v>8</v>
      </c>
      <c r="BH110" s="804" t="str">
        <f t="shared" si="49"/>
        <v>×</v>
      </c>
      <c r="BI110" s="767" t="str">
        <f t="shared" si="51"/>
        <v>×</v>
      </c>
      <c r="BJ110" s="804" t="str">
        <f t="shared" si="52"/>
        <v>×</v>
      </c>
      <c r="BK110" s="765" t="str">
        <f t="shared" si="53"/>
        <v>×</v>
      </c>
      <c r="BL110" s="768" t="str">
        <f t="shared" si="54"/>
        <v>×</v>
      </c>
      <c r="BM110" s="766" t="str">
        <f t="shared" si="48"/>
        <v>×</v>
      </c>
      <c r="BN110" s="805" t="str">
        <f t="shared" si="55"/>
        <v>×</v>
      </c>
      <c r="BO110" s="1198"/>
    </row>
    <row r="111" spans="1:67" ht="13.5" customHeight="1" thickBot="1">
      <c r="A111" s="1196"/>
      <c r="B111" s="551" t="s">
        <v>601</v>
      </c>
      <c r="C111" s="422">
        <v>0</v>
      </c>
      <c r="D111" s="418">
        <v>257</v>
      </c>
      <c r="E111" s="419">
        <v>300</v>
      </c>
      <c r="F111" s="51" t="s">
        <v>637</v>
      </c>
      <c r="G111" s="568" t="s">
        <v>8</v>
      </c>
      <c r="H111" s="51" t="s">
        <v>58</v>
      </c>
      <c r="I111" s="568" t="s">
        <v>8</v>
      </c>
      <c r="J111" s="568" t="s">
        <v>8</v>
      </c>
      <c r="K111" s="51" t="str">
        <f>F111</f>
        <v>○</v>
      </c>
      <c r="L111" s="34" t="s">
        <v>638</v>
      </c>
      <c r="M111" s="51" t="s">
        <v>637</v>
      </c>
      <c r="N111" s="34" t="s">
        <v>637</v>
      </c>
      <c r="O111" s="51" t="s">
        <v>58</v>
      </c>
      <c r="P111" s="51" t="s">
        <v>58</v>
      </c>
      <c r="Q111" s="34" t="s">
        <v>637</v>
      </c>
      <c r="R111" s="34" t="s">
        <v>8</v>
      </c>
      <c r="S111" s="34" t="s">
        <v>637</v>
      </c>
      <c r="T111" s="34" t="s">
        <v>637</v>
      </c>
      <c r="U111" s="34" t="s">
        <v>8</v>
      </c>
      <c r="V111" s="706" t="s">
        <v>8</v>
      </c>
      <c r="W111" s="190" t="s">
        <v>1035</v>
      </c>
      <c r="X111" s="34" t="s">
        <v>637</v>
      </c>
      <c r="Y111" s="34" t="s">
        <v>637</v>
      </c>
      <c r="Z111" s="34" t="s">
        <v>8</v>
      </c>
      <c r="AA111" s="34" t="s">
        <v>8</v>
      </c>
      <c r="AB111" s="34" t="s">
        <v>637</v>
      </c>
      <c r="AC111" s="34" t="s">
        <v>8</v>
      </c>
      <c r="AD111" s="706" t="s">
        <v>8</v>
      </c>
      <c r="AE111" s="34" t="s">
        <v>8</v>
      </c>
      <c r="AF111" s="34" t="str">
        <f t="shared" si="64"/>
        <v>○</v>
      </c>
      <c r="AG111" s="34" t="s">
        <v>8</v>
      </c>
      <c r="AH111" s="706" t="s">
        <v>8</v>
      </c>
      <c r="AI111" s="706" t="s">
        <v>8</v>
      </c>
      <c r="AJ111" s="34" t="s">
        <v>8</v>
      </c>
      <c r="AK111" s="36" t="s">
        <v>8</v>
      </c>
      <c r="AL111" s="34" t="s">
        <v>8</v>
      </c>
      <c r="AM111" s="36" t="str">
        <f t="shared" si="65"/>
        <v>○</v>
      </c>
      <c r="AN111" s="36"/>
      <c r="AO111" s="428" t="str">
        <f t="shared" si="50"/>
        <v>×</v>
      </c>
      <c r="AP111" s="706" t="s">
        <v>8</v>
      </c>
      <c r="AQ111" s="34" t="s">
        <v>8</v>
      </c>
      <c r="AR111" s="34" t="s">
        <v>8</v>
      </c>
      <c r="AS111" s="706" t="s">
        <v>8</v>
      </c>
      <c r="AT111" s="34" t="s">
        <v>8</v>
      </c>
      <c r="AU111" s="34" t="str">
        <f t="shared" si="66"/>
        <v>×</v>
      </c>
      <c r="AV111" s="34" t="s">
        <v>58</v>
      </c>
      <c r="AW111" s="36" t="str">
        <f t="shared" si="58"/>
        <v>×</v>
      </c>
      <c r="AX111" s="927" t="s">
        <v>8</v>
      </c>
      <c r="AY111" s="706" t="s">
        <v>8</v>
      </c>
      <c r="AZ111" s="928" t="s">
        <v>8</v>
      </c>
      <c r="BA111" s="813" t="str">
        <f t="shared" si="42"/>
        <v>×</v>
      </c>
      <c r="BB111" s="767" t="str">
        <f t="shared" si="43"/>
        <v>×</v>
      </c>
      <c r="BC111" s="768" t="str">
        <f t="shared" si="44"/>
        <v>×</v>
      </c>
      <c r="BD111" s="765" t="str">
        <f t="shared" si="45"/>
        <v>×</v>
      </c>
      <c r="BE111" s="766" t="str">
        <f t="shared" si="46"/>
        <v>×</v>
      </c>
      <c r="BF111" s="768" t="str">
        <f t="shared" si="47"/>
        <v>×</v>
      </c>
      <c r="BG111" s="766" t="s">
        <v>8</v>
      </c>
      <c r="BH111" s="804" t="str">
        <f t="shared" si="49"/>
        <v>×</v>
      </c>
      <c r="BI111" s="767" t="str">
        <f t="shared" si="51"/>
        <v>×</v>
      </c>
      <c r="BJ111" s="804" t="str">
        <f t="shared" si="52"/>
        <v>×</v>
      </c>
      <c r="BK111" s="765" t="str">
        <f t="shared" si="53"/>
        <v>×</v>
      </c>
      <c r="BL111" s="768" t="str">
        <f t="shared" si="54"/>
        <v>×</v>
      </c>
      <c r="BM111" s="766" t="str">
        <f t="shared" si="48"/>
        <v>×</v>
      </c>
      <c r="BN111" s="805" t="str">
        <f t="shared" si="55"/>
        <v>×</v>
      </c>
      <c r="BO111" s="1198"/>
    </row>
    <row r="112" spans="1:67" ht="13.5" customHeight="1" thickBot="1">
      <c r="A112" s="1196"/>
      <c r="B112" s="551" t="s">
        <v>602</v>
      </c>
      <c r="C112" s="422">
        <v>0</v>
      </c>
      <c r="D112" s="456">
        <v>221</v>
      </c>
      <c r="E112" s="420">
        <v>300</v>
      </c>
      <c r="F112" s="51" t="s">
        <v>637</v>
      </c>
      <c r="G112" s="568" t="s">
        <v>8</v>
      </c>
      <c r="H112" s="51" t="s">
        <v>58</v>
      </c>
      <c r="I112" s="568" t="s">
        <v>8</v>
      </c>
      <c r="J112" s="568" t="s">
        <v>8</v>
      </c>
      <c r="K112" s="51" t="str">
        <f>F112</f>
        <v>○</v>
      </c>
      <c r="L112" s="34" t="s">
        <v>638</v>
      </c>
      <c r="M112" s="51" t="s">
        <v>637</v>
      </c>
      <c r="N112" s="34" t="s">
        <v>637</v>
      </c>
      <c r="O112" s="51" t="s">
        <v>58</v>
      </c>
      <c r="P112" s="51" t="s">
        <v>58</v>
      </c>
      <c r="Q112" s="34" t="s">
        <v>637</v>
      </c>
      <c r="R112" s="34" t="s">
        <v>8</v>
      </c>
      <c r="S112" s="34" t="s">
        <v>637</v>
      </c>
      <c r="T112" s="34" t="s">
        <v>637</v>
      </c>
      <c r="U112" s="34" t="s">
        <v>637</v>
      </c>
      <c r="V112" s="706" t="s">
        <v>8</v>
      </c>
      <c r="W112" s="190" t="s">
        <v>1035</v>
      </c>
      <c r="X112" s="34" t="s">
        <v>637</v>
      </c>
      <c r="Y112" s="34" t="s">
        <v>637</v>
      </c>
      <c r="Z112" s="34" t="s">
        <v>8</v>
      </c>
      <c r="AA112" s="34" t="s">
        <v>8</v>
      </c>
      <c r="AB112" s="34" t="s">
        <v>637</v>
      </c>
      <c r="AC112" s="34" t="s">
        <v>637</v>
      </c>
      <c r="AD112" s="706" t="s">
        <v>8</v>
      </c>
      <c r="AE112" s="190" t="s">
        <v>1035</v>
      </c>
      <c r="AF112" s="34" t="str">
        <f t="shared" si="64"/>
        <v>○</v>
      </c>
      <c r="AG112" s="34" t="s">
        <v>637</v>
      </c>
      <c r="AH112" s="706" t="s">
        <v>8</v>
      </c>
      <c r="AI112" s="706" t="s">
        <v>8</v>
      </c>
      <c r="AJ112" s="190" t="s">
        <v>1035</v>
      </c>
      <c r="AK112" s="36" t="s">
        <v>8</v>
      </c>
      <c r="AL112" s="34" t="s">
        <v>8</v>
      </c>
      <c r="AM112" s="36" t="str">
        <f t="shared" si="65"/>
        <v>○</v>
      </c>
      <c r="AN112" s="36"/>
      <c r="AO112" s="428" t="str">
        <f t="shared" si="50"/>
        <v>×</v>
      </c>
      <c r="AP112" s="706" t="s">
        <v>8</v>
      </c>
      <c r="AQ112" s="34" t="s">
        <v>8</v>
      </c>
      <c r="AR112" s="34" t="s">
        <v>8</v>
      </c>
      <c r="AS112" s="706" t="s">
        <v>8</v>
      </c>
      <c r="AT112" s="34" t="s">
        <v>8</v>
      </c>
      <c r="AU112" s="34" t="str">
        <f t="shared" si="66"/>
        <v>×</v>
      </c>
      <c r="AV112" s="34" t="s">
        <v>58</v>
      </c>
      <c r="AW112" s="36" t="str">
        <f t="shared" si="58"/>
        <v>×</v>
      </c>
      <c r="AX112" s="927" t="s">
        <v>8</v>
      </c>
      <c r="AY112" s="706" t="s">
        <v>8</v>
      </c>
      <c r="AZ112" s="928" t="s">
        <v>8</v>
      </c>
      <c r="BA112" s="813" t="str">
        <f t="shared" si="42"/>
        <v>×</v>
      </c>
      <c r="BB112" s="767" t="str">
        <f t="shared" si="43"/>
        <v>×</v>
      </c>
      <c r="BC112" s="768" t="str">
        <f t="shared" si="44"/>
        <v>×</v>
      </c>
      <c r="BD112" s="765" t="str">
        <f t="shared" si="45"/>
        <v>×</v>
      </c>
      <c r="BE112" s="767" t="str">
        <f t="shared" si="46"/>
        <v>×</v>
      </c>
      <c r="BF112" s="768" t="str">
        <f t="shared" si="47"/>
        <v>×</v>
      </c>
      <c r="BG112" s="766" t="s">
        <v>8</v>
      </c>
      <c r="BH112" s="804" t="str">
        <f t="shared" si="49"/>
        <v>×</v>
      </c>
      <c r="BI112" s="767" t="str">
        <f t="shared" si="51"/>
        <v>×</v>
      </c>
      <c r="BJ112" s="804" t="str">
        <f t="shared" si="52"/>
        <v>×</v>
      </c>
      <c r="BK112" s="765" t="str">
        <f t="shared" si="53"/>
        <v>×</v>
      </c>
      <c r="BL112" s="768" t="str">
        <f t="shared" si="54"/>
        <v>×</v>
      </c>
      <c r="BM112" s="766" t="str">
        <f t="shared" si="48"/>
        <v>×</v>
      </c>
      <c r="BN112" s="805" t="str">
        <f t="shared" si="55"/>
        <v>×</v>
      </c>
      <c r="BO112" s="1198"/>
    </row>
    <row r="113" spans="1:67" ht="13.5" customHeight="1">
      <c r="A113" s="1167" t="s">
        <v>207</v>
      </c>
      <c r="B113" s="715" t="s">
        <v>963</v>
      </c>
      <c r="C113" s="422">
        <v>0</v>
      </c>
      <c r="D113" s="456">
        <v>106</v>
      </c>
      <c r="E113" s="420">
        <v>135</v>
      </c>
      <c r="F113" s="51" t="s">
        <v>637</v>
      </c>
      <c r="G113" s="568" t="s">
        <v>8</v>
      </c>
      <c r="H113" s="51" t="s">
        <v>58</v>
      </c>
      <c r="I113" s="568" t="s">
        <v>8</v>
      </c>
      <c r="J113" s="568" t="s">
        <v>8</v>
      </c>
      <c r="K113" s="51" t="str">
        <f t="shared" ref="K113:K124" si="67">F113</f>
        <v>○</v>
      </c>
      <c r="L113" s="34" t="s">
        <v>638</v>
      </c>
      <c r="M113" s="34" t="s">
        <v>637</v>
      </c>
      <c r="N113" s="34" t="s">
        <v>637</v>
      </c>
      <c r="O113" s="51" t="s">
        <v>58</v>
      </c>
      <c r="P113" s="51" t="s">
        <v>58</v>
      </c>
      <c r="Q113" s="34" t="s">
        <v>637</v>
      </c>
      <c r="R113" s="34" t="s">
        <v>637</v>
      </c>
      <c r="S113" s="34" t="s">
        <v>637</v>
      </c>
      <c r="T113" s="34" t="s">
        <v>637</v>
      </c>
      <c r="U113" s="34" t="s">
        <v>637</v>
      </c>
      <c r="V113" s="706" t="s">
        <v>8</v>
      </c>
      <c r="W113" s="34" t="s">
        <v>638</v>
      </c>
      <c r="X113" s="34" t="s">
        <v>637</v>
      </c>
      <c r="Y113" s="34" t="s">
        <v>637</v>
      </c>
      <c r="Z113" s="34" t="s">
        <v>637</v>
      </c>
      <c r="AA113" s="34" t="s">
        <v>8</v>
      </c>
      <c r="AB113" s="34" t="s">
        <v>637</v>
      </c>
      <c r="AC113" s="34" t="s">
        <v>637</v>
      </c>
      <c r="AD113" s="706" t="s">
        <v>8</v>
      </c>
      <c r="AE113" s="34" t="s">
        <v>638</v>
      </c>
      <c r="AF113" s="34" t="str">
        <f t="shared" si="64"/>
        <v>○</v>
      </c>
      <c r="AG113" s="34" t="s">
        <v>637</v>
      </c>
      <c r="AH113" s="706" t="s">
        <v>8</v>
      </c>
      <c r="AI113" s="706" t="s">
        <v>8</v>
      </c>
      <c r="AJ113" s="34" t="s">
        <v>638</v>
      </c>
      <c r="AK113" s="36" t="s">
        <v>8</v>
      </c>
      <c r="AL113" s="34" t="s">
        <v>8</v>
      </c>
      <c r="AM113" s="34" t="str">
        <f t="shared" si="65"/>
        <v>○</v>
      </c>
      <c r="AN113" s="36"/>
      <c r="AO113" s="428" t="str">
        <f t="shared" si="50"/>
        <v>○</v>
      </c>
      <c r="AP113" s="706" t="s">
        <v>8</v>
      </c>
      <c r="AQ113" s="34" t="s">
        <v>638</v>
      </c>
      <c r="AR113" s="34" t="s">
        <v>638</v>
      </c>
      <c r="AS113" s="706" t="s">
        <v>8</v>
      </c>
      <c r="AT113" s="34" t="s">
        <v>8</v>
      </c>
      <c r="AU113" s="34" t="str">
        <f t="shared" ref="AU113:AU123" si="68">$Z:$Z</f>
        <v>○</v>
      </c>
      <c r="AV113" s="34" t="s">
        <v>58</v>
      </c>
      <c r="AW113" s="36" t="str">
        <f t="shared" si="58"/>
        <v>×</v>
      </c>
      <c r="AX113" s="927" t="s">
        <v>8</v>
      </c>
      <c r="AY113" s="706" t="s">
        <v>8</v>
      </c>
      <c r="AZ113" s="928" t="s">
        <v>8</v>
      </c>
      <c r="BA113" s="813" t="str">
        <f t="shared" si="42"/>
        <v>×</v>
      </c>
      <c r="BB113" s="767" t="str">
        <f t="shared" si="43"/>
        <v>×</v>
      </c>
      <c r="BC113" s="768" t="str">
        <f t="shared" si="44"/>
        <v>×</v>
      </c>
      <c r="BD113" s="765" t="str">
        <f t="shared" si="45"/>
        <v>×</v>
      </c>
      <c r="BE113" s="767" t="str">
        <f t="shared" si="46"/>
        <v>○</v>
      </c>
      <c r="BF113" s="768" t="str">
        <f t="shared" si="47"/>
        <v>○</v>
      </c>
      <c r="BG113" s="766" t="s">
        <v>8</v>
      </c>
      <c r="BH113" s="804" t="str">
        <f t="shared" si="49"/>
        <v>○</v>
      </c>
      <c r="BI113" s="767" t="str">
        <f t="shared" si="51"/>
        <v>×</v>
      </c>
      <c r="BJ113" s="804" t="str">
        <f t="shared" si="52"/>
        <v>×</v>
      </c>
      <c r="BK113" s="765" t="str">
        <f t="shared" si="53"/>
        <v>×</v>
      </c>
      <c r="BL113" s="768" t="str">
        <f t="shared" si="54"/>
        <v>×</v>
      </c>
      <c r="BM113" s="766" t="str">
        <f t="shared" si="48"/>
        <v>○</v>
      </c>
      <c r="BN113" s="805" t="str">
        <f t="shared" si="55"/>
        <v>○</v>
      </c>
      <c r="BO113" s="1198"/>
    </row>
    <row r="114" spans="1:67" ht="13.5" customHeight="1">
      <c r="A114" s="1167"/>
      <c r="B114" s="551" t="s">
        <v>778</v>
      </c>
      <c r="C114" s="422"/>
      <c r="D114" s="456">
        <v>136</v>
      </c>
      <c r="E114" s="420">
        <v>157</v>
      </c>
      <c r="F114" s="51" t="s">
        <v>637</v>
      </c>
      <c r="G114" s="568" t="s">
        <v>8</v>
      </c>
      <c r="H114" s="51" t="s">
        <v>58</v>
      </c>
      <c r="I114" s="568" t="s">
        <v>8</v>
      </c>
      <c r="J114" s="568" t="s">
        <v>8</v>
      </c>
      <c r="K114" s="51" t="str">
        <f t="shared" si="67"/>
        <v>○</v>
      </c>
      <c r="L114" s="34" t="s">
        <v>638</v>
      </c>
      <c r="M114" s="34" t="s">
        <v>637</v>
      </c>
      <c r="N114" s="34" t="s">
        <v>637</v>
      </c>
      <c r="O114" s="51" t="s">
        <v>58</v>
      </c>
      <c r="P114" s="51" t="s">
        <v>58</v>
      </c>
      <c r="Q114" s="34" t="s">
        <v>637</v>
      </c>
      <c r="R114" s="34" t="s">
        <v>637</v>
      </c>
      <c r="S114" s="34" t="s">
        <v>637</v>
      </c>
      <c r="T114" s="34" t="s">
        <v>637</v>
      </c>
      <c r="U114" s="34" t="s">
        <v>637</v>
      </c>
      <c r="V114" s="706" t="s">
        <v>8</v>
      </c>
      <c r="W114" s="34" t="s">
        <v>638</v>
      </c>
      <c r="X114" s="34" t="s">
        <v>637</v>
      </c>
      <c r="Y114" s="34" t="s">
        <v>637</v>
      </c>
      <c r="Z114" s="34" t="s">
        <v>637</v>
      </c>
      <c r="AA114" s="34" t="s">
        <v>8</v>
      </c>
      <c r="AB114" s="34" t="s">
        <v>637</v>
      </c>
      <c r="AC114" s="34" t="s">
        <v>637</v>
      </c>
      <c r="AD114" s="706" t="s">
        <v>8</v>
      </c>
      <c r="AE114" s="34" t="s">
        <v>638</v>
      </c>
      <c r="AF114" s="34" t="str">
        <f t="shared" si="64"/>
        <v>○</v>
      </c>
      <c r="AG114" s="34" t="s">
        <v>637</v>
      </c>
      <c r="AH114" s="706" t="s">
        <v>8</v>
      </c>
      <c r="AI114" s="706" t="s">
        <v>8</v>
      </c>
      <c r="AJ114" s="34" t="s">
        <v>638</v>
      </c>
      <c r="AK114" s="36" t="s">
        <v>8</v>
      </c>
      <c r="AL114" s="34" t="s">
        <v>8</v>
      </c>
      <c r="AM114" s="34" t="str">
        <f t="shared" si="65"/>
        <v>○</v>
      </c>
      <c r="AN114" s="36"/>
      <c r="AO114" s="428" t="str">
        <f t="shared" si="50"/>
        <v>○</v>
      </c>
      <c r="AP114" s="706" t="s">
        <v>8</v>
      </c>
      <c r="AQ114" s="34" t="s">
        <v>638</v>
      </c>
      <c r="AR114" s="34" t="s">
        <v>638</v>
      </c>
      <c r="AS114" s="706" t="s">
        <v>8</v>
      </c>
      <c r="AT114" s="34" t="s">
        <v>8</v>
      </c>
      <c r="AU114" s="34" t="str">
        <f t="shared" si="68"/>
        <v>○</v>
      </c>
      <c r="AV114" s="34" t="s">
        <v>58</v>
      </c>
      <c r="AW114" s="36" t="str">
        <f t="shared" si="58"/>
        <v>×</v>
      </c>
      <c r="AX114" s="927" t="s">
        <v>8</v>
      </c>
      <c r="AY114" s="706" t="s">
        <v>8</v>
      </c>
      <c r="AZ114" s="928" t="s">
        <v>8</v>
      </c>
      <c r="BA114" s="813" t="str">
        <f t="shared" si="42"/>
        <v>×</v>
      </c>
      <c r="BB114" s="767" t="str">
        <f t="shared" si="43"/>
        <v>×</v>
      </c>
      <c r="BC114" s="768" t="str">
        <f t="shared" si="44"/>
        <v>×</v>
      </c>
      <c r="BD114" s="765" t="str">
        <f t="shared" si="45"/>
        <v>×</v>
      </c>
      <c r="BE114" s="767" t="str">
        <f t="shared" si="46"/>
        <v>○</v>
      </c>
      <c r="BF114" s="768" t="str">
        <f t="shared" si="47"/>
        <v>○</v>
      </c>
      <c r="BG114" s="766" t="s">
        <v>8</v>
      </c>
      <c r="BH114" s="804" t="str">
        <f t="shared" si="49"/>
        <v>○</v>
      </c>
      <c r="BI114" s="767" t="str">
        <f t="shared" si="51"/>
        <v>×</v>
      </c>
      <c r="BJ114" s="804" t="str">
        <f t="shared" si="52"/>
        <v>×</v>
      </c>
      <c r="BK114" s="765" t="str">
        <f t="shared" si="53"/>
        <v>×</v>
      </c>
      <c r="BL114" s="768" t="str">
        <f t="shared" si="54"/>
        <v>×</v>
      </c>
      <c r="BM114" s="766" t="str">
        <f t="shared" si="48"/>
        <v>○</v>
      </c>
      <c r="BN114" s="805" t="str">
        <f t="shared" si="55"/>
        <v>○</v>
      </c>
      <c r="BO114" s="1198"/>
    </row>
    <row r="115" spans="1:67" ht="13.5" customHeight="1">
      <c r="A115" s="1167"/>
      <c r="B115" s="551" t="s">
        <v>779</v>
      </c>
      <c r="C115" s="422"/>
      <c r="D115" s="456">
        <v>158</v>
      </c>
      <c r="E115" s="420">
        <v>176</v>
      </c>
      <c r="F115" s="51" t="s">
        <v>637</v>
      </c>
      <c r="G115" s="568" t="s">
        <v>8</v>
      </c>
      <c r="H115" s="51" t="s">
        <v>58</v>
      </c>
      <c r="I115" s="568" t="s">
        <v>8</v>
      </c>
      <c r="J115" s="568" t="s">
        <v>8</v>
      </c>
      <c r="K115" s="51" t="str">
        <f t="shared" si="67"/>
        <v>○</v>
      </c>
      <c r="L115" s="34" t="s">
        <v>638</v>
      </c>
      <c r="M115" s="34" t="s">
        <v>637</v>
      </c>
      <c r="N115" s="34" t="s">
        <v>637</v>
      </c>
      <c r="O115" s="51" t="s">
        <v>58</v>
      </c>
      <c r="P115" s="51" t="s">
        <v>58</v>
      </c>
      <c r="Q115" s="34" t="s">
        <v>637</v>
      </c>
      <c r="R115" s="34" t="s">
        <v>637</v>
      </c>
      <c r="S115" s="34" t="s">
        <v>637</v>
      </c>
      <c r="T115" s="34" t="s">
        <v>637</v>
      </c>
      <c r="U115" s="34" t="s">
        <v>637</v>
      </c>
      <c r="V115" s="706" t="s">
        <v>8</v>
      </c>
      <c r="W115" s="34" t="s">
        <v>638</v>
      </c>
      <c r="X115" s="34" t="s">
        <v>637</v>
      </c>
      <c r="Y115" s="34" t="s">
        <v>637</v>
      </c>
      <c r="Z115" s="34" t="s">
        <v>637</v>
      </c>
      <c r="AA115" s="34" t="s">
        <v>8</v>
      </c>
      <c r="AB115" s="34" t="s">
        <v>637</v>
      </c>
      <c r="AC115" s="34" t="s">
        <v>637</v>
      </c>
      <c r="AD115" s="706" t="s">
        <v>8</v>
      </c>
      <c r="AE115" s="34" t="s">
        <v>638</v>
      </c>
      <c r="AF115" s="34" t="str">
        <f t="shared" si="64"/>
        <v>○</v>
      </c>
      <c r="AG115" s="34" t="s">
        <v>637</v>
      </c>
      <c r="AH115" s="706" t="s">
        <v>8</v>
      </c>
      <c r="AI115" s="706" t="s">
        <v>8</v>
      </c>
      <c r="AJ115" s="34" t="s">
        <v>638</v>
      </c>
      <c r="AK115" s="36" t="s">
        <v>8</v>
      </c>
      <c r="AL115" s="34" t="s">
        <v>8</v>
      </c>
      <c r="AM115" s="34" t="str">
        <f t="shared" si="65"/>
        <v>○</v>
      </c>
      <c r="AN115" s="36"/>
      <c r="AO115" s="428" t="str">
        <f t="shared" si="50"/>
        <v>○</v>
      </c>
      <c r="AP115" s="706" t="s">
        <v>8</v>
      </c>
      <c r="AQ115" s="34" t="s">
        <v>638</v>
      </c>
      <c r="AR115" s="34" t="s">
        <v>638</v>
      </c>
      <c r="AS115" s="706" t="s">
        <v>8</v>
      </c>
      <c r="AT115" s="34" t="s">
        <v>8</v>
      </c>
      <c r="AU115" s="34" t="str">
        <f t="shared" si="68"/>
        <v>○</v>
      </c>
      <c r="AV115" s="34" t="s">
        <v>58</v>
      </c>
      <c r="AW115" s="36" t="str">
        <f t="shared" si="58"/>
        <v>×</v>
      </c>
      <c r="AX115" s="927" t="s">
        <v>8</v>
      </c>
      <c r="AY115" s="706" t="s">
        <v>8</v>
      </c>
      <c r="AZ115" s="928" t="s">
        <v>8</v>
      </c>
      <c r="BA115" s="813" t="str">
        <f t="shared" si="42"/>
        <v>×</v>
      </c>
      <c r="BB115" s="767" t="str">
        <f t="shared" si="43"/>
        <v>×</v>
      </c>
      <c r="BC115" s="768" t="str">
        <f t="shared" si="44"/>
        <v>×</v>
      </c>
      <c r="BD115" s="765" t="str">
        <f t="shared" si="45"/>
        <v>×</v>
      </c>
      <c r="BE115" s="767" t="str">
        <f t="shared" si="46"/>
        <v>○</v>
      </c>
      <c r="BF115" s="768" t="str">
        <f t="shared" si="47"/>
        <v>○</v>
      </c>
      <c r="BG115" s="766" t="s">
        <v>8</v>
      </c>
      <c r="BH115" s="804" t="str">
        <f t="shared" si="49"/>
        <v>○</v>
      </c>
      <c r="BI115" s="767" t="str">
        <f t="shared" si="51"/>
        <v>×</v>
      </c>
      <c r="BJ115" s="804" t="str">
        <f t="shared" si="52"/>
        <v>×</v>
      </c>
      <c r="BK115" s="765" t="str">
        <f t="shared" si="53"/>
        <v>×</v>
      </c>
      <c r="BL115" s="768" t="str">
        <f t="shared" si="54"/>
        <v>×</v>
      </c>
      <c r="BM115" s="766" t="str">
        <f t="shared" si="48"/>
        <v>○</v>
      </c>
      <c r="BN115" s="805" t="str">
        <f t="shared" si="55"/>
        <v>○</v>
      </c>
      <c r="BO115" s="1198"/>
    </row>
    <row r="116" spans="1:67" ht="13.5" customHeight="1">
      <c r="A116" s="1167"/>
      <c r="B116" s="551" t="s">
        <v>780</v>
      </c>
      <c r="C116" s="422"/>
      <c r="D116" s="456">
        <v>106</v>
      </c>
      <c r="E116" s="420">
        <v>135</v>
      </c>
      <c r="F116" s="51" t="s">
        <v>637</v>
      </c>
      <c r="G116" s="568" t="s">
        <v>8</v>
      </c>
      <c r="H116" s="51" t="s">
        <v>58</v>
      </c>
      <c r="I116" s="568" t="s">
        <v>8</v>
      </c>
      <c r="J116" s="568" t="s">
        <v>8</v>
      </c>
      <c r="K116" s="51" t="str">
        <f t="shared" si="67"/>
        <v>○</v>
      </c>
      <c r="L116" s="34" t="s">
        <v>638</v>
      </c>
      <c r="M116" s="34" t="s">
        <v>637</v>
      </c>
      <c r="N116" s="34" t="s">
        <v>637</v>
      </c>
      <c r="O116" s="51" t="s">
        <v>58</v>
      </c>
      <c r="P116" s="51" t="s">
        <v>58</v>
      </c>
      <c r="Q116" s="34" t="s">
        <v>637</v>
      </c>
      <c r="R116" s="34" t="s">
        <v>8</v>
      </c>
      <c r="S116" s="34" t="s">
        <v>637</v>
      </c>
      <c r="T116" s="34" t="s">
        <v>637</v>
      </c>
      <c r="U116" s="34" t="s">
        <v>637</v>
      </c>
      <c r="V116" s="706" t="s">
        <v>8</v>
      </c>
      <c r="W116" s="34" t="s">
        <v>638</v>
      </c>
      <c r="X116" s="34" t="s">
        <v>637</v>
      </c>
      <c r="Y116" s="34" t="s">
        <v>637</v>
      </c>
      <c r="Z116" s="34" t="s">
        <v>637</v>
      </c>
      <c r="AA116" s="34" t="s">
        <v>8</v>
      </c>
      <c r="AB116" s="34" t="s">
        <v>637</v>
      </c>
      <c r="AC116" s="34" t="s">
        <v>637</v>
      </c>
      <c r="AD116" s="706" t="s">
        <v>8</v>
      </c>
      <c r="AE116" s="34" t="s">
        <v>638</v>
      </c>
      <c r="AF116" s="34" t="str">
        <f t="shared" si="64"/>
        <v>○</v>
      </c>
      <c r="AG116" s="34" t="s">
        <v>637</v>
      </c>
      <c r="AH116" s="706" t="s">
        <v>8</v>
      </c>
      <c r="AI116" s="706" t="s">
        <v>8</v>
      </c>
      <c r="AJ116" s="34" t="s">
        <v>638</v>
      </c>
      <c r="AK116" s="36" t="s">
        <v>8</v>
      </c>
      <c r="AL116" s="34" t="s">
        <v>8</v>
      </c>
      <c r="AM116" s="34" t="str">
        <f t="shared" si="65"/>
        <v>○</v>
      </c>
      <c r="AN116" s="36"/>
      <c r="AO116" s="428" t="str">
        <f t="shared" si="50"/>
        <v>○</v>
      </c>
      <c r="AP116" s="706" t="s">
        <v>8</v>
      </c>
      <c r="AQ116" s="34" t="s">
        <v>638</v>
      </c>
      <c r="AR116" s="34" t="s">
        <v>638</v>
      </c>
      <c r="AS116" s="706" t="s">
        <v>8</v>
      </c>
      <c r="AT116" s="34" t="s">
        <v>8</v>
      </c>
      <c r="AU116" s="34" t="str">
        <f t="shared" si="68"/>
        <v>○</v>
      </c>
      <c r="AV116" s="395" t="s">
        <v>58</v>
      </c>
      <c r="AW116" s="428" t="str">
        <f t="shared" si="58"/>
        <v>×</v>
      </c>
      <c r="AX116" s="927" t="s">
        <v>8</v>
      </c>
      <c r="AY116" s="706" t="s">
        <v>8</v>
      </c>
      <c r="AZ116" s="928" t="s">
        <v>8</v>
      </c>
      <c r="BA116" s="813" t="str">
        <f t="shared" si="42"/>
        <v>×</v>
      </c>
      <c r="BB116" s="767" t="str">
        <f t="shared" si="43"/>
        <v>×</v>
      </c>
      <c r="BC116" s="768" t="str">
        <f t="shared" si="44"/>
        <v>×</v>
      </c>
      <c r="BD116" s="765" t="str">
        <f t="shared" si="45"/>
        <v>×</v>
      </c>
      <c r="BE116" s="767" t="str">
        <f t="shared" si="46"/>
        <v>×</v>
      </c>
      <c r="BF116" s="768" t="str">
        <f t="shared" si="47"/>
        <v>○</v>
      </c>
      <c r="BG116" s="766" t="s">
        <v>8</v>
      </c>
      <c r="BH116" s="804" t="str">
        <f t="shared" si="49"/>
        <v>×</v>
      </c>
      <c r="BI116" s="767" t="str">
        <f t="shared" si="51"/>
        <v>×</v>
      </c>
      <c r="BJ116" s="804" t="str">
        <f t="shared" si="52"/>
        <v>×</v>
      </c>
      <c r="BK116" s="765" t="str">
        <f t="shared" si="53"/>
        <v>×</v>
      </c>
      <c r="BL116" s="768" t="str">
        <f t="shared" si="54"/>
        <v>×</v>
      </c>
      <c r="BM116" s="766" t="str">
        <f t="shared" si="48"/>
        <v>○</v>
      </c>
      <c r="BN116" s="805" t="str">
        <f t="shared" si="55"/>
        <v>○</v>
      </c>
      <c r="BO116" s="1198"/>
    </row>
    <row r="117" spans="1:67" ht="13.5" customHeight="1">
      <c r="A117" s="1167"/>
      <c r="B117" s="551" t="s">
        <v>781</v>
      </c>
      <c r="C117" s="422"/>
      <c r="D117" s="456">
        <v>136</v>
      </c>
      <c r="E117" s="420">
        <v>157</v>
      </c>
      <c r="F117" s="51" t="s">
        <v>637</v>
      </c>
      <c r="G117" s="568" t="s">
        <v>8</v>
      </c>
      <c r="H117" s="51" t="s">
        <v>58</v>
      </c>
      <c r="I117" s="568" t="s">
        <v>8</v>
      </c>
      <c r="J117" s="568" t="s">
        <v>8</v>
      </c>
      <c r="K117" s="51" t="str">
        <f t="shared" si="67"/>
        <v>○</v>
      </c>
      <c r="L117" s="34" t="s">
        <v>638</v>
      </c>
      <c r="M117" s="34" t="s">
        <v>637</v>
      </c>
      <c r="N117" s="34" t="s">
        <v>637</v>
      </c>
      <c r="O117" s="51" t="s">
        <v>58</v>
      </c>
      <c r="P117" s="51" t="s">
        <v>58</v>
      </c>
      <c r="Q117" s="34" t="s">
        <v>637</v>
      </c>
      <c r="R117" s="34" t="s">
        <v>8</v>
      </c>
      <c r="S117" s="34" t="s">
        <v>637</v>
      </c>
      <c r="T117" s="34" t="s">
        <v>637</v>
      </c>
      <c r="U117" s="34" t="s">
        <v>637</v>
      </c>
      <c r="V117" s="706" t="s">
        <v>8</v>
      </c>
      <c r="W117" s="34" t="s">
        <v>638</v>
      </c>
      <c r="X117" s="34" t="s">
        <v>637</v>
      </c>
      <c r="Y117" s="34" t="s">
        <v>637</v>
      </c>
      <c r="Z117" s="34" t="s">
        <v>637</v>
      </c>
      <c r="AA117" s="34" t="s">
        <v>8</v>
      </c>
      <c r="AB117" s="34" t="s">
        <v>637</v>
      </c>
      <c r="AC117" s="34" t="s">
        <v>637</v>
      </c>
      <c r="AD117" s="706" t="s">
        <v>8</v>
      </c>
      <c r="AE117" s="34" t="s">
        <v>638</v>
      </c>
      <c r="AF117" s="34" t="str">
        <f t="shared" si="64"/>
        <v>○</v>
      </c>
      <c r="AG117" s="34" t="s">
        <v>637</v>
      </c>
      <c r="AH117" s="706" t="s">
        <v>8</v>
      </c>
      <c r="AI117" s="706" t="s">
        <v>8</v>
      </c>
      <c r="AJ117" s="34" t="s">
        <v>638</v>
      </c>
      <c r="AK117" s="36" t="s">
        <v>8</v>
      </c>
      <c r="AL117" s="34" t="s">
        <v>8</v>
      </c>
      <c r="AM117" s="34" t="str">
        <f t="shared" si="65"/>
        <v>○</v>
      </c>
      <c r="AN117" s="36"/>
      <c r="AO117" s="428" t="str">
        <f t="shared" si="50"/>
        <v>○</v>
      </c>
      <c r="AP117" s="706" t="s">
        <v>8</v>
      </c>
      <c r="AQ117" s="34" t="s">
        <v>638</v>
      </c>
      <c r="AR117" s="34" t="s">
        <v>638</v>
      </c>
      <c r="AS117" s="706" t="s">
        <v>8</v>
      </c>
      <c r="AT117" s="34" t="s">
        <v>8</v>
      </c>
      <c r="AU117" s="34" t="str">
        <f t="shared" si="68"/>
        <v>○</v>
      </c>
      <c r="AV117" s="395" t="s">
        <v>58</v>
      </c>
      <c r="AW117" s="428" t="str">
        <f t="shared" si="58"/>
        <v>×</v>
      </c>
      <c r="AX117" s="927" t="s">
        <v>8</v>
      </c>
      <c r="AY117" s="706" t="s">
        <v>8</v>
      </c>
      <c r="AZ117" s="928" t="s">
        <v>8</v>
      </c>
      <c r="BA117" s="813" t="str">
        <f t="shared" si="42"/>
        <v>×</v>
      </c>
      <c r="BB117" s="767" t="str">
        <f t="shared" si="43"/>
        <v>×</v>
      </c>
      <c r="BC117" s="768" t="str">
        <f t="shared" si="44"/>
        <v>×</v>
      </c>
      <c r="BD117" s="765" t="str">
        <f t="shared" si="45"/>
        <v>×</v>
      </c>
      <c r="BE117" s="767" t="str">
        <f t="shared" si="46"/>
        <v>×</v>
      </c>
      <c r="BF117" s="768" t="str">
        <f t="shared" si="47"/>
        <v>○</v>
      </c>
      <c r="BG117" s="766" t="s">
        <v>8</v>
      </c>
      <c r="BH117" s="804" t="str">
        <f t="shared" si="49"/>
        <v>×</v>
      </c>
      <c r="BI117" s="767" t="str">
        <f t="shared" si="51"/>
        <v>×</v>
      </c>
      <c r="BJ117" s="804" t="str">
        <f t="shared" si="52"/>
        <v>×</v>
      </c>
      <c r="BK117" s="765" t="str">
        <f t="shared" si="53"/>
        <v>×</v>
      </c>
      <c r="BL117" s="768" t="str">
        <f t="shared" si="54"/>
        <v>×</v>
      </c>
      <c r="BM117" s="766" t="str">
        <f t="shared" si="48"/>
        <v>○</v>
      </c>
      <c r="BN117" s="805" t="str">
        <f t="shared" si="55"/>
        <v>○</v>
      </c>
      <c r="BO117" s="1198"/>
    </row>
    <row r="118" spans="1:67" ht="13.5" customHeight="1">
      <c r="A118" s="1167"/>
      <c r="B118" s="551" t="s">
        <v>782</v>
      </c>
      <c r="C118" s="422"/>
      <c r="D118" s="456">
        <v>158</v>
      </c>
      <c r="E118" s="420">
        <v>176</v>
      </c>
      <c r="F118" s="51" t="s">
        <v>637</v>
      </c>
      <c r="G118" s="568" t="s">
        <v>8</v>
      </c>
      <c r="H118" s="51" t="s">
        <v>58</v>
      </c>
      <c r="I118" s="568" t="s">
        <v>8</v>
      </c>
      <c r="J118" s="568" t="s">
        <v>8</v>
      </c>
      <c r="K118" s="51" t="str">
        <f t="shared" si="67"/>
        <v>○</v>
      </c>
      <c r="L118" s="34" t="s">
        <v>638</v>
      </c>
      <c r="M118" s="34" t="s">
        <v>637</v>
      </c>
      <c r="N118" s="34" t="s">
        <v>637</v>
      </c>
      <c r="O118" s="51" t="s">
        <v>58</v>
      </c>
      <c r="P118" s="51" t="s">
        <v>58</v>
      </c>
      <c r="Q118" s="34" t="s">
        <v>637</v>
      </c>
      <c r="R118" s="34" t="s">
        <v>8</v>
      </c>
      <c r="S118" s="34" t="s">
        <v>637</v>
      </c>
      <c r="T118" s="34" t="s">
        <v>637</v>
      </c>
      <c r="U118" s="34" t="s">
        <v>637</v>
      </c>
      <c r="V118" s="706" t="s">
        <v>8</v>
      </c>
      <c r="W118" s="34" t="s">
        <v>638</v>
      </c>
      <c r="X118" s="34" t="s">
        <v>637</v>
      </c>
      <c r="Y118" s="34" t="s">
        <v>637</v>
      </c>
      <c r="Z118" s="34" t="s">
        <v>637</v>
      </c>
      <c r="AA118" s="34" t="s">
        <v>8</v>
      </c>
      <c r="AB118" s="34" t="s">
        <v>637</v>
      </c>
      <c r="AC118" s="34" t="s">
        <v>637</v>
      </c>
      <c r="AD118" s="706" t="s">
        <v>8</v>
      </c>
      <c r="AE118" s="34" t="s">
        <v>638</v>
      </c>
      <c r="AF118" s="34" t="str">
        <f t="shared" si="64"/>
        <v>○</v>
      </c>
      <c r="AG118" s="34" t="s">
        <v>637</v>
      </c>
      <c r="AH118" s="706" t="s">
        <v>8</v>
      </c>
      <c r="AI118" s="706" t="s">
        <v>8</v>
      </c>
      <c r="AJ118" s="34" t="s">
        <v>638</v>
      </c>
      <c r="AK118" s="36" t="s">
        <v>8</v>
      </c>
      <c r="AL118" s="34" t="s">
        <v>8</v>
      </c>
      <c r="AM118" s="34" t="str">
        <f t="shared" si="65"/>
        <v>○</v>
      </c>
      <c r="AN118" s="36"/>
      <c r="AO118" s="428" t="str">
        <f t="shared" si="50"/>
        <v>○</v>
      </c>
      <c r="AP118" s="706" t="s">
        <v>8</v>
      </c>
      <c r="AQ118" s="34" t="s">
        <v>638</v>
      </c>
      <c r="AR118" s="34" t="s">
        <v>638</v>
      </c>
      <c r="AS118" s="706" t="s">
        <v>8</v>
      </c>
      <c r="AT118" s="34" t="s">
        <v>8</v>
      </c>
      <c r="AU118" s="34" t="str">
        <f t="shared" si="68"/>
        <v>○</v>
      </c>
      <c r="AV118" s="395" t="s">
        <v>58</v>
      </c>
      <c r="AW118" s="428" t="str">
        <f t="shared" si="58"/>
        <v>×</v>
      </c>
      <c r="AX118" s="927" t="s">
        <v>8</v>
      </c>
      <c r="AY118" s="706" t="s">
        <v>8</v>
      </c>
      <c r="AZ118" s="928" t="s">
        <v>8</v>
      </c>
      <c r="BA118" s="813" t="str">
        <f t="shared" si="42"/>
        <v>×</v>
      </c>
      <c r="BB118" s="767" t="str">
        <f t="shared" si="43"/>
        <v>×</v>
      </c>
      <c r="BC118" s="768" t="str">
        <f t="shared" si="44"/>
        <v>×</v>
      </c>
      <c r="BD118" s="765" t="str">
        <f t="shared" si="45"/>
        <v>×</v>
      </c>
      <c r="BE118" s="767" t="str">
        <f t="shared" si="46"/>
        <v>×</v>
      </c>
      <c r="BF118" s="768" t="str">
        <f t="shared" si="47"/>
        <v>○</v>
      </c>
      <c r="BG118" s="766" t="s">
        <v>8</v>
      </c>
      <c r="BH118" s="804" t="str">
        <f t="shared" si="49"/>
        <v>×</v>
      </c>
      <c r="BI118" s="767" t="str">
        <f t="shared" si="51"/>
        <v>×</v>
      </c>
      <c r="BJ118" s="804" t="str">
        <f t="shared" si="52"/>
        <v>×</v>
      </c>
      <c r="BK118" s="765" t="str">
        <f t="shared" si="53"/>
        <v>×</v>
      </c>
      <c r="BL118" s="768" t="str">
        <f t="shared" si="54"/>
        <v>×</v>
      </c>
      <c r="BM118" s="766" t="str">
        <f t="shared" si="48"/>
        <v>○</v>
      </c>
      <c r="BN118" s="805" t="str">
        <f t="shared" si="55"/>
        <v>○</v>
      </c>
      <c r="BO118" s="1198"/>
    </row>
    <row r="119" spans="1:67" ht="13.5" customHeight="1">
      <c r="A119" s="1167"/>
      <c r="B119" s="649" t="s">
        <v>830</v>
      </c>
      <c r="C119" s="422"/>
      <c r="D119" s="456">
        <v>177</v>
      </c>
      <c r="E119" s="420">
        <v>220</v>
      </c>
      <c r="F119" s="51" t="s">
        <v>637</v>
      </c>
      <c r="G119" s="568" t="s">
        <v>8</v>
      </c>
      <c r="H119" s="51" t="s">
        <v>58</v>
      </c>
      <c r="I119" s="568" t="s">
        <v>8</v>
      </c>
      <c r="J119" s="568" t="s">
        <v>8</v>
      </c>
      <c r="K119" s="51" t="str">
        <f t="shared" si="67"/>
        <v>○</v>
      </c>
      <c r="L119" s="34" t="s">
        <v>637</v>
      </c>
      <c r="M119" s="34" t="s">
        <v>637</v>
      </c>
      <c r="N119" s="34" t="s">
        <v>637</v>
      </c>
      <c r="O119" s="51" t="s">
        <v>58</v>
      </c>
      <c r="P119" s="51" t="s">
        <v>58</v>
      </c>
      <c r="Q119" s="34" t="s">
        <v>637</v>
      </c>
      <c r="R119" s="34" t="s">
        <v>637</v>
      </c>
      <c r="S119" s="34" t="s">
        <v>637</v>
      </c>
      <c r="T119" s="34" t="s">
        <v>637</v>
      </c>
      <c r="U119" s="34" t="s">
        <v>637</v>
      </c>
      <c r="V119" s="706" t="s">
        <v>8</v>
      </c>
      <c r="W119" s="34" t="s">
        <v>637</v>
      </c>
      <c r="X119" s="34" t="s">
        <v>637</v>
      </c>
      <c r="Y119" s="34" t="s">
        <v>637</v>
      </c>
      <c r="Z119" s="34" t="s">
        <v>637</v>
      </c>
      <c r="AA119" s="34" t="s">
        <v>8</v>
      </c>
      <c r="AB119" s="34" t="s">
        <v>637</v>
      </c>
      <c r="AC119" s="34" t="s">
        <v>637</v>
      </c>
      <c r="AD119" s="706" t="s">
        <v>8</v>
      </c>
      <c r="AE119" s="34" t="s">
        <v>637</v>
      </c>
      <c r="AF119" s="34" t="str">
        <f t="shared" si="64"/>
        <v>○</v>
      </c>
      <c r="AG119" s="62" t="s">
        <v>637</v>
      </c>
      <c r="AH119" s="706" t="s">
        <v>8</v>
      </c>
      <c r="AI119" s="706" t="s">
        <v>8</v>
      </c>
      <c r="AJ119" s="36" t="s">
        <v>637</v>
      </c>
      <c r="AK119" s="36" t="s">
        <v>8</v>
      </c>
      <c r="AL119" s="34" t="s">
        <v>8</v>
      </c>
      <c r="AM119" s="34" t="str">
        <f t="shared" si="65"/>
        <v>○</v>
      </c>
      <c r="AN119" s="36"/>
      <c r="AO119" s="428" t="str">
        <f t="shared" si="50"/>
        <v>○</v>
      </c>
      <c r="AP119" s="706" t="s">
        <v>8</v>
      </c>
      <c r="AQ119" s="34" t="s">
        <v>8</v>
      </c>
      <c r="AR119" s="34" t="s">
        <v>835</v>
      </c>
      <c r="AS119" s="706" t="s">
        <v>8</v>
      </c>
      <c r="AT119" s="34" t="s">
        <v>8</v>
      </c>
      <c r="AU119" s="34" t="str">
        <f t="shared" si="68"/>
        <v>○</v>
      </c>
      <c r="AV119" s="392" t="s">
        <v>834</v>
      </c>
      <c r="AW119" s="428" t="str">
        <f t="shared" si="58"/>
        <v>×</v>
      </c>
      <c r="AX119" s="927" t="s">
        <v>8</v>
      </c>
      <c r="AY119" s="706" t="s">
        <v>8</v>
      </c>
      <c r="AZ119" s="928" t="s">
        <v>8</v>
      </c>
      <c r="BA119" s="813" t="str">
        <f t="shared" si="42"/>
        <v>×</v>
      </c>
      <c r="BB119" s="767" t="str">
        <f t="shared" si="43"/>
        <v>×</v>
      </c>
      <c r="BC119" s="768" t="str">
        <f t="shared" si="44"/>
        <v>×</v>
      </c>
      <c r="BD119" s="765" t="str">
        <f t="shared" si="45"/>
        <v>×</v>
      </c>
      <c r="BE119" s="767" t="str">
        <f t="shared" si="46"/>
        <v>○</v>
      </c>
      <c r="BF119" s="819" t="str">
        <f t="shared" si="47"/>
        <v>○</v>
      </c>
      <c r="BG119" s="766" t="s">
        <v>8</v>
      </c>
      <c r="BH119" s="804" t="str">
        <f t="shared" si="49"/>
        <v>○</v>
      </c>
      <c r="BI119" s="767" t="str">
        <f t="shared" si="51"/>
        <v>×</v>
      </c>
      <c r="BJ119" s="804" t="str">
        <f t="shared" si="52"/>
        <v>×</v>
      </c>
      <c r="BK119" s="765" t="str">
        <f t="shared" si="53"/>
        <v>×</v>
      </c>
      <c r="BL119" s="768" t="str">
        <f t="shared" si="54"/>
        <v>×</v>
      </c>
      <c r="BM119" s="787" t="str">
        <f t="shared" si="48"/>
        <v>○</v>
      </c>
      <c r="BN119" s="805" t="str">
        <f t="shared" si="55"/>
        <v>○</v>
      </c>
      <c r="BO119" s="1198"/>
    </row>
    <row r="120" spans="1:67" ht="13.5" customHeight="1">
      <c r="A120" s="1167"/>
      <c r="B120" s="649" t="s">
        <v>832</v>
      </c>
      <c r="C120" s="422"/>
      <c r="D120" s="456">
        <v>177</v>
      </c>
      <c r="E120" s="420">
        <v>220</v>
      </c>
      <c r="F120" s="51" t="s">
        <v>637</v>
      </c>
      <c r="G120" s="568" t="s">
        <v>8</v>
      </c>
      <c r="H120" s="51" t="s">
        <v>58</v>
      </c>
      <c r="I120" s="568" t="s">
        <v>8</v>
      </c>
      <c r="J120" s="568" t="s">
        <v>8</v>
      </c>
      <c r="K120" s="51" t="str">
        <f t="shared" si="67"/>
        <v>○</v>
      </c>
      <c r="L120" s="34" t="s">
        <v>637</v>
      </c>
      <c r="M120" s="34" t="s">
        <v>637</v>
      </c>
      <c r="N120" s="34" t="s">
        <v>637</v>
      </c>
      <c r="O120" s="51" t="s">
        <v>58</v>
      </c>
      <c r="P120" s="51" t="s">
        <v>58</v>
      </c>
      <c r="Q120" s="34" t="s">
        <v>637</v>
      </c>
      <c r="R120" s="34" t="s">
        <v>8</v>
      </c>
      <c r="S120" s="34" t="s">
        <v>637</v>
      </c>
      <c r="T120" s="34" t="s">
        <v>637</v>
      </c>
      <c r="U120" s="34" t="s">
        <v>637</v>
      </c>
      <c r="V120" s="706" t="s">
        <v>8</v>
      </c>
      <c r="W120" s="34" t="s">
        <v>637</v>
      </c>
      <c r="X120" s="34" t="s">
        <v>637</v>
      </c>
      <c r="Y120" s="34" t="s">
        <v>637</v>
      </c>
      <c r="Z120" s="34" t="s">
        <v>637</v>
      </c>
      <c r="AA120" s="34" t="s">
        <v>8</v>
      </c>
      <c r="AB120" s="34" t="s">
        <v>637</v>
      </c>
      <c r="AC120" s="34" t="s">
        <v>637</v>
      </c>
      <c r="AD120" s="706" t="s">
        <v>8</v>
      </c>
      <c r="AE120" s="34" t="s">
        <v>637</v>
      </c>
      <c r="AF120" s="34" t="str">
        <f t="shared" si="64"/>
        <v>○</v>
      </c>
      <c r="AG120" s="34" t="s">
        <v>637</v>
      </c>
      <c r="AH120" s="706" t="s">
        <v>8</v>
      </c>
      <c r="AI120" s="706" t="s">
        <v>8</v>
      </c>
      <c r="AJ120" s="36" t="s">
        <v>637</v>
      </c>
      <c r="AK120" s="36" t="s">
        <v>8</v>
      </c>
      <c r="AL120" s="34" t="s">
        <v>8</v>
      </c>
      <c r="AM120" s="34" t="str">
        <f t="shared" si="65"/>
        <v>○</v>
      </c>
      <c r="AN120" s="36"/>
      <c r="AO120" s="428" t="str">
        <f t="shared" si="50"/>
        <v>○</v>
      </c>
      <c r="AP120" s="706" t="s">
        <v>8</v>
      </c>
      <c r="AQ120" s="34" t="s">
        <v>8</v>
      </c>
      <c r="AR120" s="34" t="s">
        <v>638</v>
      </c>
      <c r="AS120" s="706" t="s">
        <v>8</v>
      </c>
      <c r="AT120" s="34" t="s">
        <v>8</v>
      </c>
      <c r="AU120" s="34" t="str">
        <f t="shared" si="68"/>
        <v>○</v>
      </c>
      <c r="AV120" s="392" t="s">
        <v>58</v>
      </c>
      <c r="AW120" s="428" t="str">
        <f t="shared" si="58"/>
        <v>×</v>
      </c>
      <c r="AX120" s="927" t="s">
        <v>8</v>
      </c>
      <c r="AY120" s="706" t="s">
        <v>8</v>
      </c>
      <c r="AZ120" s="928" t="s">
        <v>8</v>
      </c>
      <c r="BA120" s="813" t="str">
        <f t="shared" si="42"/>
        <v>×</v>
      </c>
      <c r="BB120" s="767" t="str">
        <f t="shared" si="43"/>
        <v>×</v>
      </c>
      <c r="BC120" s="768" t="str">
        <f t="shared" si="44"/>
        <v>×</v>
      </c>
      <c r="BD120" s="765" t="str">
        <f t="shared" si="45"/>
        <v>×</v>
      </c>
      <c r="BE120" s="767" t="str">
        <f t="shared" si="46"/>
        <v>×</v>
      </c>
      <c r="BF120" s="819" t="str">
        <f t="shared" si="47"/>
        <v>○</v>
      </c>
      <c r="BG120" s="766" t="s">
        <v>8</v>
      </c>
      <c r="BH120" s="804" t="str">
        <f t="shared" si="49"/>
        <v>×</v>
      </c>
      <c r="BI120" s="767" t="str">
        <f t="shared" si="51"/>
        <v>×</v>
      </c>
      <c r="BJ120" s="804" t="str">
        <f t="shared" si="52"/>
        <v>×</v>
      </c>
      <c r="BK120" s="765" t="str">
        <f t="shared" si="53"/>
        <v>×</v>
      </c>
      <c r="BL120" s="768" t="str">
        <f t="shared" si="54"/>
        <v>×</v>
      </c>
      <c r="BM120" s="787" t="str">
        <f t="shared" si="48"/>
        <v>○</v>
      </c>
      <c r="BN120" s="805" t="str">
        <f t="shared" si="55"/>
        <v>○</v>
      </c>
      <c r="BO120" s="1198"/>
    </row>
    <row r="121" spans="1:67" ht="13.5" customHeight="1">
      <c r="A121" s="1167"/>
      <c r="B121" s="551" t="s">
        <v>783</v>
      </c>
      <c r="C121" s="422"/>
      <c r="D121" s="456">
        <v>221</v>
      </c>
      <c r="E121" s="420">
        <v>256</v>
      </c>
      <c r="F121" s="51" t="s">
        <v>637</v>
      </c>
      <c r="G121" s="568" t="s">
        <v>8</v>
      </c>
      <c r="H121" s="51" t="s">
        <v>58</v>
      </c>
      <c r="I121" s="568" t="s">
        <v>8</v>
      </c>
      <c r="J121" s="568" t="s">
        <v>8</v>
      </c>
      <c r="K121" s="51" t="str">
        <f t="shared" si="67"/>
        <v>○</v>
      </c>
      <c r="L121" s="34" t="s">
        <v>638</v>
      </c>
      <c r="M121" s="34" t="s">
        <v>637</v>
      </c>
      <c r="N121" s="34" t="s">
        <v>637</v>
      </c>
      <c r="O121" s="51" t="s">
        <v>58</v>
      </c>
      <c r="P121" s="51" t="s">
        <v>58</v>
      </c>
      <c r="Q121" s="34" t="s">
        <v>637</v>
      </c>
      <c r="R121" s="34" t="s">
        <v>637</v>
      </c>
      <c r="S121" s="34" t="s">
        <v>637</v>
      </c>
      <c r="T121" s="34" t="s">
        <v>637</v>
      </c>
      <c r="U121" s="34" t="s">
        <v>637</v>
      </c>
      <c r="V121" s="706" t="s">
        <v>8</v>
      </c>
      <c r="W121" s="190" t="s">
        <v>1035</v>
      </c>
      <c r="X121" s="34" t="s">
        <v>637</v>
      </c>
      <c r="Y121" s="34" t="s">
        <v>637</v>
      </c>
      <c r="Z121" s="34" t="s">
        <v>641</v>
      </c>
      <c r="AA121" s="34" t="s">
        <v>8</v>
      </c>
      <c r="AB121" s="34" t="s">
        <v>637</v>
      </c>
      <c r="AC121" s="34" t="s">
        <v>637</v>
      </c>
      <c r="AD121" s="706" t="s">
        <v>8</v>
      </c>
      <c r="AE121" s="34" t="s">
        <v>637</v>
      </c>
      <c r="AF121" s="34" t="str">
        <f t="shared" si="64"/>
        <v>○</v>
      </c>
      <c r="AG121" s="34" t="s">
        <v>637</v>
      </c>
      <c r="AH121" s="706" t="s">
        <v>8</v>
      </c>
      <c r="AI121" s="706" t="s">
        <v>8</v>
      </c>
      <c r="AJ121" s="190" t="s">
        <v>1035</v>
      </c>
      <c r="AK121" s="36" t="s">
        <v>8</v>
      </c>
      <c r="AL121" s="34" t="s">
        <v>8</v>
      </c>
      <c r="AM121" s="34" t="str">
        <f t="shared" si="65"/>
        <v>○</v>
      </c>
      <c r="AN121" s="36"/>
      <c r="AO121" s="428" t="str">
        <f t="shared" si="50"/>
        <v>×</v>
      </c>
      <c r="AP121" s="706" t="s">
        <v>8</v>
      </c>
      <c r="AQ121" s="34" t="s">
        <v>8</v>
      </c>
      <c r="AR121" s="34" t="s">
        <v>8</v>
      </c>
      <c r="AS121" s="706" t="s">
        <v>8</v>
      </c>
      <c r="AT121" s="34" t="s">
        <v>8</v>
      </c>
      <c r="AU121" s="34" t="str">
        <f t="shared" si="68"/>
        <v>×</v>
      </c>
      <c r="AV121" s="395" t="s">
        <v>58</v>
      </c>
      <c r="AW121" s="428" t="str">
        <f t="shared" si="58"/>
        <v>×</v>
      </c>
      <c r="AX121" s="927" t="s">
        <v>8</v>
      </c>
      <c r="AY121" s="706" t="s">
        <v>8</v>
      </c>
      <c r="AZ121" s="928" t="s">
        <v>8</v>
      </c>
      <c r="BA121" s="813" t="str">
        <f t="shared" si="42"/>
        <v>×</v>
      </c>
      <c r="BB121" s="767" t="str">
        <f t="shared" si="43"/>
        <v>×</v>
      </c>
      <c r="BC121" s="768" t="str">
        <f t="shared" si="44"/>
        <v>×</v>
      </c>
      <c r="BD121" s="765" t="str">
        <f t="shared" si="45"/>
        <v>×</v>
      </c>
      <c r="BE121" s="767" t="str">
        <f t="shared" si="46"/>
        <v>×</v>
      </c>
      <c r="BF121" s="768" t="str">
        <f t="shared" si="47"/>
        <v>×</v>
      </c>
      <c r="BG121" s="766" t="s">
        <v>8</v>
      </c>
      <c r="BH121" s="804" t="str">
        <f t="shared" si="49"/>
        <v>○</v>
      </c>
      <c r="BI121" s="767" t="str">
        <f t="shared" si="51"/>
        <v>×</v>
      </c>
      <c r="BJ121" s="804" t="str">
        <f t="shared" si="52"/>
        <v>×</v>
      </c>
      <c r="BK121" s="765" t="str">
        <f t="shared" si="53"/>
        <v>×</v>
      </c>
      <c r="BL121" s="768" t="str">
        <f t="shared" si="54"/>
        <v>×</v>
      </c>
      <c r="BM121" s="766" t="str">
        <f t="shared" si="48"/>
        <v>×</v>
      </c>
      <c r="BN121" s="805" t="str">
        <f t="shared" si="55"/>
        <v>×</v>
      </c>
      <c r="BO121" s="1198"/>
    </row>
    <row r="122" spans="1:67" ht="13.5" customHeight="1">
      <c r="A122" s="1167"/>
      <c r="B122" s="551" t="s">
        <v>784</v>
      </c>
      <c r="C122" s="422"/>
      <c r="D122" s="456">
        <v>257</v>
      </c>
      <c r="E122" s="420">
        <v>300</v>
      </c>
      <c r="F122" s="51" t="s">
        <v>637</v>
      </c>
      <c r="G122" s="568" t="s">
        <v>8</v>
      </c>
      <c r="H122" s="51" t="s">
        <v>58</v>
      </c>
      <c r="I122" s="568" t="s">
        <v>8</v>
      </c>
      <c r="J122" s="568" t="s">
        <v>8</v>
      </c>
      <c r="K122" s="51" t="str">
        <f t="shared" si="67"/>
        <v>○</v>
      </c>
      <c r="L122" s="34" t="s">
        <v>638</v>
      </c>
      <c r="M122" s="34" t="s">
        <v>637</v>
      </c>
      <c r="N122" s="34" t="s">
        <v>637</v>
      </c>
      <c r="O122" s="51" t="s">
        <v>58</v>
      </c>
      <c r="P122" s="51" t="s">
        <v>58</v>
      </c>
      <c r="Q122" s="34" t="s">
        <v>637</v>
      </c>
      <c r="R122" s="34" t="s">
        <v>637</v>
      </c>
      <c r="S122" s="34" t="s">
        <v>637</v>
      </c>
      <c r="T122" s="34" t="s">
        <v>637</v>
      </c>
      <c r="U122" s="34" t="s">
        <v>8</v>
      </c>
      <c r="V122" s="706" t="s">
        <v>8</v>
      </c>
      <c r="W122" s="34" t="s">
        <v>8</v>
      </c>
      <c r="X122" s="34" t="s">
        <v>637</v>
      </c>
      <c r="Y122" s="34" t="s">
        <v>637</v>
      </c>
      <c r="Z122" s="34" t="s">
        <v>641</v>
      </c>
      <c r="AA122" s="34" t="s">
        <v>8</v>
      </c>
      <c r="AB122" s="34" t="s">
        <v>637</v>
      </c>
      <c r="AC122" s="34" t="s">
        <v>8</v>
      </c>
      <c r="AD122" s="706" t="s">
        <v>8</v>
      </c>
      <c r="AE122" s="34" t="s">
        <v>8</v>
      </c>
      <c r="AF122" s="34" t="str">
        <f t="shared" si="64"/>
        <v>○</v>
      </c>
      <c r="AG122" s="34" t="s">
        <v>8</v>
      </c>
      <c r="AH122" s="706" t="s">
        <v>8</v>
      </c>
      <c r="AI122" s="706" t="s">
        <v>8</v>
      </c>
      <c r="AJ122" s="34" t="s">
        <v>8</v>
      </c>
      <c r="AK122" s="36" t="s">
        <v>8</v>
      </c>
      <c r="AL122" s="34" t="s">
        <v>8</v>
      </c>
      <c r="AM122" s="34" t="str">
        <f t="shared" si="65"/>
        <v>○</v>
      </c>
      <c r="AN122" s="36"/>
      <c r="AO122" s="428" t="str">
        <f t="shared" si="50"/>
        <v>×</v>
      </c>
      <c r="AP122" s="706" t="s">
        <v>8</v>
      </c>
      <c r="AQ122" s="34" t="s">
        <v>8</v>
      </c>
      <c r="AR122" s="34" t="s">
        <v>8</v>
      </c>
      <c r="AS122" s="706" t="s">
        <v>8</v>
      </c>
      <c r="AT122" s="34" t="s">
        <v>8</v>
      </c>
      <c r="AU122" s="395" t="str">
        <f t="shared" si="68"/>
        <v>×</v>
      </c>
      <c r="AV122" s="395" t="s">
        <v>58</v>
      </c>
      <c r="AW122" s="428" t="str">
        <f t="shared" si="58"/>
        <v>×</v>
      </c>
      <c r="AX122" s="927" t="s">
        <v>8</v>
      </c>
      <c r="AY122" s="706" t="s">
        <v>8</v>
      </c>
      <c r="AZ122" s="928" t="s">
        <v>8</v>
      </c>
      <c r="BA122" s="813" t="str">
        <f t="shared" si="42"/>
        <v>×</v>
      </c>
      <c r="BB122" s="767" t="str">
        <f t="shared" si="43"/>
        <v>×</v>
      </c>
      <c r="BC122" s="768" t="str">
        <f t="shared" si="44"/>
        <v>×</v>
      </c>
      <c r="BD122" s="765" t="str">
        <f t="shared" si="45"/>
        <v>×</v>
      </c>
      <c r="BE122" s="767" t="str">
        <f t="shared" si="46"/>
        <v>×</v>
      </c>
      <c r="BF122" s="768" t="str">
        <f t="shared" si="47"/>
        <v>×</v>
      </c>
      <c r="BG122" s="766" t="s">
        <v>8</v>
      </c>
      <c r="BH122" s="804" t="str">
        <f t="shared" si="49"/>
        <v>○</v>
      </c>
      <c r="BI122" s="767" t="str">
        <f t="shared" si="51"/>
        <v>×</v>
      </c>
      <c r="BJ122" s="804" t="str">
        <f t="shared" si="52"/>
        <v>×</v>
      </c>
      <c r="BK122" s="765" t="str">
        <f t="shared" si="53"/>
        <v>×</v>
      </c>
      <c r="BL122" s="768" t="str">
        <f t="shared" si="54"/>
        <v>×</v>
      </c>
      <c r="BM122" s="766" t="str">
        <f t="shared" si="48"/>
        <v>×</v>
      </c>
      <c r="BN122" s="805" t="str">
        <f t="shared" si="55"/>
        <v>×</v>
      </c>
      <c r="BO122" s="1198"/>
    </row>
    <row r="123" spans="1:67" ht="13.5" customHeight="1">
      <c r="A123" s="1167"/>
      <c r="B123" s="551" t="s">
        <v>785</v>
      </c>
      <c r="C123" s="422"/>
      <c r="D123" s="456">
        <v>221</v>
      </c>
      <c r="E123" s="420">
        <v>256</v>
      </c>
      <c r="F123" s="51" t="s">
        <v>637</v>
      </c>
      <c r="G123" s="568" t="s">
        <v>8</v>
      </c>
      <c r="H123" s="51" t="s">
        <v>58</v>
      </c>
      <c r="I123" s="568" t="s">
        <v>8</v>
      </c>
      <c r="J123" s="568" t="s">
        <v>8</v>
      </c>
      <c r="K123" s="51" t="str">
        <f t="shared" si="67"/>
        <v>○</v>
      </c>
      <c r="L123" s="34" t="s">
        <v>638</v>
      </c>
      <c r="M123" s="34" t="s">
        <v>637</v>
      </c>
      <c r="N123" s="34" t="s">
        <v>637</v>
      </c>
      <c r="O123" s="51" t="s">
        <v>58</v>
      </c>
      <c r="P123" s="51" t="s">
        <v>58</v>
      </c>
      <c r="Q123" s="34" t="s">
        <v>637</v>
      </c>
      <c r="R123" s="34" t="s">
        <v>8</v>
      </c>
      <c r="S123" s="34" t="s">
        <v>637</v>
      </c>
      <c r="T123" s="34" t="s">
        <v>637</v>
      </c>
      <c r="U123" s="34" t="s">
        <v>637</v>
      </c>
      <c r="V123" s="706" t="s">
        <v>8</v>
      </c>
      <c r="W123" s="190" t="s">
        <v>1035</v>
      </c>
      <c r="X123" s="34" t="s">
        <v>637</v>
      </c>
      <c r="Y123" s="34" t="s">
        <v>637</v>
      </c>
      <c r="Z123" s="34" t="s">
        <v>641</v>
      </c>
      <c r="AA123" s="34" t="s">
        <v>8</v>
      </c>
      <c r="AB123" s="34" t="s">
        <v>637</v>
      </c>
      <c r="AC123" s="34" t="s">
        <v>637</v>
      </c>
      <c r="AD123" s="706" t="s">
        <v>8</v>
      </c>
      <c r="AE123" s="34" t="s">
        <v>637</v>
      </c>
      <c r="AF123" s="34" t="str">
        <f t="shared" si="64"/>
        <v>○</v>
      </c>
      <c r="AG123" s="34" t="s">
        <v>637</v>
      </c>
      <c r="AH123" s="706" t="s">
        <v>8</v>
      </c>
      <c r="AI123" s="706" t="s">
        <v>8</v>
      </c>
      <c r="AJ123" s="190" t="s">
        <v>1035</v>
      </c>
      <c r="AK123" s="36" t="s">
        <v>8</v>
      </c>
      <c r="AL123" s="34" t="s">
        <v>8</v>
      </c>
      <c r="AM123" s="34" t="str">
        <f t="shared" si="65"/>
        <v>○</v>
      </c>
      <c r="AN123" s="36"/>
      <c r="AO123" s="428" t="str">
        <f t="shared" si="50"/>
        <v>×</v>
      </c>
      <c r="AP123" s="706" t="s">
        <v>8</v>
      </c>
      <c r="AQ123" s="34" t="s">
        <v>8</v>
      </c>
      <c r="AR123" s="34" t="s">
        <v>8</v>
      </c>
      <c r="AS123" s="706" t="s">
        <v>8</v>
      </c>
      <c r="AT123" s="34" t="s">
        <v>8</v>
      </c>
      <c r="AU123" s="395" t="str">
        <f t="shared" si="68"/>
        <v>×</v>
      </c>
      <c r="AV123" s="395" t="s">
        <v>58</v>
      </c>
      <c r="AW123" s="428" t="str">
        <f t="shared" si="58"/>
        <v>×</v>
      </c>
      <c r="AX123" s="927" t="s">
        <v>8</v>
      </c>
      <c r="AY123" s="706" t="s">
        <v>8</v>
      </c>
      <c r="AZ123" s="928" t="s">
        <v>8</v>
      </c>
      <c r="BA123" s="813" t="str">
        <f t="shared" si="42"/>
        <v>×</v>
      </c>
      <c r="BB123" s="767" t="str">
        <f t="shared" si="43"/>
        <v>×</v>
      </c>
      <c r="BC123" s="768" t="str">
        <f t="shared" si="44"/>
        <v>×</v>
      </c>
      <c r="BD123" s="765" t="str">
        <f t="shared" si="45"/>
        <v>×</v>
      </c>
      <c r="BE123" s="767" t="str">
        <f t="shared" si="46"/>
        <v>×</v>
      </c>
      <c r="BF123" s="768" t="str">
        <f t="shared" si="47"/>
        <v>×</v>
      </c>
      <c r="BG123" s="766" t="s">
        <v>8</v>
      </c>
      <c r="BH123" s="804" t="str">
        <f t="shared" si="49"/>
        <v>×</v>
      </c>
      <c r="BI123" s="767" t="str">
        <f t="shared" si="51"/>
        <v>×</v>
      </c>
      <c r="BJ123" s="804" t="str">
        <f t="shared" si="52"/>
        <v>×</v>
      </c>
      <c r="BK123" s="765" t="str">
        <f t="shared" si="53"/>
        <v>×</v>
      </c>
      <c r="BL123" s="768" t="str">
        <f t="shared" si="54"/>
        <v>×</v>
      </c>
      <c r="BM123" s="766" t="str">
        <f t="shared" si="48"/>
        <v>×</v>
      </c>
      <c r="BN123" s="805" t="str">
        <f t="shared" si="55"/>
        <v>×</v>
      </c>
      <c r="BO123" s="1198"/>
    </row>
    <row r="124" spans="1:67" ht="13.5" customHeight="1" thickBot="1">
      <c r="A124" s="1168"/>
      <c r="B124" s="551" t="s">
        <v>786</v>
      </c>
      <c r="C124" s="422">
        <v>0</v>
      </c>
      <c r="D124" s="456">
        <v>257</v>
      </c>
      <c r="E124" s="420">
        <v>300</v>
      </c>
      <c r="F124" s="52" t="s">
        <v>637</v>
      </c>
      <c r="G124" s="569" t="s">
        <v>8</v>
      </c>
      <c r="H124" s="52" t="s">
        <v>58</v>
      </c>
      <c r="I124" s="569" t="s">
        <v>8</v>
      </c>
      <c r="J124" s="569" t="s">
        <v>8</v>
      </c>
      <c r="K124" s="52" t="str">
        <f t="shared" si="67"/>
        <v>○</v>
      </c>
      <c r="L124" s="43" t="s">
        <v>638</v>
      </c>
      <c r="M124" s="43" t="s">
        <v>637</v>
      </c>
      <c r="N124" s="34" t="s">
        <v>637</v>
      </c>
      <c r="O124" s="51" t="s">
        <v>58</v>
      </c>
      <c r="P124" s="51" t="s">
        <v>58</v>
      </c>
      <c r="Q124" s="34" t="s">
        <v>637</v>
      </c>
      <c r="R124" s="43" t="s">
        <v>8</v>
      </c>
      <c r="S124" s="43" t="s">
        <v>637</v>
      </c>
      <c r="T124" s="43" t="s">
        <v>637</v>
      </c>
      <c r="U124" s="43" t="s">
        <v>641</v>
      </c>
      <c r="V124" s="916" t="s">
        <v>8</v>
      </c>
      <c r="W124" s="34" t="s">
        <v>8</v>
      </c>
      <c r="X124" s="43" t="s">
        <v>637</v>
      </c>
      <c r="Y124" s="43" t="s">
        <v>637</v>
      </c>
      <c r="Z124" s="43" t="s">
        <v>641</v>
      </c>
      <c r="AA124" s="43" t="s">
        <v>8</v>
      </c>
      <c r="AB124" s="43" t="s">
        <v>637</v>
      </c>
      <c r="AC124" s="43" t="s">
        <v>641</v>
      </c>
      <c r="AD124" s="916" t="s">
        <v>8</v>
      </c>
      <c r="AE124" s="43" t="s">
        <v>8</v>
      </c>
      <c r="AF124" s="43" t="str">
        <f t="shared" si="64"/>
        <v>○</v>
      </c>
      <c r="AG124" s="43" t="s">
        <v>641</v>
      </c>
      <c r="AH124" s="916" t="s">
        <v>8</v>
      </c>
      <c r="AI124" s="916" t="s">
        <v>8</v>
      </c>
      <c r="AJ124" s="43" t="s">
        <v>8</v>
      </c>
      <c r="AK124" s="36" t="s">
        <v>8</v>
      </c>
      <c r="AL124" s="42" t="s">
        <v>8</v>
      </c>
      <c r="AM124" s="43" t="str">
        <f t="shared" si="65"/>
        <v>○</v>
      </c>
      <c r="AN124" s="42"/>
      <c r="AO124" s="428" t="str">
        <f t="shared" si="50"/>
        <v>×</v>
      </c>
      <c r="AP124" s="916" t="s">
        <v>8</v>
      </c>
      <c r="AQ124" s="43" t="s">
        <v>8</v>
      </c>
      <c r="AR124" s="43" t="s">
        <v>8</v>
      </c>
      <c r="AS124" s="916" t="s">
        <v>8</v>
      </c>
      <c r="AT124" s="43" t="s">
        <v>8</v>
      </c>
      <c r="AU124" s="693" t="s">
        <v>58</v>
      </c>
      <c r="AV124" s="661" t="s">
        <v>58</v>
      </c>
      <c r="AW124" s="921" t="str">
        <f t="shared" si="58"/>
        <v>×</v>
      </c>
      <c r="AX124" s="933" t="s">
        <v>8</v>
      </c>
      <c r="AY124" s="916" t="s">
        <v>8</v>
      </c>
      <c r="AZ124" s="934" t="s">
        <v>8</v>
      </c>
      <c r="BA124" s="813" t="str">
        <f t="shared" si="42"/>
        <v>×</v>
      </c>
      <c r="BB124" s="823" t="str">
        <f t="shared" si="43"/>
        <v>×</v>
      </c>
      <c r="BC124" s="824" t="str">
        <f t="shared" si="44"/>
        <v>×</v>
      </c>
      <c r="BD124" s="820" t="str">
        <f t="shared" si="45"/>
        <v>×</v>
      </c>
      <c r="BE124" s="823" t="str">
        <f t="shared" si="46"/>
        <v>×</v>
      </c>
      <c r="BF124" s="824" t="str">
        <f t="shared" si="47"/>
        <v>×</v>
      </c>
      <c r="BG124" s="806" t="s">
        <v>8</v>
      </c>
      <c r="BH124" s="804" t="str">
        <f t="shared" si="49"/>
        <v>×</v>
      </c>
      <c r="BI124" s="767" t="str">
        <f t="shared" si="51"/>
        <v>×</v>
      </c>
      <c r="BJ124" s="804" t="str">
        <f t="shared" si="52"/>
        <v>×</v>
      </c>
      <c r="BK124" s="765" t="str">
        <f t="shared" si="53"/>
        <v>×</v>
      </c>
      <c r="BL124" s="768" t="str">
        <f t="shared" si="54"/>
        <v>×</v>
      </c>
      <c r="BM124" s="807" t="str">
        <f t="shared" si="48"/>
        <v>×</v>
      </c>
      <c r="BN124" s="805" t="str">
        <f t="shared" si="55"/>
        <v>×</v>
      </c>
      <c r="BO124" s="1199"/>
    </row>
    <row r="125" spans="1:67" ht="185.25" customHeight="1" thickTop="1" thickBot="1">
      <c r="A125" s="197"/>
      <c r="B125" s="1213" t="s">
        <v>1062</v>
      </c>
      <c r="C125" s="1143"/>
      <c r="D125" s="1143"/>
      <c r="E125" s="1214"/>
      <c r="F125" s="1213"/>
      <c r="G125" s="1215"/>
      <c r="H125" s="1143"/>
      <c r="I125" s="1144"/>
      <c r="J125" s="336"/>
      <c r="K125" s="112"/>
      <c r="L125" s="440" t="s">
        <v>577</v>
      </c>
      <c r="M125" s="112"/>
      <c r="N125" s="113"/>
      <c r="O125" s="113"/>
      <c r="P125" s="113"/>
      <c r="Q125" s="113"/>
      <c r="R125" s="113"/>
      <c r="S125" s="440" t="s">
        <v>578</v>
      </c>
      <c r="T125" s="113"/>
      <c r="U125" s="113"/>
      <c r="V125" s="1210" t="s">
        <v>1069</v>
      </c>
      <c r="W125" s="1210"/>
      <c r="X125" s="1143"/>
      <c r="Y125" s="1143"/>
      <c r="Z125" s="1144"/>
      <c r="AA125" s="112" t="s">
        <v>570</v>
      </c>
      <c r="AB125" s="199" t="s">
        <v>522</v>
      </c>
      <c r="AC125" s="113"/>
      <c r="AD125" s="890"/>
      <c r="AE125" s="113"/>
      <c r="AF125" s="113"/>
      <c r="AG125" s="113"/>
      <c r="AH125" s="917"/>
      <c r="AI125" s="917"/>
      <c r="AJ125" s="118"/>
      <c r="AK125" s="118"/>
      <c r="AL125" s="118"/>
      <c r="AM125" s="118"/>
      <c r="AN125" s="118"/>
      <c r="AO125" s="118"/>
      <c r="AP125" s="890" t="s">
        <v>498</v>
      </c>
      <c r="AQ125" s="113" t="s">
        <v>498</v>
      </c>
      <c r="AR125" s="113" t="s">
        <v>505</v>
      </c>
      <c r="AS125" s="890"/>
      <c r="AT125" s="113"/>
      <c r="AU125" s="203"/>
      <c r="AV125" s="203"/>
      <c r="AW125" s="380"/>
      <c r="AX125" s="935"/>
      <c r="AY125" s="890"/>
      <c r="AZ125" s="936"/>
      <c r="BA125" s="773"/>
      <c r="BB125" s="825"/>
      <c r="BC125" s="774"/>
      <c r="BD125" s="773"/>
      <c r="BE125" s="825"/>
      <c r="BF125" s="774"/>
      <c r="BG125" s="775"/>
      <c r="BH125" s="776"/>
      <c r="BI125" s="776"/>
      <c r="BJ125" s="783"/>
      <c r="BK125" s="773"/>
      <c r="BL125" s="774"/>
      <c r="BM125" s="788"/>
      <c r="BN125" s="777"/>
      <c r="BO125" s="119" t="s">
        <v>164</v>
      </c>
    </row>
  </sheetData>
  <mergeCells count="34">
    <mergeCell ref="N1:Q1"/>
    <mergeCell ref="AJ2:AL2"/>
    <mergeCell ref="AX1:AZ1"/>
    <mergeCell ref="V125:Z125"/>
    <mergeCell ref="A37:A45"/>
    <mergeCell ref="B125:E125"/>
    <mergeCell ref="F125:I125"/>
    <mergeCell ref="AM2:AN2"/>
    <mergeCell ref="BO22:BO36"/>
    <mergeCell ref="BO50:BO53"/>
    <mergeCell ref="A50:A51"/>
    <mergeCell ref="A80:A112"/>
    <mergeCell ref="A19:A35"/>
    <mergeCell ref="A46:A48"/>
    <mergeCell ref="A57:A77"/>
    <mergeCell ref="A78:A79"/>
    <mergeCell ref="BO78:BO124"/>
    <mergeCell ref="BO19:BO21"/>
    <mergeCell ref="BD1:BF1"/>
    <mergeCell ref="BG1:BN1"/>
    <mergeCell ref="BA1:BC1"/>
    <mergeCell ref="BY29:BY32"/>
    <mergeCell ref="A113:A124"/>
    <mergeCell ref="A5:A17"/>
    <mergeCell ref="X2:AA2"/>
    <mergeCell ref="AP1:AR1"/>
    <mergeCell ref="BO14:BO16"/>
    <mergeCell ref="AS1:AW1"/>
    <mergeCell ref="BO5:BO13"/>
    <mergeCell ref="F1:L1"/>
    <mergeCell ref="AB1:AF1"/>
    <mergeCell ref="AH2:AI2"/>
    <mergeCell ref="AG1:AO1"/>
    <mergeCell ref="S1:AA1"/>
  </mergeCells>
  <phoneticPr fontId="2"/>
  <dataValidations disablePrompts="1" count="3">
    <dataValidation type="list" allowBlank="1" showInputMessage="1" showErrorMessage="1" errorTitle="入力値が不正です" error="あらかじめ定義された値のみ入力できます" sqref="B5:B27 B34:B48 B50:B51 B54:B124" xr:uid="{00000000-0002-0000-0200-000000000000}">
      <formula1>対応表紙質範囲</formula1>
    </dataValidation>
    <dataValidation allowBlank="1" showInputMessage="1" showErrorMessage="1" errorTitle="入力値が不正です" error="あらかじめ定義された値のみ入力できます" sqref="C5:C28 C35 C37:C48 C50:C51 C54:C124" xr:uid="{00000000-0002-0000-0200-000001000000}"/>
    <dataValidation type="list" allowBlank="1" showInputMessage="1" showErrorMessage="1" sqref="B52:B53 B49 B28:B33" xr:uid="{00000000-0002-0000-0200-000002000000}">
      <formula1>対応表紙質範囲</formula1>
    </dataValidation>
  </dataValidations>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&amp;C&amp;9表A-2 用紙種類</oddHeader>
    <oddFooter>&amp;L&amp;9I.I IOT Device Functions&amp;C&amp;9&amp;P/&amp;N-1&amp;R&amp;9DDF-IOT-BotanPlus-Hisui-Apx-K1.0.8.xlsm</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BK115"/>
  <sheetViews>
    <sheetView showGridLines="0" topLeftCell="BB1" zoomScale="85" zoomScaleNormal="85" workbookViewId="0">
      <selection activeCell="AA91" sqref="AA91"/>
    </sheetView>
  </sheetViews>
  <sheetFormatPr defaultColWidth="9.140625" defaultRowHeight="13.5"/>
  <cols>
    <col min="1" max="1" width="20.140625" style="298" customWidth="1"/>
    <col min="2" max="22" width="3.7109375" style="298" customWidth="1"/>
    <col min="23" max="23" width="3.7109375" style="338" customWidth="1"/>
    <col min="24" max="62" width="3.7109375" style="298" customWidth="1"/>
    <col min="63" max="63" width="39.5703125" style="517" customWidth="1"/>
    <col min="64" max="16384" width="9.140625" style="298"/>
  </cols>
  <sheetData>
    <row r="1" spans="1:63" ht="24" customHeight="1">
      <c r="A1" s="188" t="s">
        <v>160</v>
      </c>
      <c r="B1" s="120"/>
      <c r="C1" s="476"/>
      <c r="D1" s="1236" t="s">
        <v>137</v>
      </c>
      <c r="E1" s="1184"/>
      <c r="F1" s="1184"/>
      <c r="G1" s="1184"/>
      <c r="H1" s="1184"/>
      <c r="I1" s="1184"/>
      <c r="J1" s="1184"/>
      <c r="K1" s="1172"/>
      <c r="L1" s="1224" t="s">
        <v>628</v>
      </c>
      <c r="M1" s="1225"/>
      <c r="N1" s="1225"/>
      <c r="O1" s="1225"/>
      <c r="P1" s="1225"/>
      <c r="Q1" s="1224" t="s">
        <v>632</v>
      </c>
      <c r="R1" s="1225"/>
      <c r="S1" s="1225"/>
      <c r="T1" s="1223"/>
      <c r="U1" s="1232" t="s">
        <v>629</v>
      </c>
      <c r="V1" s="1233"/>
      <c r="W1" s="219"/>
      <c r="X1" s="1224" t="s">
        <v>183</v>
      </c>
      <c r="Y1" s="1225"/>
      <c r="Z1" s="1225"/>
      <c r="AA1" s="1225"/>
      <c r="AB1" s="1224" t="s">
        <v>184</v>
      </c>
      <c r="AC1" s="1225"/>
      <c r="AD1" s="1225"/>
      <c r="AE1" s="1225"/>
      <c r="AF1" s="1224" t="s">
        <v>185</v>
      </c>
      <c r="AG1" s="1225"/>
      <c r="AH1" s="1225"/>
      <c r="AI1" s="1225"/>
      <c r="AJ1" s="1225"/>
      <c r="AK1" s="1224" t="s">
        <v>186</v>
      </c>
      <c r="AL1" s="1225"/>
      <c r="AM1" s="1225"/>
      <c r="AN1" s="1225"/>
      <c r="AO1" s="1225"/>
      <c r="AP1" s="1224" t="s">
        <v>630</v>
      </c>
      <c r="AQ1" s="1225"/>
      <c r="AR1" s="1225"/>
      <c r="AS1" s="1224" t="s">
        <v>631</v>
      </c>
      <c r="AT1" s="1225"/>
      <c r="AU1" s="1225"/>
      <c r="AV1" s="1231" t="s">
        <v>633</v>
      </c>
      <c r="AW1" s="1230"/>
      <c r="AX1" s="1187"/>
      <c r="AY1" s="1229" t="s">
        <v>634</v>
      </c>
      <c r="AZ1" s="1230"/>
      <c r="BA1" s="1187"/>
      <c r="BB1" s="650"/>
      <c r="BC1" s="650"/>
      <c r="BD1" s="1231" t="s">
        <v>635</v>
      </c>
      <c r="BE1" s="1187"/>
      <c r="BF1" s="1223" t="s">
        <v>636</v>
      </c>
      <c r="BG1" s="1187"/>
      <c r="BH1" s="115"/>
      <c r="BI1" s="883"/>
      <c r="BJ1" s="352"/>
      <c r="BK1" s="311" t="s">
        <v>13</v>
      </c>
    </row>
    <row r="2" spans="1:63" ht="91.5" customHeight="1">
      <c r="A2" s="121"/>
      <c r="B2" s="122"/>
      <c r="C2" s="353" t="s">
        <v>547</v>
      </c>
      <c r="D2" s="554" t="s">
        <v>789</v>
      </c>
      <c r="E2" s="29" t="s">
        <v>790</v>
      </c>
      <c r="F2" s="571" t="s">
        <v>791</v>
      </c>
      <c r="G2" s="571" t="s">
        <v>792</v>
      </c>
      <c r="H2" s="571" t="s">
        <v>793</v>
      </c>
      <c r="I2" s="571" t="s">
        <v>794</v>
      </c>
      <c r="J2" s="571" t="s">
        <v>795</v>
      </c>
      <c r="K2" s="29" t="s">
        <v>822</v>
      </c>
      <c r="L2" s="555" t="s">
        <v>739</v>
      </c>
      <c r="M2" s="555" t="s">
        <v>740</v>
      </c>
      <c r="N2" s="571" t="s">
        <v>741</v>
      </c>
      <c r="O2" s="571" t="s">
        <v>742</v>
      </c>
      <c r="P2" s="555" t="s">
        <v>743</v>
      </c>
      <c r="Q2" s="555" t="s">
        <v>796</v>
      </c>
      <c r="R2" s="555" t="s">
        <v>797</v>
      </c>
      <c r="S2" s="555" t="s">
        <v>747</v>
      </c>
      <c r="T2" s="695" t="s">
        <v>748</v>
      </c>
      <c r="U2" s="555" t="s">
        <v>727</v>
      </c>
      <c r="V2" s="555" t="s">
        <v>728</v>
      </c>
      <c r="W2" s="556" t="s">
        <v>682</v>
      </c>
      <c r="X2" s="555" t="s">
        <v>798</v>
      </c>
      <c r="Y2" s="29" t="s">
        <v>799</v>
      </c>
      <c r="Z2" s="29" t="s">
        <v>800</v>
      </c>
      <c r="AA2" s="29" t="s">
        <v>801</v>
      </c>
      <c r="AB2" s="29" t="s">
        <v>802</v>
      </c>
      <c r="AC2" s="29" t="s">
        <v>803</v>
      </c>
      <c r="AD2" s="29" t="s">
        <v>804</v>
      </c>
      <c r="AE2" s="29" t="s">
        <v>805</v>
      </c>
      <c r="AF2" s="29" t="s">
        <v>806</v>
      </c>
      <c r="AG2" s="571" t="s">
        <v>807</v>
      </c>
      <c r="AH2" s="571" t="s">
        <v>808</v>
      </c>
      <c r="AI2" s="571" t="s">
        <v>809</v>
      </c>
      <c r="AJ2" s="29" t="s">
        <v>810</v>
      </c>
      <c r="AK2" s="29" t="s">
        <v>811</v>
      </c>
      <c r="AL2" s="571" t="s">
        <v>812</v>
      </c>
      <c r="AM2" s="571" t="s">
        <v>813</v>
      </c>
      <c r="AN2" s="571" t="s">
        <v>814</v>
      </c>
      <c r="AO2" s="29" t="s">
        <v>815</v>
      </c>
      <c r="AP2" s="555" t="s">
        <v>816</v>
      </c>
      <c r="AQ2" s="555" t="s">
        <v>817</v>
      </c>
      <c r="AR2" s="555" t="s">
        <v>818</v>
      </c>
      <c r="AS2" s="555" t="s">
        <v>819</v>
      </c>
      <c r="AT2" s="555" t="s">
        <v>820</v>
      </c>
      <c r="AU2" s="555" t="s">
        <v>821</v>
      </c>
      <c r="AV2" s="555" t="s">
        <v>777</v>
      </c>
      <c r="AW2" s="555" t="s">
        <v>778</v>
      </c>
      <c r="AX2" s="555" t="s">
        <v>779</v>
      </c>
      <c r="AY2" s="555" t="s">
        <v>780</v>
      </c>
      <c r="AZ2" s="555" t="s">
        <v>781</v>
      </c>
      <c r="BA2" s="555" t="s">
        <v>782</v>
      </c>
      <c r="BB2" s="555" t="s">
        <v>830</v>
      </c>
      <c r="BC2" s="555" t="s">
        <v>832</v>
      </c>
      <c r="BD2" s="555" t="s">
        <v>783</v>
      </c>
      <c r="BE2" s="555" t="s">
        <v>784</v>
      </c>
      <c r="BF2" s="555" t="s">
        <v>785</v>
      </c>
      <c r="BG2" s="555" t="s">
        <v>786</v>
      </c>
      <c r="BH2" s="29" t="s">
        <v>787</v>
      </c>
      <c r="BI2" s="555" t="s">
        <v>788</v>
      </c>
      <c r="BJ2" s="29" t="s">
        <v>6</v>
      </c>
      <c r="BK2" s="312" t="s">
        <v>517</v>
      </c>
    </row>
    <row r="3" spans="1:63" s="519" customFormat="1" ht="18" customHeight="1" thickBot="1">
      <c r="A3" s="189" t="s">
        <v>138</v>
      </c>
      <c r="B3" s="130"/>
      <c r="C3" s="130"/>
      <c r="D3" s="131"/>
      <c r="E3" s="58"/>
      <c r="F3" s="480"/>
      <c r="G3" s="480"/>
      <c r="H3" s="480"/>
      <c r="I3" s="480"/>
      <c r="J3" s="480"/>
      <c r="K3" s="58"/>
      <c r="L3" s="388"/>
      <c r="M3" s="388"/>
      <c r="N3" s="482"/>
      <c r="O3" s="482"/>
      <c r="P3" s="427"/>
      <c r="Q3" s="388"/>
      <c r="R3" s="388"/>
      <c r="S3" s="427"/>
      <c r="T3" s="427"/>
      <c r="U3" s="388"/>
      <c r="V3" s="388"/>
      <c r="W3" s="220"/>
      <c r="X3" s="58"/>
      <c r="Y3" s="58"/>
      <c r="Z3" s="132"/>
      <c r="AA3" s="132"/>
      <c r="AB3" s="58"/>
      <c r="AC3" s="58"/>
      <c r="AD3" s="132"/>
      <c r="AE3" s="132"/>
      <c r="AF3" s="58"/>
      <c r="AG3" s="480"/>
      <c r="AH3" s="482"/>
      <c r="AI3" s="482"/>
      <c r="AJ3" s="132"/>
      <c r="AK3" s="58"/>
      <c r="AL3" s="480"/>
      <c r="AM3" s="482"/>
      <c r="AN3" s="482"/>
      <c r="AO3" s="132"/>
      <c r="AP3" s="388"/>
      <c r="AQ3" s="388"/>
      <c r="AR3" s="427"/>
      <c r="AS3" s="388"/>
      <c r="AT3" s="388"/>
      <c r="AU3" s="427"/>
      <c r="AV3" s="427"/>
      <c r="AW3" s="427"/>
      <c r="AX3" s="427"/>
      <c r="AY3" s="427"/>
      <c r="AZ3" s="427"/>
      <c r="BA3" s="427"/>
      <c r="BB3" s="132"/>
      <c r="BC3" s="132"/>
      <c r="BD3" s="427"/>
      <c r="BE3" s="427"/>
      <c r="BF3" s="427"/>
      <c r="BG3" s="427"/>
      <c r="BH3" s="132"/>
      <c r="BI3" s="427"/>
      <c r="BJ3" s="132"/>
      <c r="BK3" s="133" t="s">
        <v>518</v>
      </c>
    </row>
    <row r="4" spans="1:63">
      <c r="A4" s="580" t="s">
        <v>678</v>
      </c>
      <c r="B4" s="582"/>
      <c r="C4" s="583" t="s">
        <v>853</v>
      </c>
      <c r="D4" s="53" t="s">
        <v>8</v>
      </c>
      <c r="E4" s="53" t="s">
        <v>8</v>
      </c>
      <c r="F4" s="363" t="s">
        <v>58</v>
      </c>
      <c r="G4" s="363" t="s">
        <v>58</v>
      </c>
      <c r="H4" s="363" t="s">
        <v>849</v>
      </c>
      <c r="I4" s="363" t="s">
        <v>849</v>
      </c>
      <c r="J4" s="363" t="s">
        <v>849</v>
      </c>
      <c r="K4" s="53" t="s">
        <v>8</v>
      </c>
      <c r="L4" s="53" t="s">
        <v>8</v>
      </c>
      <c r="M4" s="53" t="s">
        <v>8</v>
      </c>
      <c r="N4" s="363" t="s">
        <v>58</v>
      </c>
      <c r="O4" s="363" t="s">
        <v>58</v>
      </c>
      <c r="P4" s="53" t="s">
        <v>8</v>
      </c>
      <c r="Q4" s="53" t="s">
        <v>8</v>
      </c>
      <c r="R4" s="53" t="s">
        <v>8</v>
      </c>
      <c r="S4" s="53" t="s">
        <v>8</v>
      </c>
      <c r="T4" s="54" t="s">
        <v>8</v>
      </c>
      <c r="U4" s="190" t="s">
        <v>853</v>
      </c>
      <c r="V4" s="190" t="s">
        <v>854</v>
      </c>
      <c r="W4" s="584" t="s">
        <v>8</v>
      </c>
      <c r="X4" s="53" t="s">
        <v>8</v>
      </c>
      <c r="Y4" s="53" t="s">
        <v>8</v>
      </c>
      <c r="Z4" s="53" t="s">
        <v>8</v>
      </c>
      <c r="AA4" s="53" t="s">
        <v>8</v>
      </c>
      <c r="AB4" s="53" t="s">
        <v>8</v>
      </c>
      <c r="AC4" s="53" t="s">
        <v>8</v>
      </c>
      <c r="AD4" s="53" t="s">
        <v>8</v>
      </c>
      <c r="AE4" s="53" t="s">
        <v>8</v>
      </c>
      <c r="AF4" s="53" t="s">
        <v>8</v>
      </c>
      <c r="AG4" s="483" t="s">
        <v>8</v>
      </c>
      <c r="AH4" s="483" t="s">
        <v>8</v>
      </c>
      <c r="AI4" s="483" t="s">
        <v>8</v>
      </c>
      <c r="AJ4" s="53" t="s">
        <v>8</v>
      </c>
      <c r="AK4" s="53" t="s">
        <v>8</v>
      </c>
      <c r="AL4" s="483" t="s">
        <v>8</v>
      </c>
      <c r="AM4" s="483" t="s">
        <v>8</v>
      </c>
      <c r="AN4" s="483" t="s">
        <v>8</v>
      </c>
      <c r="AO4" s="53" t="s">
        <v>8</v>
      </c>
      <c r="AP4" s="53" t="s">
        <v>8</v>
      </c>
      <c r="AQ4" s="53" t="s">
        <v>8</v>
      </c>
      <c r="AR4" s="53" t="s">
        <v>8</v>
      </c>
      <c r="AS4" s="53" t="s">
        <v>8</v>
      </c>
      <c r="AT4" s="53" t="s">
        <v>8</v>
      </c>
      <c r="AU4" s="53" t="s">
        <v>8</v>
      </c>
      <c r="AV4" s="53" t="s">
        <v>8</v>
      </c>
      <c r="AW4" s="53" t="s">
        <v>8</v>
      </c>
      <c r="AX4" s="53" t="s">
        <v>8</v>
      </c>
      <c r="AY4" s="53" t="s">
        <v>8</v>
      </c>
      <c r="AZ4" s="53" t="s">
        <v>8</v>
      </c>
      <c r="BA4" s="53" t="s">
        <v>8</v>
      </c>
      <c r="BB4" s="53" t="s">
        <v>8</v>
      </c>
      <c r="BC4" s="53" t="s">
        <v>8</v>
      </c>
      <c r="BD4" s="53" t="s">
        <v>8</v>
      </c>
      <c r="BE4" s="53" t="s">
        <v>8</v>
      </c>
      <c r="BF4" s="53" t="s">
        <v>8</v>
      </c>
      <c r="BG4" s="53" t="s">
        <v>8</v>
      </c>
      <c r="BH4" s="53" t="s">
        <v>8</v>
      </c>
      <c r="BI4" s="53" t="s">
        <v>8</v>
      </c>
      <c r="BJ4" s="53" t="s">
        <v>8</v>
      </c>
      <c r="BK4" s="593"/>
    </row>
    <row r="5" spans="1:63">
      <c r="A5" s="548" t="s">
        <v>823</v>
      </c>
      <c r="B5" s="123"/>
      <c r="C5" s="349" t="s">
        <v>546</v>
      </c>
      <c r="D5" s="52" t="s">
        <v>647</v>
      </c>
      <c r="E5" s="43" t="s">
        <v>648</v>
      </c>
      <c r="F5" s="363" t="s">
        <v>58</v>
      </c>
      <c r="G5" s="363" t="s">
        <v>58</v>
      </c>
      <c r="H5" s="363" t="s">
        <v>58</v>
      </c>
      <c r="I5" s="363" t="s">
        <v>58</v>
      </c>
      <c r="J5" s="363" t="s">
        <v>58</v>
      </c>
      <c r="K5" s="34" t="s">
        <v>637</v>
      </c>
      <c r="L5" s="34" t="s">
        <v>58</v>
      </c>
      <c r="M5" s="34" t="s">
        <v>58</v>
      </c>
      <c r="N5" s="363" t="s">
        <v>58</v>
      </c>
      <c r="O5" s="363" t="s">
        <v>58</v>
      </c>
      <c r="P5" s="34" t="s">
        <v>58</v>
      </c>
      <c r="Q5" s="36" t="s">
        <v>58</v>
      </c>
      <c r="R5" s="36" t="s">
        <v>58</v>
      </c>
      <c r="S5" s="36" t="s">
        <v>58</v>
      </c>
      <c r="T5" s="36" t="s">
        <v>58</v>
      </c>
      <c r="U5" s="34" t="s">
        <v>58</v>
      </c>
      <c r="V5" s="34" t="s">
        <v>58</v>
      </c>
      <c r="W5" s="221" t="s">
        <v>8</v>
      </c>
      <c r="X5" s="34" t="s">
        <v>8</v>
      </c>
      <c r="Y5" s="34" t="s">
        <v>8</v>
      </c>
      <c r="Z5" s="34" t="s">
        <v>8</v>
      </c>
      <c r="AA5" s="34" t="s">
        <v>8</v>
      </c>
      <c r="AB5" s="34" t="s">
        <v>8</v>
      </c>
      <c r="AC5" s="34" t="s">
        <v>8</v>
      </c>
      <c r="AD5" s="34" t="s">
        <v>8</v>
      </c>
      <c r="AE5" s="34" t="s">
        <v>8</v>
      </c>
      <c r="AF5" s="34" t="s">
        <v>8</v>
      </c>
      <c r="AG5" s="360" t="s">
        <v>8</v>
      </c>
      <c r="AH5" s="360" t="s">
        <v>8</v>
      </c>
      <c r="AI5" s="360" t="s">
        <v>8</v>
      </c>
      <c r="AJ5" s="34" t="s">
        <v>8</v>
      </c>
      <c r="AK5" s="34" t="s">
        <v>8</v>
      </c>
      <c r="AL5" s="360" t="s">
        <v>8</v>
      </c>
      <c r="AM5" s="360" t="s">
        <v>8</v>
      </c>
      <c r="AN5" s="360" t="s">
        <v>8</v>
      </c>
      <c r="AO5" s="34" t="s">
        <v>8</v>
      </c>
      <c r="AP5" s="34" t="s">
        <v>8</v>
      </c>
      <c r="AQ5" s="34" t="s">
        <v>8</v>
      </c>
      <c r="AR5" s="34" t="s">
        <v>8</v>
      </c>
      <c r="AS5" s="34" t="s">
        <v>8</v>
      </c>
      <c r="AT5" s="34" t="s">
        <v>8</v>
      </c>
      <c r="AU5" s="34" t="s">
        <v>8</v>
      </c>
      <c r="AV5" s="34" t="s">
        <v>8</v>
      </c>
      <c r="AW5" s="34" t="s">
        <v>8</v>
      </c>
      <c r="AX5" s="34" t="s">
        <v>8</v>
      </c>
      <c r="AY5" s="34" t="s">
        <v>8</v>
      </c>
      <c r="AZ5" s="34" t="s">
        <v>8</v>
      </c>
      <c r="BA5" s="34" t="s">
        <v>8</v>
      </c>
      <c r="BB5" s="34" t="s">
        <v>8</v>
      </c>
      <c r="BC5" s="34" t="s">
        <v>8</v>
      </c>
      <c r="BD5" s="34" t="s">
        <v>8</v>
      </c>
      <c r="BE5" s="34" t="s">
        <v>8</v>
      </c>
      <c r="BF5" s="34" t="s">
        <v>8</v>
      </c>
      <c r="BG5" s="34" t="s">
        <v>8</v>
      </c>
      <c r="BH5" s="34" t="s">
        <v>8</v>
      </c>
      <c r="BI5" s="34" t="s">
        <v>8</v>
      </c>
      <c r="BJ5" s="34" t="s">
        <v>8</v>
      </c>
      <c r="BK5" s="116"/>
    </row>
    <row r="6" spans="1:63">
      <c r="A6" s="548" t="s">
        <v>827</v>
      </c>
      <c r="B6" s="123"/>
      <c r="C6" s="349" t="s">
        <v>546</v>
      </c>
      <c r="D6" s="34" t="s">
        <v>8</v>
      </c>
      <c r="E6" s="34" t="s">
        <v>8</v>
      </c>
      <c r="F6" s="363" t="s">
        <v>58</v>
      </c>
      <c r="G6" s="363" t="s">
        <v>58</v>
      </c>
      <c r="H6" s="363" t="s">
        <v>58</v>
      </c>
      <c r="I6" s="363" t="s">
        <v>58</v>
      </c>
      <c r="J6" s="363" t="s">
        <v>58</v>
      </c>
      <c r="K6" s="34" t="s">
        <v>8</v>
      </c>
      <c r="L6" s="34" t="s">
        <v>649</v>
      </c>
      <c r="M6" s="34" t="s">
        <v>639</v>
      </c>
      <c r="N6" s="363" t="s">
        <v>58</v>
      </c>
      <c r="O6" s="363" t="s">
        <v>58</v>
      </c>
      <c r="P6" s="34" t="s">
        <v>639</v>
      </c>
      <c r="Q6" s="36" t="s">
        <v>58</v>
      </c>
      <c r="R6" s="36" t="s">
        <v>58</v>
      </c>
      <c r="S6" s="36" t="s">
        <v>58</v>
      </c>
      <c r="T6" s="36" t="s">
        <v>58</v>
      </c>
      <c r="U6" s="34" t="s">
        <v>58</v>
      </c>
      <c r="V6" s="34" t="s">
        <v>58</v>
      </c>
      <c r="W6" s="221" t="s">
        <v>8</v>
      </c>
      <c r="X6" s="34" t="s">
        <v>8</v>
      </c>
      <c r="Y6" s="34" t="s">
        <v>8</v>
      </c>
      <c r="Z6" s="34" t="s">
        <v>8</v>
      </c>
      <c r="AA6" s="34" t="s">
        <v>8</v>
      </c>
      <c r="AB6" s="34" t="s">
        <v>8</v>
      </c>
      <c r="AC6" s="34" t="s">
        <v>8</v>
      </c>
      <c r="AD6" s="34" t="s">
        <v>8</v>
      </c>
      <c r="AE6" s="34" t="s">
        <v>8</v>
      </c>
      <c r="AF6" s="34" t="s">
        <v>8</v>
      </c>
      <c r="AG6" s="360" t="s">
        <v>8</v>
      </c>
      <c r="AH6" s="360" t="s">
        <v>8</v>
      </c>
      <c r="AI6" s="360" t="s">
        <v>8</v>
      </c>
      <c r="AJ6" s="34" t="s">
        <v>8</v>
      </c>
      <c r="AK6" s="34" t="s">
        <v>8</v>
      </c>
      <c r="AL6" s="360" t="s">
        <v>8</v>
      </c>
      <c r="AM6" s="360" t="s">
        <v>8</v>
      </c>
      <c r="AN6" s="360" t="s">
        <v>8</v>
      </c>
      <c r="AO6" s="34" t="s">
        <v>8</v>
      </c>
      <c r="AP6" s="34" t="s">
        <v>8</v>
      </c>
      <c r="AQ6" s="34" t="s">
        <v>8</v>
      </c>
      <c r="AR6" s="34" t="s">
        <v>8</v>
      </c>
      <c r="AS6" s="34" t="s">
        <v>8</v>
      </c>
      <c r="AT6" s="34" t="s">
        <v>8</v>
      </c>
      <c r="AU6" s="34" t="s">
        <v>8</v>
      </c>
      <c r="AV6" s="34" t="s">
        <v>8</v>
      </c>
      <c r="AW6" s="34" t="s">
        <v>8</v>
      </c>
      <c r="AX6" s="34" t="s">
        <v>8</v>
      </c>
      <c r="AY6" s="34" t="s">
        <v>8</v>
      </c>
      <c r="AZ6" s="34" t="s">
        <v>8</v>
      </c>
      <c r="BA6" s="34" t="s">
        <v>8</v>
      </c>
      <c r="BB6" s="34" t="s">
        <v>8</v>
      </c>
      <c r="BC6" s="34" t="s">
        <v>8</v>
      </c>
      <c r="BD6" s="34" t="s">
        <v>8</v>
      </c>
      <c r="BE6" s="34" t="s">
        <v>8</v>
      </c>
      <c r="BF6" s="34" t="s">
        <v>8</v>
      </c>
      <c r="BG6" s="34" t="s">
        <v>8</v>
      </c>
      <c r="BH6" s="34" t="s">
        <v>8</v>
      </c>
      <c r="BI6" s="34" t="s">
        <v>8</v>
      </c>
      <c r="BJ6" s="34" t="s">
        <v>8</v>
      </c>
      <c r="BK6" s="357"/>
    </row>
    <row r="7" spans="1:63">
      <c r="A7" s="548" t="s">
        <v>824</v>
      </c>
      <c r="B7" s="123"/>
      <c r="C7" s="349" t="s">
        <v>546</v>
      </c>
      <c r="D7" s="34" t="s">
        <v>58</v>
      </c>
      <c r="E7" s="34" t="s">
        <v>58</v>
      </c>
      <c r="F7" s="363" t="s">
        <v>58</v>
      </c>
      <c r="G7" s="363" t="s">
        <v>58</v>
      </c>
      <c r="H7" s="363" t="s">
        <v>58</v>
      </c>
      <c r="I7" s="363" t="s">
        <v>58</v>
      </c>
      <c r="J7" s="363" t="s">
        <v>58</v>
      </c>
      <c r="K7" s="34" t="s">
        <v>8</v>
      </c>
      <c r="L7" s="34" t="s">
        <v>58</v>
      </c>
      <c r="M7" s="34" t="s">
        <v>58</v>
      </c>
      <c r="N7" s="363" t="s">
        <v>58</v>
      </c>
      <c r="O7" s="363" t="s">
        <v>58</v>
      </c>
      <c r="P7" s="34" t="s">
        <v>58</v>
      </c>
      <c r="Q7" s="34" t="s">
        <v>647</v>
      </c>
      <c r="R7" s="34" t="s">
        <v>649</v>
      </c>
      <c r="S7" s="34" t="s">
        <v>639</v>
      </c>
      <c r="T7" s="36" t="s">
        <v>639</v>
      </c>
      <c r="U7" s="34" t="s">
        <v>58</v>
      </c>
      <c r="V7" s="34" t="s">
        <v>58</v>
      </c>
      <c r="W7" s="221" t="s">
        <v>8</v>
      </c>
      <c r="X7" s="34" t="s">
        <v>8</v>
      </c>
      <c r="Y7" s="34" t="s">
        <v>8</v>
      </c>
      <c r="Z7" s="34" t="s">
        <v>8</v>
      </c>
      <c r="AA7" s="34" t="s">
        <v>8</v>
      </c>
      <c r="AB7" s="34" t="s">
        <v>8</v>
      </c>
      <c r="AC7" s="34" t="s">
        <v>8</v>
      </c>
      <c r="AD7" s="34" t="s">
        <v>8</v>
      </c>
      <c r="AE7" s="34" t="s">
        <v>8</v>
      </c>
      <c r="AF7" s="34" t="s">
        <v>8</v>
      </c>
      <c r="AG7" s="360" t="s">
        <v>8</v>
      </c>
      <c r="AH7" s="360" t="s">
        <v>8</v>
      </c>
      <c r="AI7" s="360" t="s">
        <v>8</v>
      </c>
      <c r="AJ7" s="34" t="s">
        <v>8</v>
      </c>
      <c r="AK7" s="34" t="s">
        <v>8</v>
      </c>
      <c r="AL7" s="360" t="s">
        <v>8</v>
      </c>
      <c r="AM7" s="360" t="s">
        <v>8</v>
      </c>
      <c r="AN7" s="360" t="s">
        <v>8</v>
      </c>
      <c r="AO7" s="34" t="s">
        <v>8</v>
      </c>
      <c r="AP7" s="34" t="s">
        <v>8</v>
      </c>
      <c r="AQ7" s="34" t="s">
        <v>8</v>
      </c>
      <c r="AR7" s="34" t="s">
        <v>8</v>
      </c>
      <c r="AS7" s="34" t="s">
        <v>8</v>
      </c>
      <c r="AT7" s="34" t="s">
        <v>8</v>
      </c>
      <c r="AU7" s="34" t="s">
        <v>8</v>
      </c>
      <c r="AV7" s="34" t="s">
        <v>8</v>
      </c>
      <c r="AW7" s="34" t="s">
        <v>8</v>
      </c>
      <c r="AX7" s="34" t="s">
        <v>8</v>
      </c>
      <c r="AY7" s="34" t="s">
        <v>8</v>
      </c>
      <c r="AZ7" s="34" t="s">
        <v>8</v>
      </c>
      <c r="BA7" s="34" t="s">
        <v>8</v>
      </c>
      <c r="BB7" s="34" t="s">
        <v>8</v>
      </c>
      <c r="BC7" s="34" t="s">
        <v>8</v>
      </c>
      <c r="BD7" s="34" t="s">
        <v>8</v>
      </c>
      <c r="BE7" s="34" t="s">
        <v>8</v>
      </c>
      <c r="BF7" s="34" t="s">
        <v>8</v>
      </c>
      <c r="BG7" s="34" t="s">
        <v>8</v>
      </c>
      <c r="BH7" s="34" t="s">
        <v>8</v>
      </c>
      <c r="BI7" s="34" t="s">
        <v>8</v>
      </c>
      <c r="BJ7" s="34" t="s">
        <v>8</v>
      </c>
      <c r="BK7" s="116" t="s">
        <v>937</v>
      </c>
    </row>
    <row r="8" spans="1:63" ht="13.5" customHeight="1">
      <c r="A8" s="548" t="s">
        <v>828</v>
      </c>
      <c r="B8" s="123"/>
      <c r="C8" s="349" t="s">
        <v>546</v>
      </c>
      <c r="D8" s="34" t="s">
        <v>649</v>
      </c>
      <c r="E8" s="34" t="s">
        <v>637</v>
      </c>
      <c r="F8" s="363" t="s">
        <v>58</v>
      </c>
      <c r="G8" s="363" t="s">
        <v>58</v>
      </c>
      <c r="H8" s="363" t="s">
        <v>58</v>
      </c>
      <c r="I8" s="363" t="s">
        <v>58</v>
      </c>
      <c r="J8" s="363" t="s">
        <v>58</v>
      </c>
      <c r="K8" s="34" t="s">
        <v>637</v>
      </c>
      <c r="L8" s="34" t="s">
        <v>58</v>
      </c>
      <c r="M8" s="34" t="s">
        <v>58</v>
      </c>
      <c r="N8" s="363" t="s">
        <v>58</v>
      </c>
      <c r="O8" s="363" t="s">
        <v>58</v>
      </c>
      <c r="P8" s="34" t="s">
        <v>58</v>
      </c>
      <c r="Q8" s="36" t="s">
        <v>58</v>
      </c>
      <c r="R8" s="36" t="s">
        <v>58</v>
      </c>
      <c r="S8" s="36" t="s">
        <v>58</v>
      </c>
      <c r="T8" s="36" t="s">
        <v>58</v>
      </c>
      <c r="U8" s="190" t="s">
        <v>1</v>
      </c>
      <c r="V8" s="190" t="s">
        <v>1</v>
      </c>
      <c r="W8" s="221" t="s">
        <v>8</v>
      </c>
      <c r="X8" s="34" t="s">
        <v>8</v>
      </c>
      <c r="Y8" s="34" t="s">
        <v>8</v>
      </c>
      <c r="Z8" s="34" t="s">
        <v>8</v>
      </c>
      <c r="AA8" s="34" t="s">
        <v>8</v>
      </c>
      <c r="AB8" s="34" t="s">
        <v>8</v>
      </c>
      <c r="AC8" s="34" t="s">
        <v>8</v>
      </c>
      <c r="AD8" s="34" t="s">
        <v>8</v>
      </c>
      <c r="AE8" s="34" t="s">
        <v>8</v>
      </c>
      <c r="AF8" s="34" t="s">
        <v>8</v>
      </c>
      <c r="AG8" s="360" t="s">
        <v>8</v>
      </c>
      <c r="AH8" s="360" t="s">
        <v>8</v>
      </c>
      <c r="AI8" s="360" t="s">
        <v>8</v>
      </c>
      <c r="AJ8" s="34" t="s">
        <v>8</v>
      </c>
      <c r="AK8" s="34" t="s">
        <v>8</v>
      </c>
      <c r="AL8" s="360" t="s">
        <v>8</v>
      </c>
      <c r="AM8" s="360" t="s">
        <v>8</v>
      </c>
      <c r="AN8" s="360" t="s">
        <v>8</v>
      </c>
      <c r="AO8" s="34" t="s">
        <v>8</v>
      </c>
      <c r="AP8" s="34" t="s">
        <v>8</v>
      </c>
      <c r="AQ8" s="34" t="s">
        <v>8</v>
      </c>
      <c r="AR8" s="34" t="s">
        <v>8</v>
      </c>
      <c r="AS8" s="34" t="s">
        <v>8</v>
      </c>
      <c r="AT8" s="34" t="s">
        <v>8</v>
      </c>
      <c r="AU8" s="34" t="s">
        <v>8</v>
      </c>
      <c r="AV8" s="34" t="s">
        <v>8</v>
      </c>
      <c r="AW8" s="34" t="s">
        <v>8</v>
      </c>
      <c r="AX8" s="34" t="s">
        <v>8</v>
      </c>
      <c r="AY8" s="34" t="s">
        <v>8</v>
      </c>
      <c r="AZ8" s="34" t="s">
        <v>8</v>
      </c>
      <c r="BA8" s="34" t="s">
        <v>8</v>
      </c>
      <c r="BB8" s="34" t="s">
        <v>8</v>
      </c>
      <c r="BC8" s="34" t="s">
        <v>8</v>
      </c>
      <c r="BD8" s="34" t="s">
        <v>8</v>
      </c>
      <c r="BE8" s="34" t="s">
        <v>8</v>
      </c>
      <c r="BF8" s="34" t="s">
        <v>8</v>
      </c>
      <c r="BG8" s="34" t="s">
        <v>8</v>
      </c>
      <c r="BH8" s="34" t="s">
        <v>8</v>
      </c>
      <c r="BI8" s="34" t="s">
        <v>8</v>
      </c>
      <c r="BJ8" s="34" t="s">
        <v>8</v>
      </c>
      <c r="BK8" s="1226"/>
    </row>
    <row r="9" spans="1:63">
      <c r="A9" s="548" t="s">
        <v>688</v>
      </c>
      <c r="B9" s="123"/>
      <c r="C9" s="349" t="s">
        <v>546</v>
      </c>
      <c r="D9" s="34" t="s">
        <v>649</v>
      </c>
      <c r="E9" s="34" t="s">
        <v>637</v>
      </c>
      <c r="F9" s="363" t="s">
        <v>58</v>
      </c>
      <c r="G9" s="363" t="s">
        <v>58</v>
      </c>
      <c r="H9" s="363" t="s">
        <v>58</v>
      </c>
      <c r="I9" s="363" t="s">
        <v>58</v>
      </c>
      <c r="J9" s="363" t="s">
        <v>58</v>
      </c>
      <c r="K9" s="34" t="s">
        <v>637</v>
      </c>
      <c r="L9" s="34" t="s">
        <v>58</v>
      </c>
      <c r="M9" s="34" t="s">
        <v>58</v>
      </c>
      <c r="N9" s="363" t="s">
        <v>58</v>
      </c>
      <c r="O9" s="363" t="s">
        <v>58</v>
      </c>
      <c r="P9" s="34" t="s">
        <v>58</v>
      </c>
      <c r="Q9" s="36" t="s">
        <v>58</v>
      </c>
      <c r="R9" s="36" t="s">
        <v>58</v>
      </c>
      <c r="S9" s="36" t="s">
        <v>58</v>
      </c>
      <c r="T9" s="36" t="s">
        <v>58</v>
      </c>
      <c r="U9" s="190" t="s">
        <v>1</v>
      </c>
      <c r="V9" s="190" t="s">
        <v>1</v>
      </c>
      <c r="W9" s="221" t="s">
        <v>8</v>
      </c>
      <c r="X9" s="34" t="s">
        <v>8</v>
      </c>
      <c r="Y9" s="34" t="s">
        <v>8</v>
      </c>
      <c r="Z9" s="34" t="s">
        <v>8</v>
      </c>
      <c r="AA9" s="34" t="s">
        <v>8</v>
      </c>
      <c r="AB9" s="34" t="s">
        <v>8</v>
      </c>
      <c r="AC9" s="34" t="s">
        <v>8</v>
      </c>
      <c r="AD9" s="34" t="s">
        <v>8</v>
      </c>
      <c r="AE9" s="34" t="s">
        <v>8</v>
      </c>
      <c r="AF9" s="34" t="s">
        <v>8</v>
      </c>
      <c r="AG9" s="360" t="s">
        <v>8</v>
      </c>
      <c r="AH9" s="360" t="s">
        <v>8</v>
      </c>
      <c r="AI9" s="360" t="s">
        <v>8</v>
      </c>
      <c r="AJ9" s="34" t="s">
        <v>8</v>
      </c>
      <c r="AK9" s="34" t="s">
        <v>8</v>
      </c>
      <c r="AL9" s="360" t="s">
        <v>8</v>
      </c>
      <c r="AM9" s="360" t="s">
        <v>8</v>
      </c>
      <c r="AN9" s="360" t="s">
        <v>8</v>
      </c>
      <c r="AO9" s="34" t="s">
        <v>8</v>
      </c>
      <c r="AP9" s="34" t="s">
        <v>8</v>
      </c>
      <c r="AQ9" s="34" t="s">
        <v>8</v>
      </c>
      <c r="AR9" s="34" t="s">
        <v>8</v>
      </c>
      <c r="AS9" s="34" t="s">
        <v>8</v>
      </c>
      <c r="AT9" s="34" t="s">
        <v>8</v>
      </c>
      <c r="AU9" s="34" t="s">
        <v>8</v>
      </c>
      <c r="AV9" s="34" t="s">
        <v>8</v>
      </c>
      <c r="AW9" s="34" t="s">
        <v>8</v>
      </c>
      <c r="AX9" s="34" t="s">
        <v>8</v>
      </c>
      <c r="AY9" s="34" t="s">
        <v>8</v>
      </c>
      <c r="AZ9" s="34" t="s">
        <v>8</v>
      </c>
      <c r="BA9" s="34" t="s">
        <v>8</v>
      </c>
      <c r="BB9" s="34" t="s">
        <v>8</v>
      </c>
      <c r="BC9" s="34" t="s">
        <v>8</v>
      </c>
      <c r="BD9" s="34" t="s">
        <v>8</v>
      </c>
      <c r="BE9" s="34" t="s">
        <v>8</v>
      </c>
      <c r="BF9" s="34" t="s">
        <v>8</v>
      </c>
      <c r="BG9" s="34" t="s">
        <v>8</v>
      </c>
      <c r="BH9" s="34" t="s">
        <v>8</v>
      </c>
      <c r="BI9" s="34" t="s">
        <v>8</v>
      </c>
      <c r="BJ9" s="34" t="s">
        <v>8</v>
      </c>
      <c r="BK9" s="1227"/>
    </row>
    <row r="10" spans="1:63">
      <c r="A10" s="548" t="s">
        <v>689</v>
      </c>
      <c r="B10" s="123"/>
      <c r="C10" s="349" t="s">
        <v>546</v>
      </c>
      <c r="D10" s="34" t="s">
        <v>649</v>
      </c>
      <c r="E10" s="34" t="s">
        <v>637</v>
      </c>
      <c r="F10" s="363" t="s">
        <v>58</v>
      </c>
      <c r="G10" s="363" t="s">
        <v>58</v>
      </c>
      <c r="H10" s="363" t="s">
        <v>58</v>
      </c>
      <c r="I10" s="363" t="s">
        <v>58</v>
      </c>
      <c r="J10" s="363" t="s">
        <v>58</v>
      </c>
      <c r="K10" s="34" t="s">
        <v>637</v>
      </c>
      <c r="L10" s="34" t="s">
        <v>58</v>
      </c>
      <c r="M10" s="34" t="s">
        <v>58</v>
      </c>
      <c r="N10" s="363" t="s">
        <v>58</v>
      </c>
      <c r="O10" s="363" t="s">
        <v>58</v>
      </c>
      <c r="P10" s="34" t="s">
        <v>58</v>
      </c>
      <c r="Q10" s="36" t="s">
        <v>58</v>
      </c>
      <c r="R10" s="36" t="s">
        <v>58</v>
      </c>
      <c r="S10" s="36" t="s">
        <v>58</v>
      </c>
      <c r="T10" s="36" t="s">
        <v>58</v>
      </c>
      <c r="U10" s="190" t="s">
        <v>1</v>
      </c>
      <c r="V10" s="190" t="s">
        <v>1</v>
      </c>
      <c r="W10" s="221" t="s">
        <v>8</v>
      </c>
      <c r="X10" s="34" t="s">
        <v>8</v>
      </c>
      <c r="Y10" s="34" t="s">
        <v>8</v>
      </c>
      <c r="Z10" s="34" t="s">
        <v>8</v>
      </c>
      <c r="AA10" s="34" t="s">
        <v>8</v>
      </c>
      <c r="AB10" s="34" t="s">
        <v>8</v>
      </c>
      <c r="AC10" s="34" t="s">
        <v>8</v>
      </c>
      <c r="AD10" s="34" t="s">
        <v>8</v>
      </c>
      <c r="AE10" s="34" t="s">
        <v>8</v>
      </c>
      <c r="AF10" s="34" t="s">
        <v>8</v>
      </c>
      <c r="AG10" s="360" t="s">
        <v>8</v>
      </c>
      <c r="AH10" s="360" t="s">
        <v>8</v>
      </c>
      <c r="AI10" s="360" t="s">
        <v>8</v>
      </c>
      <c r="AJ10" s="34" t="s">
        <v>8</v>
      </c>
      <c r="AK10" s="34" t="s">
        <v>8</v>
      </c>
      <c r="AL10" s="360" t="s">
        <v>8</v>
      </c>
      <c r="AM10" s="360" t="s">
        <v>8</v>
      </c>
      <c r="AN10" s="360" t="s">
        <v>8</v>
      </c>
      <c r="AO10" s="34" t="s">
        <v>8</v>
      </c>
      <c r="AP10" s="34" t="s">
        <v>8</v>
      </c>
      <c r="AQ10" s="34" t="s">
        <v>8</v>
      </c>
      <c r="AR10" s="34" t="s">
        <v>8</v>
      </c>
      <c r="AS10" s="34" t="s">
        <v>8</v>
      </c>
      <c r="AT10" s="34" t="s">
        <v>8</v>
      </c>
      <c r="AU10" s="34" t="s">
        <v>8</v>
      </c>
      <c r="AV10" s="34" t="s">
        <v>8</v>
      </c>
      <c r="AW10" s="34" t="s">
        <v>8</v>
      </c>
      <c r="AX10" s="34" t="s">
        <v>8</v>
      </c>
      <c r="AY10" s="34" t="s">
        <v>8</v>
      </c>
      <c r="AZ10" s="34" t="s">
        <v>8</v>
      </c>
      <c r="BA10" s="34" t="s">
        <v>8</v>
      </c>
      <c r="BB10" s="34" t="s">
        <v>8</v>
      </c>
      <c r="BC10" s="34" t="s">
        <v>8</v>
      </c>
      <c r="BD10" s="34" t="s">
        <v>8</v>
      </c>
      <c r="BE10" s="34" t="s">
        <v>8</v>
      </c>
      <c r="BF10" s="34" t="s">
        <v>8</v>
      </c>
      <c r="BG10" s="34" t="s">
        <v>8</v>
      </c>
      <c r="BH10" s="34" t="s">
        <v>8</v>
      </c>
      <c r="BI10" s="34" t="s">
        <v>8</v>
      </c>
      <c r="BJ10" s="34" t="s">
        <v>8</v>
      </c>
      <c r="BK10" s="1227"/>
    </row>
    <row r="11" spans="1:63">
      <c r="A11" s="548" t="s">
        <v>690</v>
      </c>
      <c r="B11" s="123"/>
      <c r="C11" s="349" t="s">
        <v>546</v>
      </c>
      <c r="D11" s="34" t="s">
        <v>649</v>
      </c>
      <c r="E11" s="34" t="s">
        <v>637</v>
      </c>
      <c r="F11" s="363" t="s">
        <v>58</v>
      </c>
      <c r="G11" s="363" t="s">
        <v>58</v>
      </c>
      <c r="H11" s="363" t="s">
        <v>58</v>
      </c>
      <c r="I11" s="363" t="s">
        <v>58</v>
      </c>
      <c r="J11" s="363" t="s">
        <v>58</v>
      </c>
      <c r="K11" s="34" t="s">
        <v>637</v>
      </c>
      <c r="L11" s="34" t="s">
        <v>58</v>
      </c>
      <c r="M11" s="34" t="s">
        <v>58</v>
      </c>
      <c r="N11" s="363" t="s">
        <v>58</v>
      </c>
      <c r="O11" s="363" t="s">
        <v>58</v>
      </c>
      <c r="P11" s="34" t="s">
        <v>58</v>
      </c>
      <c r="Q11" s="36" t="s">
        <v>58</v>
      </c>
      <c r="R11" s="36" t="s">
        <v>58</v>
      </c>
      <c r="S11" s="36" t="s">
        <v>58</v>
      </c>
      <c r="T11" s="36" t="s">
        <v>58</v>
      </c>
      <c r="U11" s="190" t="s">
        <v>1</v>
      </c>
      <c r="V11" s="190" t="s">
        <v>1</v>
      </c>
      <c r="W11" s="221" t="s">
        <v>8</v>
      </c>
      <c r="X11" s="34" t="s">
        <v>8</v>
      </c>
      <c r="Y11" s="34" t="s">
        <v>8</v>
      </c>
      <c r="Z11" s="34" t="s">
        <v>8</v>
      </c>
      <c r="AA11" s="34" t="s">
        <v>8</v>
      </c>
      <c r="AB11" s="34" t="s">
        <v>8</v>
      </c>
      <c r="AC11" s="34" t="s">
        <v>8</v>
      </c>
      <c r="AD11" s="34" t="s">
        <v>8</v>
      </c>
      <c r="AE11" s="34" t="s">
        <v>8</v>
      </c>
      <c r="AF11" s="34" t="s">
        <v>8</v>
      </c>
      <c r="AG11" s="360" t="s">
        <v>8</v>
      </c>
      <c r="AH11" s="360" t="s">
        <v>8</v>
      </c>
      <c r="AI11" s="360" t="s">
        <v>8</v>
      </c>
      <c r="AJ11" s="34" t="s">
        <v>8</v>
      </c>
      <c r="AK11" s="34" t="s">
        <v>8</v>
      </c>
      <c r="AL11" s="360" t="s">
        <v>8</v>
      </c>
      <c r="AM11" s="360" t="s">
        <v>8</v>
      </c>
      <c r="AN11" s="360" t="s">
        <v>8</v>
      </c>
      <c r="AO11" s="34" t="s">
        <v>8</v>
      </c>
      <c r="AP11" s="34" t="s">
        <v>8</v>
      </c>
      <c r="AQ11" s="34" t="s">
        <v>8</v>
      </c>
      <c r="AR11" s="34" t="s">
        <v>8</v>
      </c>
      <c r="AS11" s="34" t="s">
        <v>8</v>
      </c>
      <c r="AT11" s="34" t="s">
        <v>8</v>
      </c>
      <c r="AU11" s="34" t="s">
        <v>8</v>
      </c>
      <c r="AV11" s="34" t="s">
        <v>8</v>
      </c>
      <c r="AW11" s="34" t="s">
        <v>8</v>
      </c>
      <c r="AX11" s="34" t="s">
        <v>8</v>
      </c>
      <c r="AY11" s="34" t="s">
        <v>8</v>
      </c>
      <c r="AZ11" s="34" t="s">
        <v>8</v>
      </c>
      <c r="BA11" s="34" t="s">
        <v>8</v>
      </c>
      <c r="BB11" s="34" t="s">
        <v>8</v>
      </c>
      <c r="BC11" s="34" t="s">
        <v>8</v>
      </c>
      <c r="BD11" s="34" t="s">
        <v>8</v>
      </c>
      <c r="BE11" s="34" t="s">
        <v>8</v>
      </c>
      <c r="BF11" s="34" t="s">
        <v>8</v>
      </c>
      <c r="BG11" s="34" t="s">
        <v>8</v>
      </c>
      <c r="BH11" s="34" t="s">
        <v>8</v>
      </c>
      <c r="BI11" s="34" t="s">
        <v>8</v>
      </c>
      <c r="BJ11" s="34" t="s">
        <v>8</v>
      </c>
      <c r="BK11" s="1227"/>
    </row>
    <row r="12" spans="1:63">
      <c r="A12" s="548" t="s">
        <v>691</v>
      </c>
      <c r="B12" s="123"/>
      <c r="C12" s="349" t="s">
        <v>546</v>
      </c>
      <c r="D12" s="51" t="s">
        <v>637</v>
      </c>
      <c r="E12" s="34" t="s">
        <v>637</v>
      </c>
      <c r="F12" s="363" t="s">
        <v>58</v>
      </c>
      <c r="G12" s="363" t="s">
        <v>58</v>
      </c>
      <c r="H12" s="363" t="s">
        <v>58</v>
      </c>
      <c r="I12" s="363" t="s">
        <v>58</v>
      </c>
      <c r="J12" s="363" t="s">
        <v>58</v>
      </c>
      <c r="K12" s="34" t="s">
        <v>650</v>
      </c>
      <c r="L12" s="34" t="s">
        <v>58</v>
      </c>
      <c r="M12" s="34" t="s">
        <v>58</v>
      </c>
      <c r="N12" s="363" t="s">
        <v>58</v>
      </c>
      <c r="O12" s="363" t="s">
        <v>58</v>
      </c>
      <c r="P12" s="34" t="s">
        <v>58</v>
      </c>
      <c r="Q12" s="36" t="s">
        <v>58</v>
      </c>
      <c r="R12" s="36" t="s">
        <v>58</v>
      </c>
      <c r="S12" s="36" t="s">
        <v>58</v>
      </c>
      <c r="T12" s="36" t="s">
        <v>58</v>
      </c>
      <c r="U12" s="190" t="s">
        <v>1</v>
      </c>
      <c r="V12" s="190" t="s">
        <v>1</v>
      </c>
      <c r="W12" s="221" t="s">
        <v>8</v>
      </c>
      <c r="X12" s="34" t="s">
        <v>8</v>
      </c>
      <c r="Y12" s="34" t="s">
        <v>8</v>
      </c>
      <c r="Z12" s="34" t="s">
        <v>8</v>
      </c>
      <c r="AA12" s="34" t="s">
        <v>8</v>
      </c>
      <c r="AB12" s="34" t="s">
        <v>8</v>
      </c>
      <c r="AC12" s="34" t="s">
        <v>8</v>
      </c>
      <c r="AD12" s="34" t="s">
        <v>8</v>
      </c>
      <c r="AE12" s="34" t="s">
        <v>8</v>
      </c>
      <c r="AF12" s="34" t="s">
        <v>8</v>
      </c>
      <c r="AG12" s="360" t="s">
        <v>8</v>
      </c>
      <c r="AH12" s="360" t="s">
        <v>8</v>
      </c>
      <c r="AI12" s="360" t="s">
        <v>8</v>
      </c>
      <c r="AJ12" s="34" t="s">
        <v>8</v>
      </c>
      <c r="AK12" s="34" t="s">
        <v>8</v>
      </c>
      <c r="AL12" s="360" t="s">
        <v>8</v>
      </c>
      <c r="AM12" s="360" t="s">
        <v>8</v>
      </c>
      <c r="AN12" s="360" t="s">
        <v>8</v>
      </c>
      <c r="AO12" s="34" t="s">
        <v>8</v>
      </c>
      <c r="AP12" s="34" t="s">
        <v>8</v>
      </c>
      <c r="AQ12" s="34" t="s">
        <v>8</v>
      </c>
      <c r="AR12" s="34" t="s">
        <v>8</v>
      </c>
      <c r="AS12" s="34" t="s">
        <v>8</v>
      </c>
      <c r="AT12" s="34" t="s">
        <v>8</v>
      </c>
      <c r="AU12" s="34" t="s">
        <v>8</v>
      </c>
      <c r="AV12" s="34" t="s">
        <v>8</v>
      </c>
      <c r="AW12" s="34" t="s">
        <v>8</v>
      </c>
      <c r="AX12" s="34" t="s">
        <v>8</v>
      </c>
      <c r="AY12" s="34" t="s">
        <v>8</v>
      </c>
      <c r="AZ12" s="34" t="s">
        <v>8</v>
      </c>
      <c r="BA12" s="34" t="s">
        <v>8</v>
      </c>
      <c r="BB12" s="34" t="s">
        <v>8</v>
      </c>
      <c r="BC12" s="34" t="s">
        <v>8</v>
      </c>
      <c r="BD12" s="34" t="s">
        <v>8</v>
      </c>
      <c r="BE12" s="34" t="s">
        <v>8</v>
      </c>
      <c r="BF12" s="34" t="s">
        <v>8</v>
      </c>
      <c r="BG12" s="34" t="s">
        <v>8</v>
      </c>
      <c r="BH12" s="34" t="s">
        <v>8</v>
      </c>
      <c r="BI12" s="34" t="s">
        <v>8</v>
      </c>
      <c r="BJ12" s="34" t="s">
        <v>8</v>
      </c>
      <c r="BK12" s="1228"/>
    </row>
    <row r="13" spans="1:63" ht="12.75" customHeight="1">
      <c r="A13" s="549" t="s">
        <v>825</v>
      </c>
      <c r="B13" s="123"/>
      <c r="C13" s="594" t="s">
        <v>1</v>
      </c>
      <c r="D13" s="52" t="s">
        <v>647</v>
      </c>
      <c r="E13" s="34" t="s">
        <v>637</v>
      </c>
      <c r="F13" s="363" t="s">
        <v>58</v>
      </c>
      <c r="G13" s="363" t="s">
        <v>58</v>
      </c>
      <c r="H13" s="363" t="s">
        <v>58</v>
      </c>
      <c r="I13" s="363" t="s">
        <v>58</v>
      </c>
      <c r="J13" s="363" t="s">
        <v>58</v>
      </c>
      <c r="K13" s="34" t="s">
        <v>638</v>
      </c>
      <c r="L13" s="34" t="s">
        <v>58</v>
      </c>
      <c r="M13" s="34" t="s">
        <v>58</v>
      </c>
      <c r="N13" s="363" t="s">
        <v>58</v>
      </c>
      <c r="O13" s="363" t="s">
        <v>58</v>
      </c>
      <c r="P13" s="34" t="s">
        <v>58</v>
      </c>
      <c r="Q13" s="36" t="s">
        <v>58</v>
      </c>
      <c r="R13" s="36" t="s">
        <v>58</v>
      </c>
      <c r="S13" s="36" t="s">
        <v>58</v>
      </c>
      <c r="T13" s="36" t="s">
        <v>58</v>
      </c>
      <c r="U13" s="34" t="s">
        <v>58</v>
      </c>
      <c r="V13" s="34" t="s">
        <v>58</v>
      </c>
      <c r="W13" s="222" t="s">
        <v>58</v>
      </c>
      <c r="X13" s="36" t="s">
        <v>58</v>
      </c>
      <c r="Y13" s="36" t="s">
        <v>58</v>
      </c>
      <c r="Z13" s="36" t="s">
        <v>58</v>
      </c>
      <c r="AA13" s="36" t="s">
        <v>58</v>
      </c>
      <c r="AB13" s="36" t="s">
        <v>58</v>
      </c>
      <c r="AC13" s="36" t="s">
        <v>58</v>
      </c>
      <c r="AD13" s="36" t="s">
        <v>58</v>
      </c>
      <c r="AE13" s="36" t="s">
        <v>58</v>
      </c>
      <c r="AF13" s="36" t="s">
        <v>58</v>
      </c>
      <c r="AG13" s="360" t="s">
        <v>8</v>
      </c>
      <c r="AH13" s="360" t="s">
        <v>8</v>
      </c>
      <c r="AI13" s="360" t="s">
        <v>8</v>
      </c>
      <c r="AJ13" s="36" t="s">
        <v>58</v>
      </c>
      <c r="AK13" s="36" t="s">
        <v>58</v>
      </c>
      <c r="AL13" s="360" t="s">
        <v>8</v>
      </c>
      <c r="AM13" s="360" t="s">
        <v>8</v>
      </c>
      <c r="AN13" s="360" t="s">
        <v>8</v>
      </c>
      <c r="AO13" s="36" t="s">
        <v>58</v>
      </c>
      <c r="AP13" s="36" t="s">
        <v>58</v>
      </c>
      <c r="AQ13" s="36" t="s">
        <v>58</v>
      </c>
      <c r="AR13" s="36" t="s">
        <v>58</v>
      </c>
      <c r="AS13" s="36" t="s">
        <v>58</v>
      </c>
      <c r="AT13" s="36" t="s">
        <v>58</v>
      </c>
      <c r="AU13" s="36" t="s">
        <v>58</v>
      </c>
      <c r="AV13" s="36" t="s">
        <v>58</v>
      </c>
      <c r="AW13" s="36" t="s">
        <v>58</v>
      </c>
      <c r="AX13" s="36" t="s">
        <v>58</v>
      </c>
      <c r="AY13" s="36" t="s">
        <v>58</v>
      </c>
      <c r="AZ13" s="36" t="s">
        <v>58</v>
      </c>
      <c r="BA13" s="36" t="s">
        <v>58</v>
      </c>
      <c r="BB13" s="36" t="s">
        <v>58</v>
      </c>
      <c r="BC13" s="36" t="s">
        <v>58</v>
      </c>
      <c r="BD13" s="36" t="s">
        <v>58</v>
      </c>
      <c r="BE13" s="36" t="s">
        <v>58</v>
      </c>
      <c r="BF13" s="36" t="s">
        <v>58</v>
      </c>
      <c r="BG13" s="36" t="s">
        <v>58</v>
      </c>
      <c r="BH13" s="36" t="s">
        <v>58</v>
      </c>
      <c r="BI13" s="36" t="s">
        <v>58</v>
      </c>
      <c r="BJ13" s="36" t="s">
        <v>58</v>
      </c>
      <c r="BK13" s="595"/>
    </row>
    <row r="14" spans="1:63">
      <c r="A14" s="548" t="s">
        <v>692</v>
      </c>
      <c r="B14" s="123"/>
      <c r="C14" s="594" t="s">
        <v>1</v>
      </c>
      <c r="D14" s="52" t="s">
        <v>649</v>
      </c>
      <c r="E14" s="43" t="s">
        <v>639</v>
      </c>
      <c r="F14" s="363" t="s">
        <v>58</v>
      </c>
      <c r="G14" s="363" t="s">
        <v>58</v>
      </c>
      <c r="H14" s="363" t="s">
        <v>58</v>
      </c>
      <c r="I14" s="363" t="s">
        <v>58</v>
      </c>
      <c r="J14" s="363" t="s">
        <v>58</v>
      </c>
      <c r="K14" s="34" t="s">
        <v>639</v>
      </c>
      <c r="L14" s="34" t="s">
        <v>58</v>
      </c>
      <c r="M14" s="34" t="s">
        <v>58</v>
      </c>
      <c r="N14" s="363" t="s">
        <v>58</v>
      </c>
      <c r="O14" s="363" t="s">
        <v>58</v>
      </c>
      <c r="P14" s="34" t="s">
        <v>58</v>
      </c>
      <c r="Q14" s="36" t="s">
        <v>58</v>
      </c>
      <c r="R14" s="36" t="s">
        <v>58</v>
      </c>
      <c r="S14" s="36" t="s">
        <v>58</v>
      </c>
      <c r="T14" s="36" t="s">
        <v>58</v>
      </c>
      <c r="U14" s="34" t="s">
        <v>58</v>
      </c>
      <c r="V14" s="34" t="s">
        <v>58</v>
      </c>
      <c r="W14" s="222" t="s">
        <v>58</v>
      </c>
      <c r="X14" s="36" t="s">
        <v>58</v>
      </c>
      <c r="Y14" s="36" t="s">
        <v>58</v>
      </c>
      <c r="Z14" s="36" t="s">
        <v>58</v>
      </c>
      <c r="AA14" s="36" t="s">
        <v>58</v>
      </c>
      <c r="AB14" s="36" t="s">
        <v>58</v>
      </c>
      <c r="AC14" s="36" t="s">
        <v>58</v>
      </c>
      <c r="AD14" s="36" t="s">
        <v>58</v>
      </c>
      <c r="AE14" s="36" t="s">
        <v>58</v>
      </c>
      <c r="AF14" s="36" t="s">
        <v>58</v>
      </c>
      <c r="AG14" s="360" t="s">
        <v>8</v>
      </c>
      <c r="AH14" s="360" t="s">
        <v>8</v>
      </c>
      <c r="AI14" s="360" t="s">
        <v>8</v>
      </c>
      <c r="AJ14" s="36" t="s">
        <v>58</v>
      </c>
      <c r="AK14" s="36" t="s">
        <v>58</v>
      </c>
      <c r="AL14" s="360" t="s">
        <v>8</v>
      </c>
      <c r="AM14" s="360" t="s">
        <v>8</v>
      </c>
      <c r="AN14" s="360" t="s">
        <v>8</v>
      </c>
      <c r="AO14" s="36" t="s">
        <v>58</v>
      </c>
      <c r="AP14" s="36" t="s">
        <v>58</v>
      </c>
      <c r="AQ14" s="36" t="s">
        <v>58</v>
      </c>
      <c r="AR14" s="36" t="s">
        <v>58</v>
      </c>
      <c r="AS14" s="36" t="s">
        <v>58</v>
      </c>
      <c r="AT14" s="36" t="s">
        <v>58</v>
      </c>
      <c r="AU14" s="36" t="s">
        <v>58</v>
      </c>
      <c r="AV14" s="36" t="s">
        <v>58</v>
      </c>
      <c r="AW14" s="36" t="s">
        <v>58</v>
      </c>
      <c r="AX14" s="36" t="s">
        <v>58</v>
      </c>
      <c r="AY14" s="36" t="s">
        <v>58</v>
      </c>
      <c r="AZ14" s="36" t="s">
        <v>58</v>
      </c>
      <c r="BA14" s="36" t="s">
        <v>58</v>
      </c>
      <c r="BB14" s="36" t="s">
        <v>58</v>
      </c>
      <c r="BC14" s="36" t="s">
        <v>58</v>
      </c>
      <c r="BD14" s="36" t="s">
        <v>58</v>
      </c>
      <c r="BE14" s="36" t="s">
        <v>58</v>
      </c>
      <c r="BF14" s="36" t="s">
        <v>58</v>
      </c>
      <c r="BG14" s="36" t="s">
        <v>58</v>
      </c>
      <c r="BH14" s="36" t="s">
        <v>58</v>
      </c>
      <c r="BI14" s="36" t="s">
        <v>58</v>
      </c>
      <c r="BJ14" s="36" t="s">
        <v>58</v>
      </c>
      <c r="BK14" s="1220"/>
    </row>
    <row r="15" spans="1:63">
      <c r="A15" s="548" t="s">
        <v>693</v>
      </c>
      <c r="B15" s="123"/>
      <c r="C15" s="594" t="s">
        <v>1</v>
      </c>
      <c r="D15" s="52" t="s">
        <v>649</v>
      </c>
      <c r="E15" s="43" t="s">
        <v>639</v>
      </c>
      <c r="F15" s="363" t="s">
        <v>58</v>
      </c>
      <c r="G15" s="363" t="s">
        <v>58</v>
      </c>
      <c r="H15" s="363" t="s">
        <v>58</v>
      </c>
      <c r="I15" s="363" t="s">
        <v>58</v>
      </c>
      <c r="J15" s="363" t="s">
        <v>58</v>
      </c>
      <c r="K15" s="34" t="s">
        <v>639</v>
      </c>
      <c r="L15" s="34" t="s">
        <v>58</v>
      </c>
      <c r="M15" s="34" t="s">
        <v>58</v>
      </c>
      <c r="N15" s="363" t="s">
        <v>58</v>
      </c>
      <c r="O15" s="363" t="s">
        <v>58</v>
      </c>
      <c r="P15" s="34" t="s">
        <v>58</v>
      </c>
      <c r="Q15" s="36" t="s">
        <v>58</v>
      </c>
      <c r="R15" s="36" t="s">
        <v>58</v>
      </c>
      <c r="S15" s="36" t="s">
        <v>58</v>
      </c>
      <c r="T15" s="36" t="s">
        <v>58</v>
      </c>
      <c r="U15" s="34" t="s">
        <v>58</v>
      </c>
      <c r="V15" s="34" t="s">
        <v>58</v>
      </c>
      <c r="W15" s="222" t="s">
        <v>58</v>
      </c>
      <c r="X15" s="36" t="s">
        <v>58</v>
      </c>
      <c r="Y15" s="36" t="s">
        <v>58</v>
      </c>
      <c r="Z15" s="36" t="s">
        <v>58</v>
      </c>
      <c r="AA15" s="36" t="s">
        <v>58</v>
      </c>
      <c r="AB15" s="36" t="s">
        <v>58</v>
      </c>
      <c r="AC15" s="36" t="s">
        <v>58</v>
      </c>
      <c r="AD15" s="36" t="s">
        <v>58</v>
      </c>
      <c r="AE15" s="36" t="s">
        <v>58</v>
      </c>
      <c r="AF15" s="36" t="s">
        <v>58</v>
      </c>
      <c r="AG15" s="360" t="s">
        <v>8</v>
      </c>
      <c r="AH15" s="360" t="s">
        <v>8</v>
      </c>
      <c r="AI15" s="360" t="s">
        <v>8</v>
      </c>
      <c r="AJ15" s="36" t="s">
        <v>58</v>
      </c>
      <c r="AK15" s="36" t="s">
        <v>58</v>
      </c>
      <c r="AL15" s="360" t="s">
        <v>8</v>
      </c>
      <c r="AM15" s="360" t="s">
        <v>8</v>
      </c>
      <c r="AN15" s="360" t="s">
        <v>8</v>
      </c>
      <c r="AO15" s="36" t="s">
        <v>58</v>
      </c>
      <c r="AP15" s="36" t="s">
        <v>58</v>
      </c>
      <c r="AQ15" s="36" t="s">
        <v>58</v>
      </c>
      <c r="AR15" s="36" t="s">
        <v>58</v>
      </c>
      <c r="AS15" s="36" t="s">
        <v>58</v>
      </c>
      <c r="AT15" s="36" t="s">
        <v>58</v>
      </c>
      <c r="AU15" s="36" t="s">
        <v>58</v>
      </c>
      <c r="AV15" s="36" t="s">
        <v>58</v>
      </c>
      <c r="AW15" s="36" t="s">
        <v>58</v>
      </c>
      <c r="AX15" s="36" t="s">
        <v>58</v>
      </c>
      <c r="AY15" s="36" t="s">
        <v>58</v>
      </c>
      <c r="AZ15" s="36" t="s">
        <v>58</v>
      </c>
      <c r="BA15" s="36" t="s">
        <v>58</v>
      </c>
      <c r="BB15" s="36" t="s">
        <v>58</v>
      </c>
      <c r="BC15" s="36" t="s">
        <v>58</v>
      </c>
      <c r="BD15" s="36" t="s">
        <v>58</v>
      </c>
      <c r="BE15" s="36" t="s">
        <v>58</v>
      </c>
      <c r="BF15" s="36" t="s">
        <v>58</v>
      </c>
      <c r="BG15" s="36" t="s">
        <v>58</v>
      </c>
      <c r="BH15" s="36" t="s">
        <v>58</v>
      </c>
      <c r="BI15" s="36" t="s">
        <v>58</v>
      </c>
      <c r="BJ15" s="36" t="s">
        <v>58</v>
      </c>
      <c r="BK15" s="1221"/>
    </row>
    <row r="16" spans="1:63">
      <c r="A16" s="549" t="s">
        <v>694</v>
      </c>
      <c r="B16" s="497"/>
      <c r="C16" s="594" t="s">
        <v>1</v>
      </c>
      <c r="D16" s="52" t="s">
        <v>647</v>
      </c>
      <c r="E16" s="43" t="s">
        <v>638</v>
      </c>
      <c r="F16" s="363" t="s">
        <v>58</v>
      </c>
      <c r="G16" s="363" t="s">
        <v>58</v>
      </c>
      <c r="H16" s="363" t="s">
        <v>58</v>
      </c>
      <c r="I16" s="363" t="s">
        <v>58</v>
      </c>
      <c r="J16" s="363" t="s">
        <v>58</v>
      </c>
      <c r="K16" s="34" t="s">
        <v>638</v>
      </c>
      <c r="L16" s="34" t="s">
        <v>58</v>
      </c>
      <c r="M16" s="34" t="s">
        <v>58</v>
      </c>
      <c r="N16" s="363" t="s">
        <v>58</v>
      </c>
      <c r="O16" s="363" t="s">
        <v>58</v>
      </c>
      <c r="P16" s="34" t="s">
        <v>58</v>
      </c>
      <c r="Q16" s="36" t="s">
        <v>58</v>
      </c>
      <c r="R16" s="36" t="s">
        <v>58</v>
      </c>
      <c r="S16" s="36" t="s">
        <v>58</v>
      </c>
      <c r="T16" s="36" t="s">
        <v>58</v>
      </c>
      <c r="U16" s="34" t="s">
        <v>58</v>
      </c>
      <c r="V16" s="34" t="s">
        <v>58</v>
      </c>
      <c r="W16" s="222" t="s">
        <v>58</v>
      </c>
      <c r="X16" s="36" t="s">
        <v>58</v>
      </c>
      <c r="Y16" s="36" t="s">
        <v>58</v>
      </c>
      <c r="Z16" s="36" t="s">
        <v>58</v>
      </c>
      <c r="AA16" s="36" t="s">
        <v>58</v>
      </c>
      <c r="AB16" s="36" t="s">
        <v>58</v>
      </c>
      <c r="AC16" s="36" t="s">
        <v>58</v>
      </c>
      <c r="AD16" s="36" t="s">
        <v>58</v>
      </c>
      <c r="AE16" s="36" t="s">
        <v>58</v>
      </c>
      <c r="AF16" s="36" t="s">
        <v>58</v>
      </c>
      <c r="AG16" s="360" t="s">
        <v>8</v>
      </c>
      <c r="AH16" s="360" t="s">
        <v>8</v>
      </c>
      <c r="AI16" s="360" t="s">
        <v>8</v>
      </c>
      <c r="AJ16" s="36" t="s">
        <v>58</v>
      </c>
      <c r="AK16" s="36" t="s">
        <v>58</v>
      </c>
      <c r="AL16" s="360" t="s">
        <v>8</v>
      </c>
      <c r="AM16" s="360" t="s">
        <v>8</v>
      </c>
      <c r="AN16" s="360" t="s">
        <v>8</v>
      </c>
      <c r="AO16" s="36" t="s">
        <v>58</v>
      </c>
      <c r="AP16" s="36" t="s">
        <v>58</v>
      </c>
      <c r="AQ16" s="36" t="s">
        <v>58</v>
      </c>
      <c r="AR16" s="36" t="s">
        <v>58</v>
      </c>
      <c r="AS16" s="36" t="s">
        <v>58</v>
      </c>
      <c r="AT16" s="36" t="s">
        <v>58</v>
      </c>
      <c r="AU16" s="36" t="s">
        <v>58</v>
      </c>
      <c r="AV16" s="36" t="s">
        <v>58</v>
      </c>
      <c r="AW16" s="36" t="s">
        <v>58</v>
      </c>
      <c r="AX16" s="36" t="s">
        <v>58</v>
      </c>
      <c r="AY16" s="36" t="s">
        <v>58</v>
      </c>
      <c r="AZ16" s="36" t="s">
        <v>58</v>
      </c>
      <c r="BA16" s="36" t="s">
        <v>58</v>
      </c>
      <c r="BB16" s="36" t="s">
        <v>58</v>
      </c>
      <c r="BC16" s="36" t="s">
        <v>58</v>
      </c>
      <c r="BD16" s="36" t="s">
        <v>58</v>
      </c>
      <c r="BE16" s="36" t="s">
        <v>58</v>
      </c>
      <c r="BF16" s="36" t="s">
        <v>58</v>
      </c>
      <c r="BG16" s="36" t="s">
        <v>58</v>
      </c>
      <c r="BH16" s="36" t="s">
        <v>58</v>
      </c>
      <c r="BI16" s="36" t="s">
        <v>58</v>
      </c>
      <c r="BJ16" s="36" t="s">
        <v>58</v>
      </c>
      <c r="BK16" s="1222"/>
    </row>
    <row r="17" spans="1:63">
      <c r="A17" s="548" t="s">
        <v>682</v>
      </c>
      <c r="B17" s="123"/>
      <c r="C17" s="350" t="s">
        <v>548</v>
      </c>
      <c r="D17" s="34" t="s">
        <v>8</v>
      </c>
      <c r="E17" s="34" t="s">
        <v>8</v>
      </c>
      <c r="F17" s="363" t="s">
        <v>58</v>
      </c>
      <c r="G17" s="363" t="s">
        <v>58</v>
      </c>
      <c r="H17" s="363" t="s">
        <v>58</v>
      </c>
      <c r="I17" s="363" t="s">
        <v>58</v>
      </c>
      <c r="J17" s="363" t="s">
        <v>58</v>
      </c>
      <c r="K17" s="36" t="s">
        <v>8</v>
      </c>
      <c r="L17" s="34" t="s">
        <v>58</v>
      </c>
      <c r="M17" s="34" t="s">
        <v>58</v>
      </c>
      <c r="N17" s="363" t="s">
        <v>58</v>
      </c>
      <c r="O17" s="363" t="s">
        <v>58</v>
      </c>
      <c r="P17" s="34" t="s">
        <v>58</v>
      </c>
      <c r="Q17" s="36" t="s">
        <v>58</v>
      </c>
      <c r="R17" s="36" t="s">
        <v>58</v>
      </c>
      <c r="S17" s="36" t="s">
        <v>58</v>
      </c>
      <c r="T17" s="36" t="s">
        <v>58</v>
      </c>
      <c r="U17" s="34" t="s">
        <v>8</v>
      </c>
      <c r="V17" s="34" t="s">
        <v>8</v>
      </c>
      <c r="W17" s="221" t="s">
        <v>649</v>
      </c>
      <c r="X17" s="34" t="s">
        <v>8</v>
      </c>
      <c r="Y17" s="34" t="s">
        <v>8</v>
      </c>
      <c r="Z17" s="34" t="s">
        <v>8</v>
      </c>
      <c r="AA17" s="36" t="s">
        <v>8</v>
      </c>
      <c r="AB17" s="34" t="s">
        <v>8</v>
      </c>
      <c r="AC17" s="34" t="s">
        <v>8</v>
      </c>
      <c r="AD17" s="34" t="s">
        <v>8</v>
      </c>
      <c r="AE17" s="36" t="s">
        <v>8</v>
      </c>
      <c r="AF17" s="34" t="s">
        <v>8</v>
      </c>
      <c r="AG17" s="360" t="s">
        <v>8</v>
      </c>
      <c r="AH17" s="360" t="s">
        <v>8</v>
      </c>
      <c r="AI17" s="360" t="s">
        <v>8</v>
      </c>
      <c r="AJ17" s="36" t="s">
        <v>8</v>
      </c>
      <c r="AK17" s="34" t="s">
        <v>8</v>
      </c>
      <c r="AL17" s="360" t="s">
        <v>8</v>
      </c>
      <c r="AM17" s="360" t="s">
        <v>8</v>
      </c>
      <c r="AN17" s="360" t="s">
        <v>8</v>
      </c>
      <c r="AO17" s="36" t="s">
        <v>8</v>
      </c>
      <c r="AP17" s="34" t="s">
        <v>8</v>
      </c>
      <c r="AQ17" s="34" t="s">
        <v>8</v>
      </c>
      <c r="AR17" s="36" t="s">
        <v>8</v>
      </c>
      <c r="AS17" s="34" t="s">
        <v>8</v>
      </c>
      <c r="AT17" s="34" t="s">
        <v>8</v>
      </c>
      <c r="AU17" s="36" t="s">
        <v>8</v>
      </c>
      <c r="AV17" s="36" t="s">
        <v>8</v>
      </c>
      <c r="AW17" s="36" t="s">
        <v>8</v>
      </c>
      <c r="AX17" s="36" t="s">
        <v>8</v>
      </c>
      <c r="AY17" s="36" t="s">
        <v>8</v>
      </c>
      <c r="AZ17" s="36" t="s">
        <v>8</v>
      </c>
      <c r="BA17" s="36" t="s">
        <v>8</v>
      </c>
      <c r="BB17" s="36" t="s">
        <v>8</v>
      </c>
      <c r="BC17" s="36" t="s">
        <v>8</v>
      </c>
      <c r="BD17" s="36" t="s">
        <v>8</v>
      </c>
      <c r="BE17" s="36" t="s">
        <v>8</v>
      </c>
      <c r="BF17" s="36" t="s">
        <v>8</v>
      </c>
      <c r="BG17" s="36" t="s">
        <v>8</v>
      </c>
      <c r="BH17" s="36" t="s">
        <v>8</v>
      </c>
      <c r="BI17" s="36" t="s">
        <v>8</v>
      </c>
      <c r="BJ17" s="36" t="s">
        <v>8</v>
      </c>
      <c r="BK17" s="116"/>
    </row>
    <row r="18" spans="1:63">
      <c r="A18" s="548" t="s">
        <v>695</v>
      </c>
      <c r="B18" s="123"/>
      <c r="C18" s="349" t="s">
        <v>546</v>
      </c>
      <c r="D18" s="34" t="s">
        <v>58</v>
      </c>
      <c r="E18" s="36" t="s">
        <v>58</v>
      </c>
      <c r="F18" s="363" t="s">
        <v>58</v>
      </c>
      <c r="G18" s="363" t="s">
        <v>58</v>
      </c>
      <c r="H18" s="363" t="s">
        <v>58</v>
      </c>
      <c r="I18" s="363" t="s">
        <v>58</v>
      </c>
      <c r="J18" s="363" t="s">
        <v>58</v>
      </c>
      <c r="K18" s="36" t="s">
        <v>58</v>
      </c>
      <c r="L18" s="34" t="s">
        <v>58</v>
      </c>
      <c r="M18" s="34" t="s">
        <v>58</v>
      </c>
      <c r="N18" s="363" t="s">
        <v>58</v>
      </c>
      <c r="O18" s="363" t="s">
        <v>58</v>
      </c>
      <c r="P18" s="34" t="s">
        <v>58</v>
      </c>
      <c r="Q18" s="36" t="s">
        <v>58</v>
      </c>
      <c r="R18" s="36" t="s">
        <v>58</v>
      </c>
      <c r="S18" s="36" t="s">
        <v>58</v>
      </c>
      <c r="T18" s="36" t="s">
        <v>58</v>
      </c>
      <c r="U18" s="34" t="s">
        <v>58</v>
      </c>
      <c r="V18" s="34" t="s">
        <v>58</v>
      </c>
      <c r="W18" s="222" t="s">
        <v>58</v>
      </c>
      <c r="X18" s="34" t="s">
        <v>649</v>
      </c>
      <c r="Y18" s="34" t="s">
        <v>637</v>
      </c>
      <c r="Z18" s="34" t="s">
        <v>637</v>
      </c>
      <c r="AA18" s="34" t="s">
        <v>637</v>
      </c>
      <c r="AB18" s="36" t="s">
        <v>58</v>
      </c>
      <c r="AC18" s="36" t="s">
        <v>58</v>
      </c>
      <c r="AD18" s="36" t="s">
        <v>58</v>
      </c>
      <c r="AE18" s="36" t="s">
        <v>58</v>
      </c>
      <c r="AF18" s="36" t="s">
        <v>58</v>
      </c>
      <c r="AG18" s="360" t="s">
        <v>8</v>
      </c>
      <c r="AH18" s="360" t="s">
        <v>8</v>
      </c>
      <c r="AI18" s="360" t="s">
        <v>8</v>
      </c>
      <c r="AJ18" s="36" t="s">
        <v>58</v>
      </c>
      <c r="AK18" s="36" t="s">
        <v>58</v>
      </c>
      <c r="AL18" s="360" t="s">
        <v>8</v>
      </c>
      <c r="AM18" s="360" t="s">
        <v>8</v>
      </c>
      <c r="AN18" s="360" t="s">
        <v>8</v>
      </c>
      <c r="AO18" s="36" t="s">
        <v>58</v>
      </c>
      <c r="AP18" s="34" t="s">
        <v>8</v>
      </c>
      <c r="AQ18" s="34" t="s">
        <v>8</v>
      </c>
      <c r="AR18" s="36" t="s">
        <v>8</v>
      </c>
      <c r="AS18" s="34" t="s">
        <v>8</v>
      </c>
      <c r="AT18" s="34" t="s">
        <v>8</v>
      </c>
      <c r="AU18" s="36" t="s">
        <v>8</v>
      </c>
      <c r="AV18" s="36" t="s">
        <v>8</v>
      </c>
      <c r="AW18" s="36" t="s">
        <v>8</v>
      </c>
      <c r="AX18" s="36" t="s">
        <v>8</v>
      </c>
      <c r="AY18" s="36" t="s">
        <v>58</v>
      </c>
      <c r="AZ18" s="36" t="s">
        <v>58</v>
      </c>
      <c r="BA18" s="36" t="s">
        <v>58</v>
      </c>
      <c r="BB18" s="36" t="s">
        <v>58</v>
      </c>
      <c r="BC18" s="36" t="s">
        <v>58</v>
      </c>
      <c r="BD18" s="36" t="s">
        <v>58</v>
      </c>
      <c r="BE18" s="36" t="s">
        <v>58</v>
      </c>
      <c r="BF18" s="36" t="s">
        <v>58</v>
      </c>
      <c r="BG18" s="36" t="s">
        <v>58</v>
      </c>
      <c r="BH18" s="36" t="s">
        <v>58</v>
      </c>
      <c r="BI18" s="36" t="s">
        <v>58</v>
      </c>
      <c r="BJ18" s="36" t="s">
        <v>58</v>
      </c>
      <c r="BK18" s="116"/>
    </row>
    <row r="19" spans="1:63">
      <c r="A19" s="550" t="s">
        <v>696</v>
      </c>
      <c r="B19" s="124"/>
      <c r="C19" s="490" t="s">
        <v>548</v>
      </c>
      <c r="D19" s="360" t="s">
        <v>58</v>
      </c>
      <c r="E19" s="363" t="s">
        <v>58</v>
      </c>
      <c r="F19" s="363" t="s">
        <v>58</v>
      </c>
      <c r="G19" s="363" t="s">
        <v>58</v>
      </c>
      <c r="H19" s="363" t="s">
        <v>58</v>
      </c>
      <c r="I19" s="363" t="s">
        <v>58</v>
      </c>
      <c r="J19" s="363" t="s">
        <v>58</v>
      </c>
      <c r="K19" s="363" t="s">
        <v>58</v>
      </c>
      <c r="L19" s="360" t="s">
        <v>58</v>
      </c>
      <c r="M19" s="360" t="s">
        <v>58</v>
      </c>
      <c r="N19" s="363" t="s">
        <v>58</v>
      </c>
      <c r="O19" s="363" t="s">
        <v>58</v>
      </c>
      <c r="P19" s="360" t="s">
        <v>58</v>
      </c>
      <c r="Q19" s="363" t="s">
        <v>58</v>
      </c>
      <c r="R19" s="363" t="s">
        <v>58</v>
      </c>
      <c r="S19" s="363" t="s">
        <v>58</v>
      </c>
      <c r="T19" s="363" t="s">
        <v>58</v>
      </c>
      <c r="U19" s="360" t="s">
        <v>58</v>
      </c>
      <c r="V19" s="360" t="s">
        <v>58</v>
      </c>
      <c r="W19" s="363" t="s">
        <v>58</v>
      </c>
      <c r="X19" s="363" t="s">
        <v>58</v>
      </c>
      <c r="Y19" s="363" t="s">
        <v>58</v>
      </c>
      <c r="Z19" s="363" t="s">
        <v>58</v>
      </c>
      <c r="AA19" s="363" t="s">
        <v>58</v>
      </c>
      <c r="AB19" s="363" t="s">
        <v>58</v>
      </c>
      <c r="AC19" s="363" t="s">
        <v>58</v>
      </c>
      <c r="AD19" s="363" t="s">
        <v>58</v>
      </c>
      <c r="AE19" s="363" t="s">
        <v>58</v>
      </c>
      <c r="AF19" s="363" t="s">
        <v>58</v>
      </c>
      <c r="AG19" s="360" t="s">
        <v>8</v>
      </c>
      <c r="AH19" s="360" t="s">
        <v>8</v>
      </c>
      <c r="AI19" s="360" t="s">
        <v>8</v>
      </c>
      <c r="AJ19" s="363" t="s">
        <v>58</v>
      </c>
      <c r="AK19" s="363" t="s">
        <v>58</v>
      </c>
      <c r="AL19" s="360" t="s">
        <v>8</v>
      </c>
      <c r="AM19" s="360" t="s">
        <v>8</v>
      </c>
      <c r="AN19" s="360" t="s">
        <v>8</v>
      </c>
      <c r="AO19" s="363" t="s">
        <v>58</v>
      </c>
      <c r="AP19" s="363" t="s">
        <v>58</v>
      </c>
      <c r="AQ19" s="363" t="s">
        <v>58</v>
      </c>
      <c r="AR19" s="363" t="s">
        <v>58</v>
      </c>
      <c r="AS19" s="363" t="s">
        <v>58</v>
      </c>
      <c r="AT19" s="363" t="s">
        <v>58</v>
      </c>
      <c r="AU19" s="363" t="s">
        <v>58</v>
      </c>
      <c r="AV19" s="363" t="s">
        <v>58</v>
      </c>
      <c r="AW19" s="363" t="s">
        <v>58</v>
      </c>
      <c r="AX19" s="363" t="s">
        <v>58</v>
      </c>
      <c r="AY19" s="363" t="s">
        <v>58</v>
      </c>
      <c r="AZ19" s="363" t="s">
        <v>58</v>
      </c>
      <c r="BA19" s="363" t="s">
        <v>58</v>
      </c>
      <c r="BB19" s="363" t="s">
        <v>58</v>
      </c>
      <c r="BC19" s="363" t="s">
        <v>58</v>
      </c>
      <c r="BD19" s="363" t="s">
        <v>58</v>
      </c>
      <c r="BE19" s="363" t="s">
        <v>58</v>
      </c>
      <c r="BF19" s="363" t="s">
        <v>58</v>
      </c>
      <c r="BG19" s="363" t="s">
        <v>58</v>
      </c>
      <c r="BH19" s="363" t="s">
        <v>58</v>
      </c>
      <c r="BI19" s="837" t="s">
        <v>58</v>
      </c>
      <c r="BJ19" s="363" t="s">
        <v>58</v>
      </c>
      <c r="BK19" s="116"/>
    </row>
    <row r="20" spans="1:63">
      <c r="A20" s="548" t="s">
        <v>697</v>
      </c>
      <c r="B20" s="123"/>
      <c r="C20" s="349" t="s">
        <v>546</v>
      </c>
      <c r="D20" s="34" t="s">
        <v>58</v>
      </c>
      <c r="E20" s="36" t="s">
        <v>58</v>
      </c>
      <c r="F20" s="363" t="s">
        <v>58</v>
      </c>
      <c r="G20" s="363" t="s">
        <v>58</v>
      </c>
      <c r="H20" s="363" t="s">
        <v>58</v>
      </c>
      <c r="I20" s="363" t="s">
        <v>58</v>
      </c>
      <c r="J20" s="363" t="s">
        <v>58</v>
      </c>
      <c r="K20" s="36" t="s">
        <v>58</v>
      </c>
      <c r="L20" s="34" t="s">
        <v>58</v>
      </c>
      <c r="M20" s="34" t="s">
        <v>58</v>
      </c>
      <c r="N20" s="363" t="s">
        <v>58</v>
      </c>
      <c r="O20" s="363" t="s">
        <v>58</v>
      </c>
      <c r="P20" s="34" t="s">
        <v>58</v>
      </c>
      <c r="Q20" s="36" t="s">
        <v>58</v>
      </c>
      <c r="R20" s="36" t="s">
        <v>58</v>
      </c>
      <c r="S20" s="36" t="s">
        <v>58</v>
      </c>
      <c r="T20" s="36" t="s">
        <v>58</v>
      </c>
      <c r="U20" s="34" t="s">
        <v>58</v>
      </c>
      <c r="V20" s="34" t="s">
        <v>58</v>
      </c>
      <c r="W20" s="222" t="s">
        <v>58</v>
      </c>
      <c r="X20" s="36" t="s">
        <v>58</v>
      </c>
      <c r="Y20" s="36" t="s">
        <v>58</v>
      </c>
      <c r="Z20" s="36" t="s">
        <v>58</v>
      </c>
      <c r="AA20" s="36" t="s">
        <v>58</v>
      </c>
      <c r="AB20" s="34" t="s">
        <v>649</v>
      </c>
      <c r="AC20" s="34" t="s">
        <v>637</v>
      </c>
      <c r="AD20" s="34" t="s">
        <v>637</v>
      </c>
      <c r="AE20" s="34" t="s">
        <v>637</v>
      </c>
      <c r="AF20" s="36" t="s">
        <v>58</v>
      </c>
      <c r="AG20" s="360" t="s">
        <v>8</v>
      </c>
      <c r="AH20" s="360" t="s">
        <v>8</v>
      </c>
      <c r="AI20" s="360" t="s">
        <v>8</v>
      </c>
      <c r="AJ20" s="36" t="s">
        <v>58</v>
      </c>
      <c r="AK20" s="36" t="s">
        <v>58</v>
      </c>
      <c r="AL20" s="360" t="s">
        <v>8</v>
      </c>
      <c r="AM20" s="360" t="s">
        <v>8</v>
      </c>
      <c r="AN20" s="360" t="s">
        <v>8</v>
      </c>
      <c r="AO20" s="36" t="s">
        <v>58</v>
      </c>
      <c r="AP20" s="36" t="s">
        <v>58</v>
      </c>
      <c r="AQ20" s="36" t="s">
        <v>58</v>
      </c>
      <c r="AR20" s="36" t="s">
        <v>58</v>
      </c>
      <c r="AS20" s="36" t="s">
        <v>58</v>
      </c>
      <c r="AT20" s="36" t="s">
        <v>58</v>
      </c>
      <c r="AU20" s="36" t="s">
        <v>58</v>
      </c>
      <c r="AV20" s="36" t="s">
        <v>58</v>
      </c>
      <c r="AW20" s="36" t="s">
        <v>58</v>
      </c>
      <c r="AX20" s="36" t="s">
        <v>58</v>
      </c>
      <c r="AY20" s="36" t="s">
        <v>58</v>
      </c>
      <c r="AZ20" s="36" t="s">
        <v>58</v>
      </c>
      <c r="BA20" s="36" t="s">
        <v>58</v>
      </c>
      <c r="BB20" s="36" t="s">
        <v>58</v>
      </c>
      <c r="BC20" s="36" t="s">
        <v>58</v>
      </c>
      <c r="BD20" s="36" t="s">
        <v>58</v>
      </c>
      <c r="BE20" s="36" t="s">
        <v>58</v>
      </c>
      <c r="BF20" s="36" t="s">
        <v>58</v>
      </c>
      <c r="BG20" s="36" t="s">
        <v>58</v>
      </c>
      <c r="BH20" s="36" t="s">
        <v>58</v>
      </c>
      <c r="BI20" s="36" t="s">
        <v>58</v>
      </c>
      <c r="BJ20" s="36" t="s">
        <v>58</v>
      </c>
      <c r="BK20" s="116"/>
    </row>
    <row r="21" spans="1:63">
      <c r="A21" s="548" t="s">
        <v>698</v>
      </c>
      <c r="B21" s="123"/>
      <c r="C21" s="349" t="s">
        <v>546</v>
      </c>
      <c r="D21" s="34" t="s">
        <v>58</v>
      </c>
      <c r="E21" s="36" t="s">
        <v>58</v>
      </c>
      <c r="F21" s="363" t="s">
        <v>58</v>
      </c>
      <c r="G21" s="363" t="s">
        <v>58</v>
      </c>
      <c r="H21" s="363" t="s">
        <v>58</v>
      </c>
      <c r="I21" s="363" t="s">
        <v>58</v>
      </c>
      <c r="J21" s="363" t="s">
        <v>58</v>
      </c>
      <c r="K21" s="36" t="s">
        <v>58</v>
      </c>
      <c r="L21" s="34" t="s">
        <v>58</v>
      </c>
      <c r="M21" s="34" t="s">
        <v>58</v>
      </c>
      <c r="N21" s="363" t="s">
        <v>58</v>
      </c>
      <c r="O21" s="363" t="s">
        <v>58</v>
      </c>
      <c r="P21" s="34" t="s">
        <v>58</v>
      </c>
      <c r="Q21" s="36" t="s">
        <v>58</v>
      </c>
      <c r="R21" s="36" t="s">
        <v>58</v>
      </c>
      <c r="S21" s="36" t="s">
        <v>58</v>
      </c>
      <c r="T21" s="36" t="s">
        <v>58</v>
      </c>
      <c r="U21" s="34" t="s">
        <v>58</v>
      </c>
      <c r="V21" s="34" t="s">
        <v>58</v>
      </c>
      <c r="W21" s="222" t="s">
        <v>58</v>
      </c>
      <c r="X21" s="36" t="s">
        <v>58</v>
      </c>
      <c r="Y21" s="36" t="s">
        <v>58</v>
      </c>
      <c r="Z21" s="36" t="s">
        <v>58</v>
      </c>
      <c r="AA21" s="36" t="s">
        <v>58</v>
      </c>
      <c r="AB21" s="36" t="s">
        <v>58</v>
      </c>
      <c r="AC21" s="36" t="s">
        <v>58</v>
      </c>
      <c r="AD21" s="36" t="s">
        <v>58</v>
      </c>
      <c r="AE21" s="36" t="s">
        <v>58</v>
      </c>
      <c r="AF21" s="36" t="s">
        <v>649</v>
      </c>
      <c r="AG21" s="360" t="s">
        <v>8</v>
      </c>
      <c r="AH21" s="360" t="s">
        <v>8</v>
      </c>
      <c r="AI21" s="360" t="s">
        <v>8</v>
      </c>
      <c r="AJ21" s="34" t="s">
        <v>637</v>
      </c>
      <c r="AK21" s="36" t="s">
        <v>58</v>
      </c>
      <c r="AL21" s="360" t="s">
        <v>8</v>
      </c>
      <c r="AM21" s="360" t="s">
        <v>8</v>
      </c>
      <c r="AN21" s="360" t="s">
        <v>8</v>
      </c>
      <c r="AO21" s="36" t="s">
        <v>58</v>
      </c>
      <c r="AP21" s="36" t="s">
        <v>58</v>
      </c>
      <c r="AQ21" s="36" t="s">
        <v>58</v>
      </c>
      <c r="AR21" s="36" t="s">
        <v>58</v>
      </c>
      <c r="AS21" s="36" t="s">
        <v>58</v>
      </c>
      <c r="AT21" s="36" t="s">
        <v>58</v>
      </c>
      <c r="AU21" s="36" t="s">
        <v>58</v>
      </c>
      <c r="AV21" s="36" t="s">
        <v>58</v>
      </c>
      <c r="AW21" s="36" t="s">
        <v>58</v>
      </c>
      <c r="AX21" s="36" t="s">
        <v>58</v>
      </c>
      <c r="AY21" s="36" t="s">
        <v>58</v>
      </c>
      <c r="AZ21" s="36" t="s">
        <v>58</v>
      </c>
      <c r="BA21" s="36" t="s">
        <v>58</v>
      </c>
      <c r="BB21" s="36" t="s">
        <v>58</v>
      </c>
      <c r="BC21" s="36" t="s">
        <v>58</v>
      </c>
      <c r="BD21" s="36" t="s">
        <v>58</v>
      </c>
      <c r="BE21" s="36" t="s">
        <v>58</v>
      </c>
      <c r="BF21" s="36" t="s">
        <v>58</v>
      </c>
      <c r="BG21" s="36" t="s">
        <v>58</v>
      </c>
      <c r="BH21" s="36" t="s">
        <v>58</v>
      </c>
      <c r="BI21" s="36" t="s">
        <v>58</v>
      </c>
      <c r="BJ21" s="36" t="s">
        <v>58</v>
      </c>
      <c r="BK21" s="116"/>
    </row>
    <row r="22" spans="1:63">
      <c r="A22" s="548" t="s">
        <v>699</v>
      </c>
      <c r="B22" s="123"/>
      <c r="C22" s="349" t="s">
        <v>546</v>
      </c>
      <c r="D22" s="34" t="s">
        <v>58</v>
      </c>
      <c r="E22" s="36" t="s">
        <v>58</v>
      </c>
      <c r="F22" s="363" t="s">
        <v>58</v>
      </c>
      <c r="G22" s="363" t="s">
        <v>58</v>
      </c>
      <c r="H22" s="363" t="s">
        <v>58</v>
      </c>
      <c r="I22" s="363" t="s">
        <v>58</v>
      </c>
      <c r="J22" s="363" t="s">
        <v>58</v>
      </c>
      <c r="K22" s="36" t="s">
        <v>58</v>
      </c>
      <c r="L22" s="34" t="s">
        <v>58</v>
      </c>
      <c r="M22" s="34" t="s">
        <v>58</v>
      </c>
      <c r="N22" s="363" t="s">
        <v>58</v>
      </c>
      <c r="O22" s="363" t="s">
        <v>58</v>
      </c>
      <c r="P22" s="34" t="s">
        <v>58</v>
      </c>
      <c r="Q22" s="36" t="s">
        <v>58</v>
      </c>
      <c r="R22" s="36" t="s">
        <v>58</v>
      </c>
      <c r="S22" s="36" t="s">
        <v>58</v>
      </c>
      <c r="T22" s="36" t="s">
        <v>58</v>
      </c>
      <c r="U22" s="34" t="s">
        <v>58</v>
      </c>
      <c r="V22" s="34" t="s">
        <v>58</v>
      </c>
      <c r="W22" s="222" t="s">
        <v>58</v>
      </c>
      <c r="X22" s="36" t="s">
        <v>58</v>
      </c>
      <c r="Y22" s="36" t="s">
        <v>58</v>
      </c>
      <c r="Z22" s="36" t="s">
        <v>58</v>
      </c>
      <c r="AA22" s="36" t="s">
        <v>58</v>
      </c>
      <c r="AB22" s="36" t="s">
        <v>58</v>
      </c>
      <c r="AC22" s="36" t="s">
        <v>58</v>
      </c>
      <c r="AD22" s="36" t="s">
        <v>58</v>
      </c>
      <c r="AE22" s="36" t="s">
        <v>58</v>
      </c>
      <c r="AF22" s="36" t="s">
        <v>58</v>
      </c>
      <c r="AG22" s="360" t="s">
        <v>8</v>
      </c>
      <c r="AH22" s="360" t="s">
        <v>8</v>
      </c>
      <c r="AI22" s="360" t="s">
        <v>8</v>
      </c>
      <c r="AJ22" s="36" t="s">
        <v>58</v>
      </c>
      <c r="AK22" s="36" t="s">
        <v>649</v>
      </c>
      <c r="AL22" s="360" t="s">
        <v>8</v>
      </c>
      <c r="AM22" s="360" t="s">
        <v>8</v>
      </c>
      <c r="AN22" s="360" t="s">
        <v>8</v>
      </c>
      <c r="AO22" s="34" t="s">
        <v>637</v>
      </c>
      <c r="AP22" s="36" t="s">
        <v>58</v>
      </c>
      <c r="AQ22" s="36" t="s">
        <v>58</v>
      </c>
      <c r="AR22" s="36" t="s">
        <v>58</v>
      </c>
      <c r="AS22" s="36" t="s">
        <v>58</v>
      </c>
      <c r="AT22" s="36" t="s">
        <v>58</v>
      </c>
      <c r="AU22" s="36" t="s">
        <v>58</v>
      </c>
      <c r="AV22" s="36" t="s">
        <v>58</v>
      </c>
      <c r="AW22" s="36" t="s">
        <v>58</v>
      </c>
      <c r="AX22" s="36" t="s">
        <v>58</v>
      </c>
      <c r="AY22" s="36" t="s">
        <v>58</v>
      </c>
      <c r="AZ22" s="36" t="s">
        <v>58</v>
      </c>
      <c r="BA22" s="36" t="s">
        <v>58</v>
      </c>
      <c r="BB22" s="36" t="s">
        <v>58</v>
      </c>
      <c r="BC22" s="36" t="s">
        <v>58</v>
      </c>
      <c r="BD22" s="36" t="s">
        <v>58</v>
      </c>
      <c r="BE22" s="36" t="s">
        <v>58</v>
      </c>
      <c r="BF22" s="36" t="s">
        <v>58</v>
      </c>
      <c r="BG22" s="36" t="s">
        <v>58</v>
      </c>
      <c r="BH22" s="36" t="s">
        <v>58</v>
      </c>
      <c r="BI22" s="36" t="s">
        <v>58</v>
      </c>
      <c r="BJ22" s="36" t="s">
        <v>58</v>
      </c>
      <c r="BK22" s="116"/>
    </row>
    <row r="23" spans="1:63">
      <c r="A23" s="548" t="s">
        <v>938</v>
      </c>
      <c r="B23" s="123"/>
      <c r="C23" s="349" t="s">
        <v>1</v>
      </c>
      <c r="D23" s="34" t="s">
        <v>8</v>
      </c>
      <c r="E23" s="36" t="s">
        <v>8</v>
      </c>
      <c r="F23" s="363" t="s">
        <v>8</v>
      </c>
      <c r="G23" s="363" t="s">
        <v>8</v>
      </c>
      <c r="H23" s="363" t="s">
        <v>8</v>
      </c>
      <c r="I23" s="363" t="s">
        <v>8</v>
      </c>
      <c r="J23" s="363" t="s">
        <v>8</v>
      </c>
      <c r="K23" s="36" t="s">
        <v>8</v>
      </c>
      <c r="L23" s="34" t="s">
        <v>58</v>
      </c>
      <c r="M23" s="34" t="s">
        <v>58</v>
      </c>
      <c r="N23" s="363" t="s">
        <v>8</v>
      </c>
      <c r="O23" s="363" t="s">
        <v>8</v>
      </c>
      <c r="P23" s="34" t="s">
        <v>58</v>
      </c>
      <c r="Q23" s="36" t="s">
        <v>58</v>
      </c>
      <c r="R23" s="36" t="s">
        <v>58</v>
      </c>
      <c r="S23" s="36" t="s">
        <v>58</v>
      </c>
      <c r="T23" s="36" t="s">
        <v>58</v>
      </c>
      <c r="U23" s="34" t="s">
        <v>8</v>
      </c>
      <c r="V23" s="34" t="s">
        <v>8</v>
      </c>
      <c r="W23" s="222" t="s">
        <v>58</v>
      </c>
      <c r="X23" s="36" t="s">
        <v>8</v>
      </c>
      <c r="Y23" s="36" t="s">
        <v>8</v>
      </c>
      <c r="Z23" s="36" t="s">
        <v>8</v>
      </c>
      <c r="AA23" s="36" t="s">
        <v>8</v>
      </c>
      <c r="AB23" s="36" t="s">
        <v>8</v>
      </c>
      <c r="AC23" s="36" t="s">
        <v>8</v>
      </c>
      <c r="AD23" s="36" t="s">
        <v>8</v>
      </c>
      <c r="AE23" s="36" t="s">
        <v>8</v>
      </c>
      <c r="AF23" s="36" t="s">
        <v>58</v>
      </c>
      <c r="AG23" s="360" t="s">
        <v>8</v>
      </c>
      <c r="AH23" s="360" t="s">
        <v>8</v>
      </c>
      <c r="AI23" s="360" t="s">
        <v>8</v>
      </c>
      <c r="AJ23" s="36" t="s">
        <v>8</v>
      </c>
      <c r="AK23" s="36" t="s">
        <v>8</v>
      </c>
      <c r="AL23" s="360" t="s">
        <v>8</v>
      </c>
      <c r="AM23" s="360" t="s">
        <v>8</v>
      </c>
      <c r="AN23" s="360" t="s">
        <v>8</v>
      </c>
      <c r="AO23" s="36" t="s">
        <v>8</v>
      </c>
      <c r="AP23" s="36" t="s">
        <v>639</v>
      </c>
      <c r="AQ23" s="36" t="s">
        <v>649</v>
      </c>
      <c r="AR23" s="36" t="s">
        <v>639</v>
      </c>
      <c r="AS23" s="36" t="s">
        <v>8</v>
      </c>
      <c r="AT23" s="36" t="s">
        <v>8</v>
      </c>
      <c r="AU23" s="36" t="s">
        <v>8</v>
      </c>
      <c r="AV23" s="36" t="s">
        <v>8</v>
      </c>
      <c r="AW23" s="36" t="s">
        <v>8</v>
      </c>
      <c r="AX23" s="36" t="s">
        <v>8</v>
      </c>
      <c r="AY23" s="36" t="s">
        <v>8</v>
      </c>
      <c r="AZ23" s="36" t="s">
        <v>8</v>
      </c>
      <c r="BA23" s="36" t="s">
        <v>8</v>
      </c>
      <c r="BB23" s="36" t="s">
        <v>8</v>
      </c>
      <c r="BC23" s="36" t="s">
        <v>8</v>
      </c>
      <c r="BD23" s="36" t="s">
        <v>8</v>
      </c>
      <c r="BE23" s="36" t="s">
        <v>8</v>
      </c>
      <c r="BF23" s="36" t="s">
        <v>8</v>
      </c>
      <c r="BG23" s="36" t="s">
        <v>8</v>
      </c>
      <c r="BH23" s="36" t="s">
        <v>8</v>
      </c>
      <c r="BI23" s="36" t="s">
        <v>8</v>
      </c>
      <c r="BJ23" s="36" t="s">
        <v>8</v>
      </c>
      <c r="BK23" s="116"/>
    </row>
    <row r="24" spans="1:63">
      <c r="A24" s="548" t="s">
        <v>939</v>
      </c>
      <c r="B24" s="123"/>
      <c r="C24" s="349" t="s">
        <v>1</v>
      </c>
      <c r="D24" s="34" t="s">
        <v>8</v>
      </c>
      <c r="E24" s="36" t="s">
        <v>8</v>
      </c>
      <c r="F24" s="363" t="s">
        <v>8</v>
      </c>
      <c r="G24" s="363" t="s">
        <v>8</v>
      </c>
      <c r="H24" s="363" t="s">
        <v>8</v>
      </c>
      <c r="I24" s="363" t="s">
        <v>8</v>
      </c>
      <c r="J24" s="363" t="s">
        <v>8</v>
      </c>
      <c r="K24" s="36" t="s">
        <v>8</v>
      </c>
      <c r="L24" s="34" t="s">
        <v>58</v>
      </c>
      <c r="M24" s="34" t="s">
        <v>58</v>
      </c>
      <c r="N24" s="363" t="s">
        <v>8</v>
      </c>
      <c r="O24" s="363" t="s">
        <v>8</v>
      </c>
      <c r="P24" s="34" t="s">
        <v>58</v>
      </c>
      <c r="Q24" s="36" t="s">
        <v>58</v>
      </c>
      <c r="R24" s="36" t="s">
        <v>58</v>
      </c>
      <c r="S24" s="36" t="s">
        <v>58</v>
      </c>
      <c r="T24" s="36" t="s">
        <v>58</v>
      </c>
      <c r="U24" s="34" t="s">
        <v>8</v>
      </c>
      <c r="V24" s="34" t="s">
        <v>8</v>
      </c>
      <c r="W24" s="222" t="s">
        <v>58</v>
      </c>
      <c r="X24" s="36" t="s">
        <v>8</v>
      </c>
      <c r="Y24" s="36" t="s">
        <v>8</v>
      </c>
      <c r="Z24" s="36" t="s">
        <v>8</v>
      </c>
      <c r="AA24" s="36" t="s">
        <v>8</v>
      </c>
      <c r="AB24" s="36" t="s">
        <v>8</v>
      </c>
      <c r="AC24" s="36" t="s">
        <v>8</v>
      </c>
      <c r="AD24" s="36" t="s">
        <v>8</v>
      </c>
      <c r="AE24" s="36" t="s">
        <v>8</v>
      </c>
      <c r="AF24" s="36" t="s">
        <v>8</v>
      </c>
      <c r="AG24" s="360" t="s">
        <v>8</v>
      </c>
      <c r="AH24" s="360" t="s">
        <v>8</v>
      </c>
      <c r="AI24" s="360" t="s">
        <v>8</v>
      </c>
      <c r="AJ24" s="36" t="s">
        <v>8</v>
      </c>
      <c r="AK24" s="36" t="s">
        <v>8</v>
      </c>
      <c r="AL24" s="360" t="s">
        <v>8</v>
      </c>
      <c r="AM24" s="360" t="s">
        <v>8</v>
      </c>
      <c r="AN24" s="360" t="s">
        <v>8</v>
      </c>
      <c r="AO24" s="36" t="s">
        <v>8</v>
      </c>
      <c r="AP24" s="36" t="s">
        <v>8</v>
      </c>
      <c r="AQ24" s="36" t="s">
        <v>8</v>
      </c>
      <c r="AR24" s="36" t="s">
        <v>8</v>
      </c>
      <c r="AS24" s="36" t="s">
        <v>639</v>
      </c>
      <c r="AT24" s="36" t="s">
        <v>649</v>
      </c>
      <c r="AU24" s="36" t="s">
        <v>639</v>
      </c>
      <c r="AV24" s="36" t="s">
        <v>8</v>
      </c>
      <c r="AW24" s="36" t="s">
        <v>8</v>
      </c>
      <c r="AX24" s="36" t="s">
        <v>8</v>
      </c>
      <c r="AY24" s="36" t="s">
        <v>8</v>
      </c>
      <c r="AZ24" s="36" t="s">
        <v>8</v>
      </c>
      <c r="BA24" s="36" t="s">
        <v>8</v>
      </c>
      <c r="BB24" s="36" t="s">
        <v>8</v>
      </c>
      <c r="BC24" s="36" t="s">
        <v>8</v>
      </c>
      <c r="BD24" s="36" t="s">
        <v>8</v>
      </c>
      <c r="BE24" s="36" t="s">
        <v>8</v>
      </c>
      <c r="BF24" s="36" t="s">
        <v>8</v>
      </c>
      <c r="BG24" s="36" t="s">
        <v>8</v>
      </c>
      <c r="BH24" s="36" t="s">
        <v>8</v>
      </c>
      <c r="BI24" s="36" t="s">
        <v>8</v>
      </c>
      <c r="BJ24" s="36" t="s">
        <v>8</v>
      </c>
      <c r="BK24" s="116"/>
    </row>
    <row r="25" spans="1:63">
      <c r="A25" s="550" t="s">
        <v>702</v>
      </c>
      <c r="B25" s="124"/>
      <c r="C25" s="490" t="s">
        <v>548</v>
      </c>
      <c r="D25" s="360" t="s">
        <v>8</v>
      </c>
      <c r="E25" s="363" t="s">
        <v>8</v>
      </c>
      <c r="F25" s="363" t="s">
        <v>8</v>
      </c>
      <c r="G25" s="363" t="s">
        <v>8</v>
      </c>
      <c r="H25" s="363" t="s">
        <v>8</v>
      </c>
      <c r="I25" s="363" t="s">
        <v>8</v>
      </c>
      <c r="J25" s="363" t="s">
        <v>8</v>
      </c>
      <c r="K25" s="363" t="s">
        <v>8</v>
      </c>
      <c r="L25" s="360" t="s">
        <v>58</v>
      </c>
      <c r="M25" s="360" t="s">
        <v>58</v>
      </c>
      <c r="N25" s="363" t="s">
        <v>8</v>
      </c>
      <c r="O25" s="363" t="s">
        <v>8</v>
      </c>
      <c r="P25" s="360" t="s">
        <v>58</v>
      </c>
      <c r="Q25" s="363" t="s">
        <v>58</v>
      </c>
      <c r="R25" s="363" t="s">
        <v>58</v>
      </c>
      <c r="S25" s="363" t="s">
        <v>58</v>
      </c>
      <c r="T25" s="363" t="s">
        <v>58</v>
      </c>
      <c r="U25" s="360" t="s">
        <v>8</v>
      </c>
      <c r="V25" s="360" t="s">
        <v>8</v>
      </c>
      <c r="W25" s="481" t="s">
        <v>58</v>
      </c>
      <c r="X25" s="363" t="s">
        <v>8</v>
      </c>
      <c r="Y25" s="363" t="s">
        <v>8</v>
      </c>
      <c r="Z25" s="363" t="s">
        <v>8</v>
      </c>
      <c r="AA25" s="363" t="s">
        <v>8</v>
      </c>
      <c r="AB25" s="363" t="s">
        <v>8</v>
      </c>
      <c r="AC25" s="363" t="s">
        <v>8</v>
      </c>
      <c r="AD25" s="363" t="s">
        <v>8</v>
      </c>
      <c r="AE25" s="363" t="s">
        <v>8</v>
      </c>
      <c r="AF25" s="363" t="s">
        <v>8</v>
      </c>
      <c r="AG25" s="360" t="s">
        <v>8</v>
      </c>
      <c r="AH25" s="360" t="s">
        <v>8</v>
      </c>
      <c r="AI25" s="360" t="s">
        <v>8</v>
      </c>
      <c r="AJ25" s="363" t="s">
        <v>8</v>
      </c>
      <c r="AK25" s="363" t="s">
        <v>8</v>
      </c>
      <c r="AL25" s="360" t="s">
        <v>8</v>
      </c>
      <c r="AM25" s="360" t="s">
        <v>8</v>
      </c>
      <c r="AN25" s="360" t="s">
        <v>8</v>
      </c>
      <c r="AO25" s="363" t="s">
        <v>8</v>
      </c>
      <c r="AP25" s="363" t="s">
        <v>8</v>
      </c>
      <c r="AQ25" s="363" t="s">
        <v>8</v>
      </c>
      <c r="AR25" s="363" t="s">
        <v>8</v>
      </c>
      <c r="AS25" s="363" t="s">
        <v>8</v>
      </c>
      <c r="AT25" s="363" t="s">
        <v>8</v>
      </c>
      <c r="AU25" s="363" t="s">
        <v>8</v>
      </c>
      <c r="AV25" s="363" t="s">
        <v>8</v>
      </c>
      <c r="AW25" s="363" t="s">
        <v>8</v>
      </c>
      <c r="AX25" s="363" t="s">
        <v>8</v>
      </c>
      <c r="AY25" s="363" t="s">
        <v>8</v>
      </c>
      <c r="AZ25" s="363" t="s">
        <v>8</v>
      </c>
      <c r="BA25" s="363" t="s">
        <v>8</v>
      </c>
      <c r="BB25" s="363" t="s">
        <v>8</v>
      </c>
      <c r="BC25" s="363" t="s">
        <v>8</v>
      </c>
      <c r="BD25" s="363" t="s">
        <v>8</v>
      </c>
      <c r="BE25" s="363" t="s">
        <v>8</v>
      </c>
      <c r="BF25" s="363" t="s">
        <v>8</v>
      </c>
      <c r="BG25" s="363" t="s">
        <v>8</v>
      </c>
      <c r="BH25" s="363" t="s">
        <v>8</v>
      </c>
      <c r="BI25" s="837" t="s">
        <v>8</v>
      </c>
      <c r="BJ25" s="363" t="s">
        <v>8</v>
      </c>
      <c r="BK25" s="116"/>
    </row>
    <row r="26" spans="1:63">
      <c r="A26" s="550" t="s">
        <v>703</v>
      </c>
      <c r="B26" s="124"/>
      <c r="C26" s="490" t="s">
        <v>548</v>
      </c>
      <c r="D26" s="360" t="s">
        <v>8</v>
      </c>
      <c r="E26" s="363" t="s">
        <v>8</v>
      </c>
      <c r="F26" s="363" t="s">
        <v>8</v>
      </c>
      <c r="G26" s="363" t="s">
        <v>8</v>
      </c>
      <c r="H26" s="363" t="s">
        <v>8</v>
      </c>
      <c r="I26" s="363" t="s">
        <v>8</v>
      </c>
      <c r="J26" s="363" t="s">
        <v>8</v>
      </c>
      <c r="K26" s="363" t="s">
        <v>8</v>
      </c>
      <c r="L26" s="360" t="s">
        <v>58</v>
      </c>
      <c r="M26" s="360" t="s">
        <v>58</v>
      </c>
      <c r="N26" s="363" t="s">
        <v>8</v>
      </c>
      <c r="O26" s="363" t="s">
        <v>8</v>
      </c>
      <c r="P26" s="360" t="s">
        <v>58</v>
      </c>
      <c r="Q26" s="363" t="s">
        <v>58</v>
      </c>
      <c r="R26" s="363" t="s">
        <v>58</v>
      </c>
      <c r="S26" s="363" t="s">
        <v>58</v>
      </c>
      <c r="T26" s="363" t="s">
        <v>58</v>
      </c>
      <c r="U26" s="360" t="s">
        <v>8</v>
      </c>
      <c r="V26" s="360" t="s">
        <v>8</v>
      </c>
      <c r="W26" s="481" t="s">
        <v>58</v>
      </c>
      <c r="X26" s="363" t="s">
        <v>8</v>
      </c>
      <c r="Y26" s="363" t="s">
        <v>8</v>
      </c>
      <c r="Z26" s="363" t="s">
        <v>8</v>
      </c>
      <c r="AA26" s="363" t="s">
        <v>8</v>
      </c>
      <c r="AB26" s="363" t="s">
        <v>8</v>
      </c>
      <c r="AC26" s="363" t="s">
        <v>8</v>
      </c>
      <c r="AD26" s="363" t="s">
        <v>8</v>
      </c>
      <c r="AE26" s="363" t="s">
        <v>8</v>
      </c>
      <c r="AF26" s="363" t="s">
        <v>8</v>
      </c>
      <c r="AG26" s="360" t="s">
        <v>8</v>
      </c>
      <c r="AH26" s="360" t="s">
        <v>8</v>
      </c>
      <c r="AI26" s="360" t="s">
        <v>8</v>
      </c>
      <c r="AJ26" s="363" t="s">
        <v>8</v>
      </c>
      <c r="AK26" s="363" t="s">
        <v>8</v>
      </c>
      <c r="AL26" s="360" t="s">
        <v>8</v>
      </c>
      <c r="AM26" s="360" t="s">
        <v>8</v>
      </c>
      <c r="AN26" s="360" t="s">
        <v>8</v>
      </c>
      <c r="AO26" s="363" t="s">
        <v>8</v>
      </c>
      <c r="AP26" s="363" t="s">
        <v>8</v>
      </c>
      <c r="AQ26" s="363" t="s">
        <v>8</v>
      </c>
      <c r="AR26" s="363" t="s">
        <v>8</v>
      </c>
      <c r="AS26" s="363" t="s">
        <v>8</v>
      </c>
      <c r="AT26" s="363" t="s">
        <v>8</v>
      </c>
      <c r="AU26" s="363" t="s">
        <v>8</v>
      </c>
      <c r="AV26" s="363" t="s">
        <v>8</v>
      </c>
      <c r="AW26" s="363" t="s">
        <v>8</v>
      </c>
      <c r="AX26" s="363" t="s">
        <v>8</v>
      </c>
      <c r="AY26" s="363" t="s">
        <v>8</v>
      </c>
      <c r="AZ26" s="363" t="s">
        <v>8</v>
      </c>
      <c r="BA26" s="363" t="s">
        <v>8</v>
      </c>
      <c r="BB26" s="363" t="s">
        <v>8</v>
      </c>
      <c r="BC26" s="363" t="s">
        <v>8</v>
      </c>
      <c r="BD26" s="363" t="s">
        <v>8</v>
      </c>
      <c r="BE26" s="363" t="s">
        <v>8</v>
      </c>
      <c r="BF26" s="363" t="s">
        <v>8</v>
      </c>
      <c r="BG26" s="363" t="s">
        <v>8</v>
      </c>
      <c r="BH26" s="363" t="s">
        <v>8</v>
      </c>
      <c r="BI26" s="837" t="s">
        <v>8</v>
      </c>
      <c r="BJ26" s="363" t="s">
        <v>8</v>
      </c>
      <c r="BK26" s="116"/>
    </row>
    <row r="27" spans="1:63">
      <c r="A27" s="550" t="s">
        <v>829</v>
      </c>
      <c r="B27" s="124"/>
      <c r="C27" s="490" t="s">
        <v>548</v>
      </c>
      <c r="D27" s="360" t="s">
        <v>8</v>
      </c>
      <c r="E27" s="363" t="s">
        <v>8</v>
      </c>
      <c r="F27" s="363" t="s">
        <v>8</v>
      </c>
      <c r="G27" s="363" t="s">
        <v>8</v>
      </c>
      <c r="H27" s="363" t="s">
        <v>8</v>
      </c>
      <c r="I27" s="363" t="s">
        <v>8</v>
      </c>
      <c r="J27" s="363" t="s">
        <v>8</v>
      </c>
      <c r="K27" s="363" t="s">
        <v>8</v>
      </c>
      <c r="L27" s="360" t="s">
        <v>58</v>
      </c>
      <c r="M27" s="360" t="s">
        <v>58</v>
      </c>
      <c r="N27" s="363" t="s">
        <v>8</v>
      </c>
      <c r="O27" s="363" t="s">
        <v>8</v>
      </c>
      <c r="P27" s="360" t="s">
        <v>58</v>
      </c>
      <c r="Q27" s="363" t="s">
        <v>58</v>
      </c>
      <c r="R27" s="363" t="s">
        <v>58</v>
      </c>
      <c r="S27" s="363" t="s">
        <v>58</v>
      </c>
      <c r="T27" s="363" t="s">
        <v>58</v>
      </c>
      <c r="U27" s="360" t="s">
        <v>8</v>
      </c>
      <c r="V27" s="360" t="s">
        <v>8</v>
      </c>
      <c r="W27" s="481" t="s">
        <v>58</v>
      </c>
      <c r="X27" s="363" t="s">
        <v>8</v>
      </c>
      <c r="Y27" s="363" t="s">
        <v>8</v>
      </c>
      <c r="Z27" s="363" t="s">
        <v>8</v>
      </c>
      <c r="AA27" s="363" t="s">
        <v>8</v>
      </c>
      <c r="AB27" s="363" t="s">
        <v>8</v>
      </c>
      <c r="AC27" s="363" t="s">
        <v>8</v>
      </c>
      <c r="AD27" s="363" t="s">
        <v>8</v>
      </c>
      <c r="AE27" s="363" t="s">
        <v>8</v>
      </c>
      <c r="AF27" s="363" t="s">
        <v>8</v>
      </c>
      <c r="AG27" s="360" t="s">
        <v>8</v>
      </c>
      <c r="AH27" s="360" t="s">
        <v>8</v>
      </c>
      <c r="AI27" s="360" t="s">
        <v>8</v>
      </c>
      <c r="AJ27" s="363" t="s">
        <v>8</v>
      </c>
      <c r="AK27" s="363" t="s">
        <v>8</v>
      </c>
      <c r="AL27" s="360" t="s">
        <v>8</v>
      </c>
      <c r="AM27" s="360" t="s">
        <v>8</v>
      </c>
      <c r="AN27" s="360" t="s">
        <v>8</v>
      </c>
      <c r="AO27" s="363" t="s">
        <v>8</v>
      </c>
      <c r="AP27" s="363" t="s">
        <v>8</v>
      </c>
      <c r="AQ27" s="363" t="s">
        <v>8</v>
      </c>
      <c r="AR27" s="363" t="s">
        <v>8</v>
      </c>
      <c r="AS27" s="363" t="s">
        <v>8</v>
      </c>
      <c r="AT27" s="363" t="s">
        <v>8</v>
      </c>
      <c r="AU27" s="363" t="s">
        <v>8</v>
      </c>
      <c r="AV27" s="363" t="s">
        <v>8</v>
      </c>
      <c r="AW27" s="363" t="s">
        <v>8</v>
      </c>
      <c r="AX27" s="363" t="s">
        <v>8</v>
      </c>
      <c r="AY27" s="363" t="s">
        <v>8</v>
      </c>
      <c r="AZ27" s="363" t="s">
        <v>8</v>
      </c>
      <c r="BA27" s="363" t="s">
        <v>8</v>
      </c>
      <c r="BB27" s="363" t="s">
        <v>8</v>
      </c>
      <c r="BC27" s="363" t="s">
        <v>8</v>
      </c>
      <c r="BD27" s="363" t="s">
        <v>8</v>
      </c>
      <c r="BE27" s="363" t="s">
        <v>8</v>
      </c>
      <c r="BF27" s="363" t="s">
        <v>8</v>
      </c>
      <c r="BG27" s="363" t="s">
        <v>8</v>
      </c>
      <c r="BH27" s="363" t="s">
        <v>8</v>
      </c>
      <c r="BI27" s="837" t="s">
        <v>8</v>
      </c>
      <c r="BJ27" s="363" t="s">
        <v>8</v>
      </c>
      <c r="BK27" s="116"/>
    </row>
    <row r="28" spans="1:63">
      <c r="A28" s="548" t="s">
        <v>683</v>
      </c>
      <c r="B28" s="123"/>
      <c r="C28" s="594" t="s">
        <v>1</v>
      </c>
      <c r="D28" s="34" t="s">
        <v>8</v>
      </c>
      <c r="E28" s="36" t="s">
        <v>8</v>
      </c>
      <c r="F28" s="363" t="s">
        <v>8</v>
      </c>
      <c r="G28" s="363" t="s">
        <v>8</v>
      </c>
      <c r="H28" s="363" t="s">
        <v>8</v>
      </c>
      <c r="I28" s="363" t="s">
        <v>8</v>
      </c>
      <c r="J28" s="363" t="s">
        <v>8</v>
      </c>
      <c r="K28" s="36" t="s">
        <v>8</v>
      </c>
      <c r="L28" s="34" t="s">
        <v>58</v>
      </c>
      <c r="M28" s="34" t="s">
        <v>58</v>
      </c>
      <c r="N28" s="363" t="s">
        <v>8</v>
      </c>
      <c r="O28" s="363" t="s">
        <v>8</v>
      </c>
      <c r="P28" s="34" t="s">
        <v>58</v>
      </c>
      <c r="Q28" s="36" t="s">
        <v>58</v>
      </c>
      <c r="R28" s="36" t="s">
        <v>58</v>
      </c>
      <c r="S28" s="36" t="s">
        <v>58</v>
      </c>
      <c r="T28" s="36" t="s">
        <v>58</v>
      </c>
      <c r="U28" s="34" t="s">
        <v>8</v>
      </c>
      <c r="V28" s="34" t="s">
        <v>8</v>
      </c>
      <c r="W28" s="222" t="s">
        <v>58</v>
      </c>
      <c r="X28" s="596" t="s">
        <v>1</v>
      </c>
      <c r="Y28" s="596" t="s">
        <v>1</v>
      </c>
      <c r="Z28" s="596" t="s">
        <v>1</v>
      </c>
      <c r="AA28" s="36" t="s">
        <v>8</v>
      </c>
      <c r="AB28" s="36" t="s">
        <v>8</v>
      </c>
      <c r="AC28" s="36" t="s">
        <v>8</v>
      </c>
      <c r="AD28" s="36" t="s">
        <v>8</v>
      </c>
      <c r="AE28" s="36" t="s">
        <v>8</v>
      </c>
      <c r="AF28" s="596" t="s">
        <v>1</v>
      </c>
      <c r="AG28" s="360" t="s">
        <v>8</v>
      </c>
      <c r="AH28" s="360" t="s">
        <v>8</v>
      </c>
      <c r="AI28" s="360" t="s">
        <v>8</v>
      </c>
      <c r="AJ28" s="34" t="s">
        <v>8</v>
      </c>
      <c r="AK28" s="36" t="s">
        <v>8</v>
      </c>
      <c r="AL28" s="360" t="s">
        <v>8</v>
      </c>
      <c r="AM28" s="360" t="s">
        <v>8</v>
      </c>
      <c r="AN28" s="360" t="s">
        <v>8</v>
      </c>
      <c r="AO28" s="36" t="s">
        <v>8</v>
      </c>
      <c r="AP28" s="596" t="s">
        <v>1</v>
      </c>
      <c r="AQ28" s="596" t="s">
        <v>1</v>
      </c>
      <c r="AR28" s="36" t="s">
        <v>8</v>
      </c>
      <c r="AS28" s="36" t="s">
        <v>8</v>
      </c>
      <c r="AT28" s="36" t="s">
        <v>8</v>
      </c>
      <c r="AU28" s="36" t="s">
        <v>8</v>
      </c>
      <c r="AV28" s="36" t="s">
        <v>8</v>
      </c>
      <c r="AW28" s="36" t="s">
        <v>8</v>
      </c>
      <c r="AX28" s="36" t="s">
        <v>8</v>
      </c>
      <c r="AY28" s="36" t="s">
        <v>8</v>
      </c>
      <c r="AZ28" s="36" t="s">
        <v>8</v>
      </c>
      <c r="BA28" s="36" t="s">
        <v>8</v>
      </c>
      <c r="BB28" s="36" t="s">
        <v>8</v>
      </c>
      <c r="BC28" s="36" t="s">
        <v>8</v>
      </c>
      <c r="BD28" s="36" t="s">
        <v>8</v>
      </c>
      <c r="BE28" s="36" t="s">
        <v>8</v>
      </c>
      <c r="BF28" s="36" t="s">
        <v>8</v>
      </c>
      <c r="BG28" s="36" t="s">
        <v>8</v>
      </c>
      <c r="BH28" s="36" t="s">
        <v>8</v>
      </c>
      <c r="BI28" s="36" t="s">
        <v>8</v>
      </c>
      <c r="BJ28" s="34" t="s">
        <v>649</v>
      </c>
      <c r="BK28" s="116"/>
    </row>
    <row r="29" spans="1:63">
      <c r="A29" s="549" t="s">
        <v>826</v>
      </c>
      <c r="B29" s="497"/>
      <c r="C29" s="594" t="s">
        <v>853</v>
      </c>
      <c r="D29" s="34" t="s">
        <v>8</v>
      </c>
      <c r="E29" s="34" t="s">
        <v>8</v>
      </c>
      <c r="F29" s="360" t="s">
        <v>8</v>
      </c>
      <c r="G29" s="360" t="s">
        <v>8</v>
      </c>
      <c r="H29" s="360" t="s">
        <v>8</v>
      </c>
      <c r="I29" s="360" t="s">
        <v>8</v>
      </c>
      <c r="J29" s="360" t="s">
        <v>8</v>
      </c>
      <c r="K29" s="34" t="s">
        <v>8</v>
      </c>
      <c r="L29" s="34" t="s">
        <v>849</v>
      </c>
      <c r="M29" s="34" t="s">
        <v>849</v>
      </c>
      <c r="N29" s="360" t="s">
        <v>8</v>
      </c>
      <c r="O29" s="360" t="s">
        <v>8</v>
      </c>
      <c r="P29" s="34" t="s">
        <v>849</v>
      </c>
      <c r="Q29" s="36" t="s">
        <v>849</v>
      </c>
      <c r="R29" s="36" t="s">
        <v>849</v>
      </c>
      <c r="S29" s="36" t="s">
        <v>849</v>
      </c>
      <c r="T29" s="36" t="s">
        <v>849</v>
      </c>
      <c r="U29" s="34" t="s">
        <v>8</v>
      </c>
      <c r="V29" s="34" t="s">
        <v>8</v>
      </c>
      <c r="W29" s="36" t="s">
        <v>849</v>
      </c>
      <c r="X29" s="596" t="s">
        <v>853</v>
      </c>
      <c r="Y29" s="596" t="s">
        <v>853</v>
      </c>
      <c r="Z29" s="596" t="s">
        <v>853</v>
      </c>
      <c r="AA29" s="36" t="s">
        <v>849</v>
      </c>
      <c r="AB29" s="36" t="s">
        <v>849</v>
      </c>
      <c r="AC29" s="36" t="s">
        <v>849</v>
      </c>
      <c r="AD29" s="36" t="s">
        <v>849</v>
      </c>
      <c r="AE29" s="36" t="s">
        <v>849</v>
      </c>
      <c r="AF29" s="596" t="s">
        <v>854</v>
      </c>
      <c r="AG29" s="363" t="s">
        <v>849</v>
      </c>
      <c r="AH29" s="363" t="s">
        <v>849</v>
      </c>
      <c r="AI29" s="363" t="s">
        <v>849</v>
      </c>
      <c r="AJ29" s="36" t="s">
        <v>849</v>
      </c>
      <c r="AK29" s="36" t="s">
        <v>849</v>
      </c>
      <c r="AL29" s="363" t="s">
        <v>849</v>
      </c>
      <c r="AM29" s="363" t="s">
        <v>849</v>
      </c>
      <c r="AN29" s="363" t="s">
        <v>849</v>
      </c>
      <c r="AO29" s="36" t="s">
        <v>849</v>
      </c>
      <c r="AP29" s="36" t="s">
        <v>849</v>
      </c>
      <c r="AQ29" s="36" t="s">
        <v>849</v>
      </c>
      <c r="AR29" s="36" t="s">
        <v>849</v>
      </c>
      <c r="AS29" s="36" t="s">
        <v>849</v>
      </c>
      <c r="AT29" s="36" t="s">
        <v>849</v>
      </c>
      <c r="AU29" s="36" t="s">
        <v>849</v>
      </c>
      <c r="AV29" s="36" t="s">
        <v>849</v>
      </c>
      <c r="AW29" s="36" t="s">
        <v>849</v>
      </c>
      <c r="AX29" s="36" t="s">
        <v>849</v>
      </c>
      <c r="AY29" s="36" t="s">
        <v>849</v>
      </c>
      <c r="AZ29" s="36" t="s">
        <v>849</v>
      </c>
      <c r="BA29" s="36" t="s">
        <v>849</v>
      </c>
      <c r="BB29" s="36" t="s">
        <v>849</v>
      </c>
      <c r="BC29" s="36" t="s">
        <v>849</v>
      </c>
      <c r="BD29" s="36" t="s">
        <v>849</v>
      </c>
      <c r="BE29" s="36" t="s">
        <v>849</v>
      </c>
      <c r="BF29" s="36" t="s">
        <v>849</v>
      </c>
      <c r="BG29" s="36" t="s">
        <v>849</v>
      </c>
      <c r="BH29" s="36" t="s">
        <v>849</v>
      </c>
      <c r="BI29" s="36" t="s">
        <v>849</v>
      </c>
      <c r="BJ29" s="36" t="s">
        <v>849</v>
      </c>
      <c r="BK29" s="116"/>
    </row>
    <row r="30" spans="1:63">
      <c r="A30" s="548" t="s">
        <v>711</v>
      </c>
      <c r="B30" s="123"/>
      <c r="C30" s="594" t="s">
        <v>1</v>
      </c>
      <c r="D30" s="34" t="s">
        <v>58</v>
      </c>
      <c r="E30" s="36" t="s">
        <v>58</v>
      </c>
      <c r="F30" s="363" t="s">
        <v>58</v>
      </c>
      <c r="G30" s="363" t="s">
        <v>58</v>
      </c>
      <c r="H30" s="363" t="s">
        <v>58</v>
      </c>
      <c r="I30" s="363" t="s">
        <v>58</v>
      </c>
      <c r="J30" s="363" t="s">
        <v>58</v>
      </c>
      <c r="K30" s="36" t="s">
        <v>58</v>
      </c>
      <c r="L30" s="34" t="s">
        <v>58</v>
      </c>
      <c r="M30" s="34" t="s">
        <v>58</v>
      </c>
      <c r="N30" s="363" t="s">
        <v>58</v>
      </c>
      <c r="O30" s="363" t="s">
        <v>58</v>
      </c>
      <c r="P30" s="34" t="s">
        <v>58</v>
      </c>
      <c r="Q30" s="36" t="s">
        <v>58</v>
      </c>
      <c r="R30" s="36" t="s">
        <v>58</v>
      </c>
      <c r="S30" s="36" t="s">
        <v>58</v>
      </c>
      <c r="T30" s="36" t="s">
        <v>58</v>
      </c>
      <c r="U30" s="34" t="s">
        <v>58</v>
      </c>
      <c r="V30" s="34" t="s">
        <v>58</v>
      </c>
      <c r="W30" s="222" t="s">
        <v>58</v>
      </c>
      <c r="X30" s="36" t="s">
        <v>58</v>
      </c>
      <c r="Y30" s="36" t="s">
        <v>58</v>
      </c>
      <c r="Z30" s="36" t="s">
        <v>58</v>
      </c>
      <c r="AA30" s="36" t="s">
        <v>58</v>
      </c>
      <c r="AB30" s="36" t="s">
        <v>58</v>
      </c>
      <c r="AC30" s="36" t="s">
        <v>58</v>
      </c>
      <c r="AD30" s="36" t="s">
        <v>58</v>
      </c>
      <c r="AE30" s="36" t="s">
        <v>58</v>
      </c>
      <c r="AF30" s="36" t="s">
        <v>58</v>
      </c>
      <c r="AG30" s="360" t="s">
        <v>8</v>
      </c>
      <c r="AH30" s="360" t="s">
        <v>8</v>
      </c>
      <c r="AI30" s="360" t="s">
        <v>8</v>
      </c>
      <c r="AJ30" s="36" t="s">
        <v>58</v>
      </c>
      <c r="AK30" s="36" t="s">
        <v>58</v>
      </c>
      <c r="AL30" s="360" t="s">
        <v>8</v>
      </c>
      <c r="AM30" s="360" t="s">
        <v>8</v>
      </c>
      <c r="AN30" s="360" t="s">
        <v>8</v>
      </c>
      <c r="AO30" s="36" t="s">
        <v>58</v>
      </c>
      <c r="AP30" s="36" t="s">
        <v>8</v>
      </c>
      <c r="AQ30" s="36" t="s">
        <v>8</v>
      </c>
      <c r="AR30" s="36" t="s">
        <v>8</v>
      </c>
      <c r="AS30" s="36" t="s">
        <v>8</v>
      </c>
      <c r="AT30" s="36" t="s">
        <v>8</v>
      </c>
      <c r="AU30" s="36" t="s">
        <v>8</v>
      </c>
      <c r="AV30" s="36" t="s">
        <v>649</v>
      </c>
      <c r="AW30" s="36" t="s">
        <v>639</v>
      </c>
      <c r="AX30" s="36" t="s">
        <v>639</v>
      </c>
      <c r="AY30" s="36" t="s">
        <v>8</v>
      </c>
      <c r="AZ30" s="36" t="s">
        <v>8</v>
      </c>
      <c r="BA30" s="36" t="s">
        <v>8</v>
      </c>
      <c r="BB30" s="36" t="s">
        <v>58</v>
      </c>
      <c r="BC30" s="36" t="s">
        <v>58</v>
      </c>
      <c r="BD30" s="36" t="s">
        <v>8</v>
      </c>
      <c r="BE30" s="36" t="s">
        <v>8</v>
      </c>
      <c r="BF30" s="36" t="s">
        <v>8</v>
      </c>
      <c r="BG30" s="36" t="s">
        <v>8</v>
      </c>
      <c r="BH30" s="36" t="s">
        <v>58</v>
      </c>
      <c r="BI30" s="36" t="s">
        <v>58</v>
      </c>
      <c r="BJ30" s="36" t="s">
        <v>58</v>
      </c>
      <c r="BK30" s="116"/>
    </row>
    <row r="31" spans="1:63">
      <c r="A31" s="550" t="s">
        <v>712</v>
      </c>
      <c r="B31" s="124"/>
      <c r="C31" s="490" t="s">
        <v>548</v>
      </c>
      <c r="D31" s="360" t="s">
        <v>58</v>
      </c>
      <c r="E31" s="363" t="s">
        <v>58</v>
      </c>
      <c r="F31" s="363" t="s">
        <v>58</v>
      </c>
      <c r="G31" s="363" t="s">
        <v>58</v>
      </c>
      <c r="H31" s="363" t="s">
        <v>58</v>
      </c>
      <c r="I31" s="363" t="s">
        <v>58</v>
      </c>
      <c r="J31" s="363" t="s">
        <v>58</v>
      </c>
      <c r="K31" s="363" t="s">
        <v>58</v>
      </c>
      <c r="L31" s="360" t="s">
        <v>58</v>
      </c>
      <c r="M31" s="360" t="s">
        <v>58</v>
      </c>
      <c r="N31" s="363" t="s">
        <v>58</v>
      </c>
      <c r="O31" s="363" t="s">
        <v>58</v>
      </c>
      <c r="P31" s="360" t="s">
        <v>58</v>
      </c>
      <c r="Q31" s="363" t="s">
        <v>58</v>
      </c>
      <c r="R31" s="363" t="s">
        <v>58</v>
      </c>
      <c r="S31" s="363" t="s">
        <v>58</v>
      </c>
      <c r="T31" s="363" t="s">
        <v>58</v>
      </c>
      <c r="U31" s="360" t="s">
        <v>58</v>
      </c>
      <c r="V31" s="360" t="s">
        <v>58</v>
      </c>
      <c r="W31" s="363" t="s">
        <v>58</v>
      </c>
      <c r="X31" s="363" t="s">
        <v>58</v>
      </c>
      <c r="Y31" s="363" t="s">
        <v>58</v>
      </c>
      <c r="Z31" s="363" t="s">
        <v>58</v>
      </c>
      <c r="AA31" s="363" t="s">
        <v>58</v>
      </c>
      <c r="AB31" s="363" t="s">
        <v>58</v>
      </c>
      <c r="AC31" s="363" t="s">
        <v>58</v>
      </c>
      <c r="AD31" s="363" t="s">
        <v>58</v>
      </c>
      <c r="AE31" s="363" t="s">
        <v>58</v>
      </c>
      <c r="AF31" s="363" t="s">
        <v>58</v>
      </c>
      <c r="AG31" s="360" t="s">
        <v>8</v>
      </c>
      <c r="AH31" s="360" t="s">
        <v>8</v>
      </c>
      <c r="AI31" s="360" t="s">
        <v>8</v>
      </c>
      <c r="AJ31" s="363" t="s">
        <v>58</v>
      </c>
      <c r="AK31" s="363" t="s">
        <v>58</v>
      </c>
      <c r="AL31" s="360" t="s">
        <v>8</v>
      </c>
      <c r="AM31" s="360" t="s">
        <v>8</v>
      </c>
      <c r="AN31" s="360" t="s">
        <v>8</v>
      </c>
      <c r="AO31" s="363" t="s">
        <v>58</v>
      </c>
      <c r="AP31" s="363" t="s">
        <v>8</v>
      </c>
      <c r="AQ31" s="363" t="s">
        <v>8</v>
      </c>
      <c r="AR31" s="363" t="s">
        <v>8</v>
      </c>
      <c r="AS31" s="363" t="s">
        <v>8</v>
      </c>
      <c r="AT31" s="363" t="s">
        <v>8</v>
      </c>
      <c r="AU31" s="363" t="s">
        <v>8</v>
      </c>
      <c r="AV31" s="363" t="s">
        <v>8</v>
      </c>
      <c r="AW31" s="363" t="s">
        <v>8</v>
      </c>
      <c r="AX31" s="363" t="s">
        <v>8</v>
      </c>
      <c r="AY31" s="363" t="s">
        <v>8</v>
      </c>
      <c r="AZ31" s="363" t="s">
        <v>8</v>
      </c>
      <c r="BA31" s="363" t="s">
        <v>8</v>
      </c>
      <c r="BB31" s="363" t="s">
        <v>58</v>
      </c>
      <c r="BC31" s="363" t="s">
        <v>58</v>
      </c>
      <c r="BD31" s="363" t="s">
        <v>58</v>
      </c>
      <c r="BE31" s="363" t="s">
        <v>58</v>
      </c>
      <c r="BF31" s="363" t="s">
        <v>58</v>
      </c>
      <c r="BG31" s="363" t="s">
        <v>58</v>
      </c>
      <c r="BH31" s="363" t="s">
        <v>58</v>
      </c>
      <c r="BI31" s="837" t="s">
        <v>58</v>
      </c>
      <c r="BJ31" s="363" t="s">
        <v>58</v>
      </c>
      <c r="BK31" s="116"/>
    </row>
    <row r="32" spans="1:63">
      <c r="A32" s="548" t="s">
        <v>713</v>
      </c>
      <c r="B32" s="123"/>
      <c r="C32" s="594" t="s">
        <v>1</v>
      </c>
      <c r="D32" s="34" t="s">
        <v>58</v>
      </c>
      <c r="E32" s="36" t="s">
        <v>58</v>
      </c>
      <c r="F32" s="363" t="s">
        <v>58</v>
      </c>
      <c r="G32" s="363" t="s">
        <v>58</v>
      </c>
      <c r="H32" s="363" t="s">
        <v>58</v>
      </c>
      <c r="I32" s="363" t="s">
        <v>58</v>
      </c>
      <c r="J32" s="363" t="s">
        <v>58</v>
      </c>
      <c r="K32" s="36" t="s">
        <v>58</v>
      </c>
      <c r="L32" s="34" t="s">
        <v>58</v>
      </c>
      <c r="M32" s="34" t="s">
        <v>58</v>
      </c>
      <c r="N32" s="363" t="s">
        <v>58</v>
      </c>
      <c r="O32" s="363" t="s">
        <v>58</v>
      </c>
      <c r="P32" s="34" t="s">
        <v>58</v>
      </c>
      <c r="Q32" s="36" t="s">
        <v>58</v>
      </c>
      <c r="R32" s="36" t="s">
        <v>58</v>
      </c>
      <c r="S32" s="36" t="s">
        <v>58</v>
      </c>
      <c r="T32" s="36" t="s">
        <v>58</v>
      </c>
      <c r="U32" s="34" t="s">
        <v>58</v>
      </c>
      <c r="V32" s="34" t="s">
        <v>58</v>
      </c>
      <c r="W32" s="222" t="s">
        <v>58</v>
      </c>
      <c r="X32" s="36" t="s">
        <v>58</v>
      </c>
      <c r="Y32" s="36" t="s">
        <v>58</v>
      </c>
      <c r="Z32" s="36" t="s">
        <v>58</v>
      </c>
      <c r="AA32" s="36" t="s">
        <v>58</v>
      </c>
      <c r="AB32" s="36" t="s">
        <v>58</v>
      </c>
      <c r="AC32" s="36" t="s">
        <v>58</v>
      </c>
      <c r="AD32" s="36" t="s">
        <v>58</v>
      </c>
      <c r="AE32" s="36" t="s">
        <v>58</v>
      </c>
      <c r="AF32" s="36" t="s">
        <v>58</v>
      </c>
      <c r="AG32" s="360" t="s">
        <v>8</v>
      </c>
      <c r="AH32" s="360" t="s">
        <v>8</v>
      </c>
      <c r="AI32" s="360" t="s">
        <v>8</v>
      </c>
      <c r="AJ32" s="36" t="s">
        <v>58</v>
      </c>
      <c r="AK32" s="36" t="s">
        <v>58</v>
      </c>
      <c r="AL32" s="360" t="s">
        <v>8</v>
      </c>
      <c r="AM32" s="360" t="s">
        <v>8</v>
      </c>
      <c r="AN32" s="360" t="s">
        <v>8</v>
      </c>
      <c r="AO32" s="36" t="s">
        <v>58</v>
      </c>
      <c r="AP32" s="36" t="s">
        <v>8</v>
      </c>
      <c r="AQ32" s="36" t="s">
        <v>8</v>
      </c>
      <c r="AR32" s="36" t="s">
        <v>8</v>
      </c>
      <c r="AS32" s="36" t="s">
        <v>8</v>
      </c>
      <c r="AT32" s="36" t="s">
        <v>8</v>
      </c>
      <c r="AU32" s="36" t="s">
        <v>8</v>
      </c>
      <c r="AV32" s="36" t="s">
        <v>8</v>
      </c>
      <c r="AW32" s="36" t="s">
        <v>8</v>
      </c>
      <c r="AX32" s="36" t="s">
        <v>8</v>
      </c>
      <c r="AY32" s="36" t="s">
        <v>649</v>
      </c>
      <c r="AZ32" s="36" t="s">
        <v>639</v>
      </c>
      <c r="BA32" s="36" t="s">
        <v>639</v>
      </c>
      <c r="BB32" s="36" t="s">
        <v>58</v>
      </c>
      <c r="BC32" s="36" t="s">
        <v>58</v>
      </c>
      <c r="BD32" s="36" t="s">
        <v>58</v>
      </c>
      <c r="BE32" s="36" t="s">
        <v>58</v>
      </c>
      <c r="BF32" s="36" t="s">
        <v>58</v>
      </c>
      <c r="BG32" s="36" t="s">
        <v>58</v>
      </c>
      <c r="BH32" s="36" t="s">
        <v>58</v>
      </c>
      <c r="BI32" s="36" t="s">
        <v>58</v>
      </c>
      <c r="BJ32" s="36" t="s">
        <v>58</v>
      </c>
      <c r="BK32" s="116"/>
    </row>
    <row r="33" spans="1:63">
      <c r="A33" s="548" t="s">
        <v>714</v>
      </c>
      <c r="B33" s="123"/>
      <c r="C33" s="350" t="s">
        <v>548</v>
      </c>
      <c r="D33" s="34" t="s">
        <v>58</v>
      </c>
      <c r="E33" s="36" t="s">
        <v>58</v>
      </c>
      <c r="F33" s="363" t="s">
        <v>58</v>
      </c>
      <c r="G33" s="363" t="s">
        <v>58</v>
      </c>
      <c r="H33" s="363" t="s">
        <v>58</v>
      </c>
      <c r="I33" s="363" t="s">
        <v>58</v>
      </c>
      <c r="J33" s="363" t="s">
        <v>58</v>
      </c>
      <c r="K33" s="36" t="s">
        <v>58</v>
      </c>
      <c r="L33" s="34" t="s">
        <v>58</v>
      </c>
      <c r="M33" s="34" t="s">
        <v>58</v>
      </c>
      <c r="N33" s="363" t="s">
        <v>58</v>
      </c>
      <c r="O33" s="363" t="s">
        <v>58</v>
      </c>
      <c r="P33" s="34" t="s">
        <v>58</v>
      </c>
      <c r="Q33" s="36" t="s">
        <v>58</v>
      </c>
      <c r="R33" s="36" t="s">
        <v>58</v>
      </c>
      <c r="S33" s="36" t="s">
        <v>58</v>
      </c>
      <c r="T33" s="36" t="s">
        <v>58</v>
      </c>
      <c r="U33" s="34" t="s">
        <v>58</v>
      </c>
      <c r="V33" s="34" t="s">
        <v>58</v>
      </c>
      <c r="W33" s="222" t="s">
        <v>58</v>
      </c>
      <c r="X33" s="36" t="s">
        <v>58</v>
      </c>
      <c r="Y33" s="36" t="s">
        <v>58</v>
      </c>
      <c r="Z33" s="36" t="s">
        <v>58</v>
      </c>
      <c r="AA33" s="36" t="s">
        <v>58</v>
      </c>
      <c r="AB33" s="36" t="s">
        <v>58</v>
      </c>
      <c r="AC33" s="36" t="s">
        <v>58</v>
      </c>
      <c r="AD33" s="36" t="s">
        <v>58</v>
      </c>
      <c r="AE33" s="36" t="s">
        <v>58</v>
      </c>
      <c r="AF33" s="36" t="s">
        <v>58</v>
      </c>
      <c r="AG33" s="360" t="s">
        <v>8</v>
      </c>
      <c r="AH33" s="360" t="s">
        <v>8</v>
      </c>
      <c r="AI33" s="360" t="s">
        <v>8</v>
      </c>
      <c r="AJ33" s="36" t="s">
        <v>58</v>
      </c>
      <c r="AK33" s="36" t="s">
        <v>58</v>
      </c>
      <c r="AL33" s="360" t="s">
        <v>8</v>
      </c>
      <c r="AM33" s="360" t="s">
        <v>8</v>
      </c>
      <c r="AN33" s="360" t="s">
        <v>8</v>
      </c>
      <c r="AO33" s="36" t="s">
        <v>58</v>
      </c>
      <c r="AP33" s="36" t="s">
        <v>8</v>
      </c>
      <c r="AQ33" s="36" t="s">
        <v>8</v>
      </c>
      <c r="AR33" s="36" t="s">
        <v>8</v>
      </c>
      <c r="AS33" s="36" t="s">
        <v>8</v>
      </c>
      <c r="AT33" s="36" t="s">
        <v>8</v>
      </c>
      <c r="AU33" s="36" t="s">
        <v>8</v>
      </c>
      <c r="AV33" s="36" t="s">
        <v>8</v>
      </c>
      <c r="AW33" s="36" t="s">
        <v>8</v>
      </c>
      <c r="AX33" s="36" t="s">
        <v>8</v>
      </c>
      <c r="AY33" s="36" t="s">
        <v>8</v>
      </c>
      <c r="AZ33" s="36" t="s">
        <v>8</v>
      </c>
      <c r="BA33" s="36" t="s">
        <v>8</v>
      </c>
      <c r="BB33" s="34" t="s">
        <v>649</v>
      </c>
      <c r="BC33" s="36" t="s">
        <v>58</v>
      </c>
      <c r="BD33" s="36" t="s">
        <v>58</v>
      </c>
      <c r="BE33" s="36" t="s">
        <v>58</v>
      </c>
      <c r="BF33" s="36" t="s">
        <v>58</v>
      </c>
      <c r="BG33" s="36" t="s">
        <v>58</v>
      </c>
      <c r="BH33" s="36" t="s">
        <v>58</v>
      </c>
      <c r="BI33" s="36" t="s">
        <v>58</v>
      </c>
      <c r="BJ33" s="36" t="s">
        <v>58</v>
      </c>
      <c r="BK33" s="116"/>
    </row>
    <row r="34" spans="1:63">
      <c r="A34" s="548" t="s">
        <v>715</v>
      </c>
      <c r="B34" s="123"/>
      <c r="C34" s="350" t="s">
        <v>548</v>
      </c>
      <c r="D34" s="34" t="s">
        <v>58</v>
      </c>
      <c r="E34" s="36" t="s">
        <v>58</v>
      </c>
      <c r="F34" s="363" t="s">
        <v>58</v>
      </c>
      <c r="G34" s="363" t="s">
        <v>58</v>
      </c>
      <c r="H34" s="363" t="s">
        <v>58</v>
      </c>
      <c r="I34" s="363" t="s">
        <v>58</v>
      </c>
      <c r="J34" s="363" t="s">
        <v>58</v>
      </c>
      <c r="K34" s="36" t="s">
        <v>58</v>
      </c>
      <c r="L34" s="34" t="s">
        <v>58</v>
      </c>
      <c r="M34" s="34" t="s">
        <v>58</v>
      </c>
      <c r="N34" s="363" t="s">
        <v>58</v>
      </c>
      <c r="O34" s="363" t="s">
        <v>58</v>
      </c>
      <c r="P34" s="34" t="s">
        <v>58</v>
      </c>
      <c r="Q34" s="36" t="s">
        <v>58</v>
      </c>
      <c r="R34" s="36" t="s">
        <v>58</v>
      </c>
      <c r="S34" s="36" t="s">
        <v>58</v>
      </c>
      <c r="T34" s="36" t="s">
        <v>58</v>
      </c>
      <c r="U34" s="34" t="s">
        <v>58</v>
      </c>
      <c r="V34" s="34" t="s">
        <v>58</v>
      </c>
      <c r="W34" s="222" t="s">
        <v>58</v>
      </c>
      <c r="X34" s="36" t="s">
        <v>58</v>
      </c>
      <c r="Y34" s="36" t="s">
        <v>58</v>
      </c>
      <c r="Z34" s="36" t="s">
        <v>58</v>
      </c>
      <c r="AA34" s="36" t="s">
        <v>58</v>
      </c>
      <c r="AB34" s="36" t="s">
        <v>58</v>
      </c>
      <c r="AC34" s="36" t="s">
        <v>58</v>
      </c>
      <c r="AD34" s="36" t="s">
        <v>58</v>
      </c>
      <c r="AE34" s="36" t="s">
        <v>58</v>
      </c>
      <c r="AF34" s="36" t="s">
        <v>58</v>
      </c>
      <c r="AG34" s="360" t="s">
        <v>8</v>
      </c>
      <c r="AH34" s="360" t="s">
        <v>8</v>
      </c>
      <c r="AI34" s="360" t="s">
        <v>8</v>
      </c>
      <c r="AJ34" s="36" t="s">
        <v>58</v>
      </c>
      <c r="AK34" s="36" t="s">
        <v>58</v>
      </c>
      <c r="AL34" s="360" t="s">
        <v>8</v>
      </c>
      <c r="AM34" s="360" t="s">
        <v>8</v>
      </c>
      <c r="AN34" s="360" t="s">
        <v>8</v>
      </c>
      <c r="AO34" s="36" t="s">
        <v>58</v>
      </c>
      <c r="AP34" s="36" t="s">
        <v>8</v>
      </c>
      <c r="AQ34" s="36" t="s">
        <v>8</v>
      </c>
      <c r="AR34" s="36" t="s">
        <v>8</v>
      </c>
      <c r="AS34" s="36" t="s">
        <v>8</v>
      </c>
      <c r="AT34" s="36" t="s">
        <v>8</v>
      </c>
      <c r="AU34" s="36" t="s">
        <v>8</v>
      </c>
      <c r="AV34" s="36" t="s">
        <v>8</v>
      </c>
      <c r="AW34" s="36" t="s">
        <v>8</v>
      </c>
      <c r="AX34" s="36" t="s">
        <v>8</v>
      </c>
      <c r="AY34" s="36" t="s">
        <v>8</v>
      </c>
      <c r="AZ34" s="36" t="s">
        <v>8</v>
      </c>
      <c r="BA34" s="36" t="s">
        <v>8</v>
      </c>
      <c r="BB34" s="36" t="s">
        <v>58</v>
      </c>
      <c r="BC34" s="34" t="s">
        <v>649</v>
      </c>
      <c r="BD34" s="36" t="s">
        <v>58</v>
      </c>
      <c r="BE34" s="36" t="s">
        <v>58</v>
      </c>
      <c r="BF34" s="36" t="s">
        <v>58</v>
      </c>
      <c r="BG34" s="36" t="s">
        <v>58</v>
      </c>
      <c r="BH34" s="36" t="s">
        <v>58</v>
      </c>
      <c r="BI34" s="36" t="s">
        <v>58</v>
      </c>
      <c r="BJ34" s="36" t="s">
        <v>58</v>
      </c>
      <c r="BK34" s="116"/>
    </row>
    <row r="35" spans="1:63" s="338" customFormat="1">
      <c r="A35" s="651" t="s">
        <v>940</v>
      </c>
      <c r="B35" s="495"/>
      <c r="C35" s="349" t="s">
        <v>1</v>
      </c>
      <c r="D35" s="221" t="s">
        <v>58</v>
      </c>
      <c r="E35" s="222" t="s">
        <v>58</v>
      </c>
      <c r="F35" s="481" t="s">
        <v>58</v>
      </c>
      <c r="G35" s="481" t="s">
        <v>58</v>
      </c>
      <c r="H35" s="481" t="s">
        <v>58</v>
      </c>
      <c r="I35" s="481" t="s">
        <v>58</v>
      </c>
      <c r="J35" s="481" t="s">
        <v>58</v>
      </c>
      <c r="K35" s="222" t="s">
        <v>58</v>
      </c>
      <c r="L35" s="34" t="s">
        <v>58</v>
      </c>
      <c r="M35" s="34" t="s">
        <v>58</v>
      </c>
      <c r="N35" s="481" t="s">
        <v>58</v>
      </c>
      <c r="O35" s="481" t="s">
        <v>58</v>
      </c>
      <c r="P35" s="34" t="s">
        <v>58</v>
      </c>
      <c r="Q35" s="36" t="s">
        <v>58</v>
      </c>
      <c r="R35" s="36" t="s">
        <v>58</v>
      </c>
      <c r="S35" s="36" t="s">
        <v>58</v>
      </c>
      <c r="T35" s="36" t="s">
        <v>58</v>
      </c>
      <c r="U35" s="221" t="s">
        <v>58</v>
      </c>
      <c r="V35" s="221" t="s">
        <v>58</v>
      </c>
      <c r="W35" s="222" t="s">
        <v>58</v>
      </c>
      <c r="X35" s="222" t="s">
        <v>58</v>
      </c>
      <c r="Y35" s="222" t="s">
        <v>58</v>
      </c>
      <c r="Z35" s="222" t="s">
        <v>58</v>
      </c>
      <c r="AA35" s="222" t="s">
        <v>58</v>
      </c>
      <c r="AB35" s="222" t="s">
        <v>58</v>
      </c>
      <c r="AC35" s="222" t="s">
        <v>58</v>
      </c>
      <c r="AD35" s="222" t="s">
        <v>58</v>
      </c>
      <c r="AE35" s="222" t="s">
        <v>58</v>
      </c>
      <c r="AF35" s="222" t="s">
        <v>58</v>
      </c>
      <c r="AG35" s="360" t="s">
        <v>8</v>
      </c>
      <c r="AH35" s="360" t="s">
        <v>8</v>
      </c>
      <c r="AI35" s="360" t="s">
        <v>8</v>
      </c>
      <c r="AJ35" s="222" t="s">
        <v>58</v>
      </c>
      <c r="AK35" s="222" t="s">
        <v>58</v>
      </c>
      <c r="AL35" s="360" t="s">
        <v>8</v>
      </c>
      <c r="AM35" s="360" t="s">
        <v>8</v>
      </c>
      <c r="AN35" s="360" t="s">
        <v>8</v>
      </c>
      <c r="AO35" s="222" t="s">
        <v>58</v>
      </c>
      <c r="AP35" s="36" t="s">
        <v>8</v>
      </c>
      <c r="AQ35" s="36" t="s">
        <v>8</v>
      </c>
      <c r="AR35" s="36" t="s">
        <v>8</v>
      </c>
      <c r="AS35" s="36" t="s">
        <v>8</v>
      </c>
      <c r="AT35" s="36" t="s">
        <v>8</v>
      </c>
      <c r="AU35" s="36" t="s">
        <v>8</v>
      </c>
      <c r="AV35" s="36" t="s">
        <v>8</v>
      </c>
      <c r="AW35" s="36" t="s">
        <v>8</v>
      </c>
      <c r="AX35" s="36" t="s">
        <v>8</v>
      </c>
      <c r="AY35" s="36" t="s">
        <v>8</v>
      </c>
      <c r="AZ35" s="36" t="s">
        <v>8</v>
      </c>
      <c r="BA35" s="36" t="s">
        <v>8</v>
      </c>
      <c r="BB35" s="222" t="s">
        <v>58</v>
      </c>
      <c r="BC35" s="222" t="s">
        <v>58</v>
      </c>
      <c r="BD35" s="222" t="s">
        <v>639</v>
      </c>
      <c r="BE35" s="222" t="s">
        <v>649</v>
      </c>
      <c r="BF35" s="222" t="s">
        <v>58</v>
      </c>
      <c r="BG35" s="222" t="s">
        <v>58</v>
      </c>
      <c r="BH35" s="222" t="s">
        <v>58</v>
      </c>
      <c r="BI35" s="34" t="s">
        <v>58</v>
      </c>
      <c r="BJ35" s="570" t="s">
        <v>58</v>
      </c>
      <c r="BK35" s="494"/>
    </row>
    <row r="36" spans="1:63" s="338" customFormat="1">
      <c r="A36" s="651" t="s">
        <v>941</v>
      </c>
      <c r="B36" s="495"/>
      <c r="C36" s="349" t="s">
        <v>1</v>
      </c>
      <c r="D36" s="221" t="s">
        <v>58</v>
      </c>
      <c r="E36" s="222" t="s">
        <v>58</v>
      </c>
      <c r="F36" s="481" t="s">
        <v>58</v>
      </c>
      <c r="G36" s="481" t="s">
        <v>58</v>
      </c>
      <c r="H36" s="481" t="s">
        <v>58</v>
      </c>
      <c r="I36" s="481" t="s">
        <v>58</v>
      </c>
      <c r="J36" s="481" t="s">
        <v>58</v>
      </c>
      <c r="K36" s="222" t="s">
        <v>58</v>
      </c>
      <c r="L36" s="34" t="s">
        <v>58</v>
      </c>
      <c r="M36" s="34" t="s">
        <v>58</v>
      </c>
      <c r="N36" s="481" t="s">
        <v>58</v>
      </c>
      <c r="O36" s="481" t="s">
        <v>58</v>
      </c>
      <c r="P36" s="34" t="s">
        <v>58</v>
      </c>
      <c r="Q36" s="36" t="s">
        <v>58</v>
      </c>
      <c r="R36" s="36" t="s">
        <v>58</v>
      </c>
      <c r="S36" s="36" t="s">
        <v>58</v>
      </c>
      <c r="T36" s="36" t="s">
        <v>58</v>
      </c>
      <c r="U36" s="221" t="s">
        <v>58</v>
      </c>
      <c r="V36" s="221" t="s">
        <v>58</v>
      </c>
      <c r="W36" s="222" t="s">
        <v>58</v>
      </c>
      <c r="X36" s="222" t="s">
        <v>58</v>
      </c>
      <c r="Y36" s="222" t="s">
        <v>58</v>
      </c>
      <c r="Z36" s="222" t="s">
        <v>58</v>
      </c>
      <c r="AA36" s="222" t="s">
        <v>58</v>
      </c>
      <c r="AB36" s="222" t="s">
        <v>58</v>
      </c>
      <c r="AC36" s="222" t="s">
        <v>58</v>
      </c>
      <c r="AD36" s="222" t="s">
        <v>58</v>
      </c>
      <c r="AE36" s="222" t="s">
        <v>58</v>
      </c>
      <c r="AF36" s="222" t="s">
        <v>58</v>
      </c>
      <c r="AG36" s="360" t="s">
        <v>8</v>
      </c>
      <c r="AH36" s="360" t="s">
        <v>8</v>
      </c>
      <c r="AI36" s="360" t="s">
        <v>8</v>
      </c>
      <c r="AJ36" s="222" t="s">
        <v>58</v>
      </c>
      <c r="AK36" s="222" t="s">
        <v>58</v>
      </c>
      <c r="AL36" s="360" t="s">
        <v>8</v>
      </c>
      <c r="AM36" s="360" t="s">
        <v>8</v>
      </c>
      <c r="AN36" s="360" t="s">
        <v>8</v>
      </c>
      <c r="AO36" s="222" t="s">
        <v>58</v>
      </c>
      <c r="AP36" s="36" t="s">
        <v>8</v>
      </c>
      <c r="AQ36" s="36" t="s">
        <v>8</v>
      </c>
      <c r="AR36" s="36" t="s">
        <v>8</v>
      </c>
      <c r="AS36" s="36" t="s">
        <v>8</v>
      </c>
      <c r="AT36" s="36" t="s">
        <v>8</v>
      </c>
      <c r="AU36" s="36" t="s">
        <v>8</v>
      </c>
      <c r="AV36" s="36" t="s">
        <v>8</v>
      </c>
      <c r="AW36" s="36" t="s">
        <v>8</v>
      </c>
      <c r="AX36" s="36" t="s">
        <v>8</v>
      </c>
      <c r="AY36" s="36" t="s">
        <v>8</v>
      </c>
      <c r="AZ36" s="36" t="s">
        <v>8</v>
      </c>
      <c r="BA36" s="36" t="s">
        <v>8</v>
      </c>
      <c r="BB36" s="222" t="s">
        <v>58</v>
      </c>
      <c r="BC36" s="222" t="s">
        <v>58</v>
      </c>
      <c r="BD36" s="222" t="s">
        <v>58</v>
      </c>
      <c r="BE36" s="222" t="s">
        <v>58</v>
      </c>
      <c r="BF36" s="222" t="s">
        <v>639</v>
      </c>
      <c r="BG36" s="222" t="s">
        <v>649</v>
      </c>
      <c r="BH36" s="222" t="s">
        <v>58</v>
      </c>
      <c r="BI36" s="34" t="s">
        <v>58</v>
      </c>
      <c r="BJ36" s="570" t="s">
        <v>58</v>
      </c>
      <c r="BK36" s="494"/>
    </row>
    <row r="37" spans="1:63" s="338" customFormat="1">
      <c r="A37" s="557" t="s">
        <v>718</v>
      </c>
      <c r="B37" s="224"/>
      <c r="C37" s="490" t="s">
        <v>548</v>
      </c>
      <c r="D37" s="493" t="s">
        <v>58</v>
      </c>
      <c r="E37" s="481" t="s">
        <v>58</v>
      </c>
      <c r="F37" s="481" t="s">
        <v>58</v>
      </c>
      <c r="G37" s="481" t="s">
        <v>58</v>
      </c>
      <c r="H37" s="481" t="s">
        <v>58</v>
      </c>
      <c r="I37" s="481" t="s">
        <v>58</v>
      </c>
      <c r="J37" s="481" t="s">
        <v>58</v>
      </c>
      <c r="K37" s="481" t="s">
        <v>58</v>
      </c>
      <c r="L37" s="360" t="s">
        <v>58</v>
      </c>
      <c r="M37" s="360" t="s">
        <v>58</v>
      </c>
      <c r="N37" s="481" t="s">
        <v>58</v>
      </c>
      <c r="O37" s="481" t="s">
        <v>58</v>
      </c>
      <c r="P37" s="360" t="s">
        <v>58</v>
      </c>
      <c r="Q37" s="363" t="s">
        <v>58</v>
      </c>
      <c r="R37" s="363" t="s">
        <v>58</v>
      </c>
      <c r="S37" s="363" t="s">
        <v>58</v>
      </c>
      <c r="T37" s="363" t="s">
        <v>58</v>
      </c>
      <c r="U37" s="493" t="s">
        <v>58</v>
      </c>
      <c r="V37" s="493" t="s">
        <v>58</v>
      </c>
      <c r="W37" s="481" t="s">
        <v>58</v>
      </c>
      <c r="X37" s="481" t="s">
        <v>58</v>
      </c>
      <c r="Y37" s="481" t="s">
        <v>58</v>
      </c>
      <c r="Z37" s="481" t="s">
        <v>58</v>
      </c>
      <c r="AA37" s="481" t="s">
        <v>58</v>
      </c>
      <c r="AB37" s="481" t="s">
        <v>58</v>
      </c>
      <c r="AC37" s="481" t="s">
        <v>58</v>
      </c>
      <c r="AD37" s="481" t="s">
        <v>58</v>
      </c>
      <c r="AE37" s="481" t="s">
        <v>58</v>
      </c>
      <c r="AF37" s="481" t="s">
        <v>58</v>
      </c>
      <c r="AG37" s="360" t="s">
        <v>8</v>
      </c>
      <c r="AH37" s="360" t="s">
        <v>8</v>
      </c>
      <c r="AI37" s="360" t="s">
        <v>8</v>
      </c>
      <c r="AJ37" s="481" t="s">
        <v>58</v>
      </c>
      <c r="AK37" s="481" t="s">
        <v>58</v>
      </c>
      <c r="AL37" s="360" t="s">
        <v>8</v>
      </c>
      <c r="AM37" s="360" t="s">
        <v>8</v>
      </c>
      <c r="AN37" s="360" t="s">
        <v>8</v>
      </c>
      <c r="AO37" s="481" t="s">
        <v>58</v>
      </c>
      <c r="AP37" s="363" t="s">
        <v>8</v>
      </c>
      <c r="AQ37" s="363" t="s">
        <v>8</v>
      </c>
      <c r="AR37" s="363" t="s">
        <v>8</v>
      </c>
      <c r="AS37" s="363" t="s">
        <v>8</v>
      </c>
      <c r="AT37" s="363" t="s">
        <v>8</v>
      </c>
      <c r="AU37" s="363" t="s">
        <v>8</v>
      </c>
      <c r="AV37" s="363" t="s">
        <v>8</v>
      </c>
      <c r="AW37" s="363" t="s">
        <v>8</v>
      </c>
      <c r="AX37" s="363" t="s">
        <v>8</v>
      </c>
      <c r="AY37" s="363" t="s">
        <v>8</v>
      </c>
      <c r="AZ37" s="363" t="s">
        <v>8</v>
      </c>
      <c r="BA37" s="363" t="s">
        <v>8</v>
      </c>
      <c r="BB37" s="481" t="s">
        <v>58</v>
      </c>
      <c r="BC37" s="481" t="s">
        <v>58</v>
      </c>
      <c r="BD37" s="481" t="s">
        <v>58</v>
      </c>
      <c r="BE37" s="481" t="s">
        <v>58</v>
      </c>
      <c r="BF37" s="481" t="s">
        <v>58</v>
      </c>
      <c r="BG37" s="481" t="s">
        <v>58</v>
      </c>
      <c r="BH37" s="481" t="s">
        <v>58</v>
      </c>
      <c r="BI37" s="706" t="s">
        <v>58</v>
      </c>
      <c r="BJ37" s="507" t="s">
        <v>58</v>
      </c>
      <c r="BK37" s="505"/>
    </row>
    <row r="38" spans="1:63" s="338" customFormat="1">
      <c r="A38" s="557" t="s">
        <v>719</v>
      </c>
      <c r="B38" s="224"/>
      <c r="C38" s="490" t="s">
        <v>548</v>
      </c>
      <c r="D38" s="493" t="s">
        <v>58</v>
      </c>
      <c r="E38" s="481" t="s">
        <v>58</v>
      </c>
      <c r="F38" s="481" t="s">
        <v>58</v>
      </c>
      <c r="G38" s="481" t="s">
        <v>58</v>
      </c>
      <c r="H38" s="481" t="s">
        <v>58</v>
      </c>
      <c r="I38" s="481" t="s">
        <v>58</v>
      </c>
      <c r="J38" s="481" t="s">
        <v>58</v>
      </c>
      <c r="K38" s="481" t="s">
        <v>58</v>
      </c>
      <c r="L38" s="360" t="s">
        <v>58</v>
      </c>
      <c r="M38" s="360" t="s">
        <v>58</v>
      </c>
      <c r="N38" s="481" t="s">
        <v>58</v>
      </c>
      <c r="O38" s="481" t="s">
        <v>58</v>
      </c>
      <c r="P38" s="360" t="s">
        <v>58</v>
      </c>
      <c r="Q38" s="363" t="s">
        <v>58</v>
      </c>
      <c r="R38" s="363" t="s">
        <v>58</v>
      </c>
      <c r="S38" s="363" t="s">
        <v>58</v>
      </c>
      <c r="T38" s="363" t="s">
        <v>58</v>
      </c>
      <c r="U38" s="493" t="s">
        <v>58</v>
      </c>
      <c r="V38" s="493" t="s">
        <v>58</v>
      </c>
      <c r="W38" s="481" t="s">
        <v>58</v>
      </c>
      <c r="X38" s="481" t="s">
        <v>58</v>
      </c>
      <c r="Y38" s="481" t="s">
        <v>58</v>
      </c>
      <c r="Z38" s="481" t="s">
        <v>58</v>
      </c>
      <c r="AA38" s="481" t="s">
        <v>58</v>
      </c>
      <c r="AB38" s="481" t="s">
        <v>58</v>
      </c>
      <c r="AC38" s="481" t="s">
        <v>58</v>
      </c>
      <c r="AD38" s="481" t="s">
        <v>58</v>
      </c>
      <c r="AE38" s="481" t="s">
        <v>58</v>
      </c>
      <c r="AF38" s="481" t="s">
        <v>58</v>
      </c>
      <c r="AG38" s="360" t="s">
        <v>8</v>
      </c>
      <c r="AH38" s="360" t="s">
        <v>8</v>
      </c>
      <c r="AI38" s="360" t="s">
        <v>8</v>
      </c>
      <c r="AJ38" s="481" t="s">
        <v>58</v>
      </c>
      <c r="AK38" s="481" t="s">
        <v>58</v>
      </c>
      <c r="AL38" s="360" t="s">
        <v>8</v>
      </c>
      <c r="AM38" s="360" t="s">
        <v>8</v>
      </c>
      <c r="AN38" s="360" t="s">
        <v>8</v>
      </c>
      <c r="AO38" s="481" t="s">
        <v>58</v>
      </c>
      <c r="AP38" s="363" t="s">
        <v>8</v>
      </c>
      <c r="AQ38" s="363" t="s">
        <v>8</v>
      </c>
      <c r="AR38" s="363" t="s">
        <v>8</v>
      </c>
      <c r="AS38" s="363" t="s">
        <v>8</v>
      </c>
      <c r="AT38" s="363" t="s">
        <v>8</v>
      </c>
      <c r="AU38" s="363" t="s">
        <v>8</v>
      </c>
      <c r="AV38" s="363" t="s">
        <v>8</v>
      </c>
      <c r="AW38" s="363" t="s">
        <v>8</v>
      </c>
      <c r="AX38" s="363" t="s">
        <v>8</v>
      </c>
      <c r="AY38" s="363" t="s">
        <v>8</v>
      </c>
      <c r="AZ38" s="363" t="s">
        <v>8</v>
      </c>
      <c r="BA38" s="363" t="s">
        <v>8</v>
      </c>
      <c r="BB38" s="481" t="s">
        <v>58</v>
      </c>
      <c r="BC38" s="481" t="s">
        <v>58</v>
      </c>
      <c r="BD38" s="481" t="s">
        <v>58</v>
      </c>
      <c r="BE38" s="481" t="s">
        <v>58</v>
      </c>
      <c r="BF38" s="481" t="s">
        <v>58</v>
      </c>
      <c r="BG38" s="481" t="s">
        <v>58</v>
      </c>
      <c r="BH38" s="481" t="s">
        <v>58</v>
      </c>
      <c r="BI38" s="706" t="s">
        <v>58</v>
      </c>
      <c r="BJ38" s="507" t="s">
        <v>58</v>
      </c>
      <c r="BK38" s="505"/>
    </row>
    <row r="39" spans="1:63">
      <c r="A39" s="551" t="s">
        <v>684</v>
      </c>
      <c r="B39" s="123"/>
      <c r="C39" s="350" t="s">
        <v>548</v>
      </c>
      <c r="D39" s="43" t="s">
        <v>58</v>
      </c>
      <c r="E39" s="42" t="s">
        <v>58</v>
      </c>
      <c r="F39" s="364" t="s">
        <v>58</v>
      </c>
      <c r="G39" s="364" t="s">
        <v>58</v>
      </c>
      <c r="H39" s="364" t="s">
        <v>58</v>
      </c>
      <c r="I39" s="364" t="s">
        <v>58</v>
      </c>
      <c r="J39" s="364" t="s">
        <v>58</v>
      </c>
      <c r="K39" s="42" t="s">
        <v>58</v>
      </c>
      <c r="L39" s="34" t="s">
        <v>58</v>
      </c>
      <c r="M39" s="34" t="s">
        <v>58</v>
      </c>
      <c r="N39" s="364" t="s">
        <v>58</v>
      </c>
      <c r="O39" s="364" t="s">
        <v>58</v>
      </c>
      <c r="P39" s="34" t="s">
        <v>58</v>
      </c>
      <c r="Q39" s="36" t="s">
        <v>58</v>
      </c>
      <c r="R39" s="36" t="s">
        <v>58</v>
      </c>
      <c r="S39" s="36" t="s">
        <v>58</v>
      </c>
      <c r="T39" s="36" t="s">
        <v>58</v>
      </c>
      <c r="U39" s="43" t="s">
        <v>58</v>
      </c>
      <c r="V39" s="43" t="s">
        <v>58</v>
      </c>
      <c r="W39" s="222" t="s">
        <v>58</v>
      </c>
      <c r="X39" s="42" t="s">
        <v>58</v>
      </c>
      <c r="Y39" s="42" t="s">
        <v>58</v>
      </c>
      <c r="Z39" s="42" t="s">
        <v>58</v>
      </c>
      <c r="AA39" s="42" t="s">
        <v>58</v>
      </c>
      <c r="AB39" s="42" t="s">
        <v>58</v>
      </c>
      <c r="AC39" s="42" t="s">
        <v>58</v>
      </c>
      <c r="AD39" s="42" t="s">
        <v>58</v>
      </c>
      <c r="AE39" s="42" t="s">
        <v>58</v>
      </c>
      <c r="AF39" s="42" t="s">
        <v>58</v>
      </c>
      <c r="AG39" s="360" t="s">
        <v>8</v>
      </c>
      <c r="AH39" s="360" t="s">
        <v>8</v>
      </c>
      <c r="AI39" s="360" t="s">
        <v>8</v>
      </c>
      <c r="AJ39" s="42" t="s">
        <v>58</v>
      </c>
      <c r="AK39" s="42" t="s">
        <v>58</v>
      </c>
      <c r="AL39" s="360" t="s">
        <v>8</v>
      </c>
      <c r="AM39" s="360" t="s">
        <v>8</v>
      </c>
      <c r="AN39" s="360" t="s">
        <v>8</v>
      </c>
      <c r="AO39" s="42" t="s">
        <v>58</v>
      </c>
      <c r="AP39" s="36" t="s">
        <v>8</v>
      </c>
      <c r="AQ39" s="36" t="s">
        <v>8</v>
      </c>
      <c r="AR39" s="36" t="s">
        <v>8</v>
      </c>
      <c r="AS39" s="36" t="s">
        <v>8</v>
      </c>
      <c r="AT39" s="36" t="s">
        <v>8</v>
      </c>
      <c r="AU39" s="36" t="s">
        <v>8</v>
      </c>
      <c r="AV39" s="36" t="s">
        <v>8</v>
      </c>
      <c r="AW39" s="36" t="s">
        <v>8</v>
      </c>
      <c r="AX39" s="36" t="s">
        <v>8</v>
      </c>
      <c r="AY39" s="36" t="s">
        <v>8</v>
      </c>
      <c r="AZ39" s="36" t="s">
        <v>8</v>
      </c>
      <c r="BA39" s="36" t="s">
        <v>8</v>
      </c>
      <c r="BB39" s="42" t="s">
        <v>58</v>
      </c>
      <c r="BC39" s="42" t="s">
        <v>58</v>
      </c>
      <c r="BD39" s="42" t="s">
        <v>58</v>
      </c>
      <c r="BE39" s="42" t="s">
        <v>58</v>
      </c>
      <c r="BF39" s="42" t="s">
        <v>58</v>
      </c>
      <c r="BG39" s="42" t="s">
        <v>58</v>
      </c>
      <c r="BH39" s="34" t="s">
        <v>649</v>
      </c>
      <c r="BI39" s="36" t="s">
        <v>58</v>
      </c>
      <c r="BJ39" s="42" t="s">
        <v>58</v>
      </c>
      <c r="BK39" s="117"/>
    </row>
    <row r="40" spans="1:63">
      <c r="A40" s="552" t="s">
        <v>720</v>
      </c>
      <c r="B40" s="124"/>
      <c r="C40" s="490" t="s">
        <v>548</v>
      </c>
      <c r="D40" s="360" t="s">
        <v>58</v>
      </c>
      <c r="E40" s="363" t="s">
        <v>58</v>
      </c>
      <c r="F40" s="363" t="s">
        <v>58</v>
      </c>
      <c r="G40" s="363" t="s">
        <v>58</v>
      </c>
      <c r="H40" s="363" t="s">
        <v>58</v>
      </c>
      <c r="I40" s="363" t="s">
        <v>58</v>
      </c>
      <c r="J40" s="363" t="s">
        <v>58</v>
      </c>
      <c r="K40" s="363" t="s">
        <v>58</v>
      </c>
      <c r="L40" s="360" t="s">
        <v>58</v>
      </c>
      <c r="M40" s="360" t="s">
        <v>58</v>
      </c>
      <c r="N40" s="363" t="s">
        <v>58</v>
      </c>
      <c r="O40" s="363" t="s">
        <v>58</v>
      </c>
      <c r="P40" s="360" t="s">
        <v>58</v>
      </c>
      <c r="Q40" s="363" t="s">
        <v>58</v>
      </c>
      <c r="R40" s="363" t="s">
        <v>58</v>
      </c>
      <c r="S40" s="363" t="s">
        <v>58</v>
      </c>
      <c r="T40" s="363" t="s">
        <v>58</v>
      </c>
      <c r="U40" s="360" t="s">
        <v>58</v>
      </c>
      <c r="V40" s="360" t="s">
        <v>58</v>
      </c>
      <c r="W40" s="481" t="s">
        <v>58</v>
      </c>
      <c r="X40" s="363" t="s">
        <v>58</v>
      </c>
      <c r="Y40" s="363" t="s">
        <v>58</v>
      </c>
      <c r="Z40" s="363" t="s">
        <v>58</v>
      </c>
      <c r="AA40" s="363" t="s">
        <v>58</v>
      </c>
      <c r="AB40" s="363" t="s">
        <v>58</v>
      </c>
      <c r="AC40" s="363" t="s">
        <v>58</v>
      </c>
      <c r="AD40" s="363" t="s">
        <v>58</v>
      </c>
      <c r="AE40" s="363" t="s">
        <v>58</v>
      </c>
      <c r="AF40" s="363" t="s">
        <v>58</v>
      </c>
      <c r="AG40" s="360" t="s">
        <v>8</v>
      </c>
      <c r="AH40" s="360" t="s">
        <v>8</v>
      </c>
      <c r="AI40" s="360" t="s">
        <v>8</v>
      </c>
      <c r="AJ40" s="363" t="s">
        <v>58</v>
      </c>
      <c r="AK40" s="363" t="s">
        <v>58</v>
      </c>
      <c r="AL40" s="360" t="s">
        <v>8</v>
      </c>
      <c r="AM40" s="360" t="s">
        <v>8</v>
      </c>
      <c r="AN40" s="360" t="s">
        <v>8</v>
      </c>
      <c r="AO40" s="363" t="s">
        <v>58</v>
      </c>
      <c r="AP40" s="363" t="s">
        <v>8</v>
      </c>
      <c r="AQ40" s="363" t="s">
        <v>8</v>
      </c>
      <c r="AR40" s="363" t="s">
        <v>8</v>
      </c>
      <c r="AS40" s="363" t="s">
        <v>8</v>
      </c>
      <c r="AT40" s="363" t="s">
        <v>8</v>
      </c>
      <c r="AU40" s="363" t="s">
        <v>8</v>
      </c>
      <c r="AV40" s="363" t="s">
        <v>8</v>
      </c>
      <c r="AW40" s="363" t="s">
        <v>8</v>
      </c>
      <c r="AX40" s="363" t="s">
        <v>8</v>
      </c>
      <c r="AY40" s="363" t="s">
        <v>8</v>
      </c>
      <c r="AZ40" s="363" t="s">
        <v>8</v>
      </c>
      <c r="BA40" s="363" t="s">
        <v>8</v>
      </c>
      <c r="BB40" s="363" t="s">
        <v>58</v>
      </c>
      <c r="BC40" s="363" t="s">
        <v>58</v>
      </c>
      <c r="BD40" s="363" t="s">
        <v>58</v>
      </c>
      <c r="BE40" s="363" t="s">
        <v>58</v>
      </c>
      <c r="BF40" s="363" t="s">
        <v>58</v>
      </c>
      <c r="BG40" s="363" t="s">
        <v>58</v>
      </c>
      <c r="BH40" s="363" t="s">
        <v>58</v>
      </c>
      <c r="BI40" s="837" t="s">
        <v>58</v>
      </c>
      <c r="BJ40" s="363" t="s">
        <v>58</v>
      </c>
      <c r="BK40" s="117"/>
    </row>
    <row r="41" spans="1:63">
      <c r="A41" s="552" t="s">
        <v>721</v>
      </c>
      <c r="B41" s="124"/>
      <c r="C41" s="490" t="s">
        <v>548</v>
      </c>
      <c r="D41" s="360" t="s">
        <v>58</v>
      </c>
      <c r="E41" s="363" t="s">
        <v>58</v>
      </c>
      <c r="F41" s="363" t="s">
        <v>58</v>
      </c>
      <c r="G41" s="363" t="s">
        <v>58</v>
      </c>
      <c r="H41" s="363" t="s">
        <v>58</v>
      </c>
      <c r="I41" s="837" t="s">
        <v>58</v>
      </c>
      <c r="J41" s="363" t="s">
        <v>58</v>
      </c>
      <c r="K41" s="363" t="s">
        <v>58</v>
      </c>
      <c r="L41" s="360" t="s">
        <v>58</v>
      </c>
      <c r="M41" s="360" t="s">
        <v>58</v>
      </c>
      <c r="N41" s="363" t="s">
        <v>58</v>
      </c>
      <c r="O41" s="363" t="s">
        <v>58</v>
      </c>
      <c r="P41" s="360" t="s">
        <v>58</v>
      </c>
      <c r="Q41" s="363" t="s">
        <v>58</v>
      </c>
      <c r="R41" s="363" t="s">
        <v>58</v>
      </c>
      <c r="S41" s="363" t="s">
        <v>58</v>
      </c>
      <c r="T41" s="363" t="s">
        <v>58</v>
      </c>
      <c r="U41" s="360" t="s">
        <v>58</v>
      </c>
      <c r="V41" s="360" t="s">
        <v>58</v>
      </c>
      <c r="W41" s="481" t="s">
        <v>58</v>
      </c>
      <c r="X41" s="363" t="s">
        <v>58</v>
      </c>
      <c r="Y41" s="363" t="s">
        <v>58</v>
      </c>
      <c r="Z41" s="363" t="s">
        <v>58</v>
      </c>
      <c r="AA41" s="363" t="s">
        <v>58</v>
      </c>
      <c r="AB41" s="363" t="s">
        <v>58</v>
      </c>
      <c r="AC41" s="363" t="s">
        <v>58</v>
      </c>
      <c r="AD41" s="363" t="s">
        <v>58</v>
      </c>
      <c r="AE41" s="363" t="s">
        <v>58</v>
      </c>
      <c r="AF41" s="363" t="s">
        <v>58</v>
      </c>
      <c r="AG41" s="360" t="s">
        <v>8</v>
      </c>
      <c r="AH41" s="360" t="s">
        <v>8</v>
      </c>
      <c r="AI41" s="360" t="s">
        <v>8</v>
      </c>
      <c r="AJ41" s="363" t="s">
        <v>58</v>
      </c>
      <c r="AK41" s="363" t="s">
        <v>58</v>
      </c>
      <c r="AL41" s="360" t="s">
        <v>8</v>
      </c>
      <c r="AM41" s="360" t="s">
        <v>8</v>
      </c>
      <c r="AN41" s="360" t="s">
        <v>8</v>
      </c>
      <c r="AO41" s="363" t="s">
        <v>58</v>
      </c>
      <c r="AP41" s="363" t="s">
        <v>8</v>
      </c>
      <c r="AQ41" s="363" t="s">
        <v>8</v>
      </c>
      <c r="AR41" s="363" t="s">
        <v>8</v>
      </c>
      <c r="AS41" s="363" t="s">
        <v>8</v>
      </c>
      <c r="AT41" s="363" t="s">
        <v>8</v>
      </c>
      <c r="AU41" s="363" t="s">
        <v>8</v>
      </c>
      <c r="AV41" s="363" t="s">
        <v>8</v>
      </c>
      <c r="AW41" s="363" t="s">
        <v>8</v>
      </c>
      <c r="AX41" s="363" t="s">
        <v>8</v>
      </c>
      <c r="AY41" s="363" t="s">
        <v>8</v>
      </c>
      <c r="AZ41" s="363" t="s">
        <v>8</v>
      </c>
      <c r="BA41" s="363" t="s">
        <v>8</v>
      </c>
      <c r="BB41" s="363" t="s">
        <v>58</v>
      </c>
      <c r="BC41" s="363" t="s">
        <v>58</v>
      </c>
      <c r="BD41" s="363" t="s">
        <v>58</v>
      </c>
      <c r="BE41" s="363" t="s">
        <v>58</v>
      </c>
      <c r="BF41" s="363" t="s">
        <v>58</v>
      </c>
      <c r="BG41" s="363" t="s">
        <v>58</v>
      </c>
      <c r="BH41" s="363" t="s">
        <v>58</v>
      </c>
      <c r="BI41" s="837" t="s">
        <v>58</v>
      </c>
      <c r="BJ41" s="363" t="s">
        <v>58</v>
      </c>
      <c r="BK41" s="117"/>
    </row>
    <row r="42" spans="1:63">
      <c r="A42" s="550" t="s">
        <v>723</v>
      </c>
      <c r="B42" s="124"/>
      <c r="C42" s="490" t="s">
        <v>548</v>
      </c>
      <c r="D42" s="360" t="s">
        <v>58</v>
      </c>
      <c r="E42" s="363" t="s">
        <v>58</v>
      </c>
      <c r="F42" s="363" t="s">
        <v>58</v>
      </c>
      <c r="G42" s="363" t="s">
        <v>58</v>
      </c>
      <c r="H42" s="363" t="s">
        <v>58</v>
      </c>
      <c r="I42" s="363" t="s">
        <v>58</v>
      </c>
      <c r="J42" s="363" t="s">
        <v>58</v>
      </c>
      <c r="K42" s="363" t="s">
        <v>58</v>
      </c>
      <c r="L42" s="360" t="s">
        <v>58</v>
      </c>
      <c r="M42" s="360" t="s">
        <v>58</v>
      </c>
      <c r="N42" s="363" t="s">
        <v>58</v>
      </c>
      <c r="O42" s="363" t="s">
        <v>58</v>
      </c>
      <c r="P42" s="360" t="s">
        <v>58</v>
      </c>
      <c r="Q42" s="363" t="s">
        <v>58</v>
      </c>
      <c r="R42" s="363" t="s">
        <v>58</v>
      </c>
      <c r="S42" s="363" t="s">
        <v>58</v>
      </c>
      <c r="T42" s="363" t="s">
        <v>58</v>
      </c>
      <c r="U42" s="360" t="s">
        <v>58</v>
      </c>
      <c r="V42" s="360" t="s">
        <v>58</v>
      </c>
      <c r="W42" s="481" t="s">
        <v>58</v>
      </c>
      <c r="X42" s="363" t="s">
        <v>58</v>
      </c>
      <c r="Y42" s="363" t="s">
        <v>58</v>
      </c>
      <c r="Z42" s="363" t="s">
        <v>58</v>
      </c>
      <c r="AA42" s="363" t="s">
        <v>58</v>
      </c>
      <c r="AB42" s="363" t="s">
        <v>58</v>
      </c>
      <c r="AC42" s="363" t="s">
        <v>58</v>
      </c>
      <c r="AD42" s="363" t="s">
        <v>58</v>
      </c>
      <c r="AE42" s="363" t="s">
        <v>58</v>
      </c>
      <c r="AF42" s="363" t="s">
        <v>58</v>
      </c>
      <c r="AG42" s="360" t="s">
        <v>8</v>
      </c>
      <c r="AH42" s="360" t="s">
        <v>8</v>
      </c>
      <c r="AI42" s="360" t="s">
        <v>8</v>
      </c>
      <c r="AJ42" s="363" t="s">
        <v>58</v>
      </c>
      <c r="AK42" s="363" t="s">
        <v>58</v>
      </c>
      <c r="AL42" s="360" t="s">
        <v>8</v>
      </c>
      <c r="AM42" s="360" t="s">
        <v>8</v>
      </c>
      <c r="AN42" s="360" t="s">
        <v>8</v>
      </c>
      <c r="AO42" s="363" t="s">
        <v>58</v>
      </c>
      <c r="AP42" s="363" t="s">
        <v>8</v>
      </c>
      <c r="AQ42" s="363" t="s">
        <v>8</v>
      </c>
      <c r="AR42" s="363" t="s">
        <v>8</v>
      </c>
      <c r="AS42" s="363" t="s">
        <v>8</v>
      </c>
      <c r="AT42" s="363" t="s">
        <v>8</v>
      </c>
      <c r="AU42" s="363" t="s">
        <v>8</v>
      </c>
      <c r="AV42" s="363" t="s">
        <v>8</v>
      </c>
      <c r="AW42" s="363" t="s">
        <v>8</v>
      </c>
      <c r="AX42" s="363" t="s">
        <v>8</v>
      </c>
      <c r="AY42" s="363" t="s">
        <v>8</v>
      </c>
      <c r="AZ42" s="363" t="s">
        <v>8</v>
      </c>
      <c r="BA42" s="363" t="s">
        <v>8</v>
      </c>
      <c r="BB42" s="363" t="s">
        <v>58</v>
      </c>
      <c r="BC42" s="363" t="s">
        <v>58</v>
      </c>
      <c r="BD42" s="363" t="s">
        <v>58</v>
      </c>
      <c r="BE42" s="363" t="s">
        <v>58</v>
      </c>
      <c r="BF42" s="363" t="s">
        <v>58</v>
      </c>
      <c r="BG42" s="363" t="s">
        <v>58</v>
      </c>
      <c r="BH42" s="363" t="s">
        <v>58</v>
      </c>
      <c r="BI42" s="837" t="s">
        <v>58</v>
      </c>
      <c r="BJ42" s="363" t="s">
        <v>58</v>
      </c>
      <c r="BK42" s="116"/>
    </row>
    <row r="43" spans="1:63">
      <c r="A43" s="550" t="s">
        <v>724</v>
      </c>
      <c r="B43" s="124"/>
      <c r="C43" s="490" t="s">
        <v>548</v>
      </c>
      <c r="D43" s="360" t="s">
        <v>58</v>
      </c>
      <c r="E43" s="363" t="s">
        <v>58</v>
      </c>
      <c r="F43" s="363" t="s">
        <v>58</v>
      </c>
      <c r="G43" s="363" t="s">
        <v>58</v>
      </c>
      <c r="H43" s="363" t="s">
        <v>58</v>
      </c>
      <c r="I43" s="363" t="s">
        <v>58</v>
      </c>
      <c r="J43" s="363" t="s">
        <v>58</v>
      </c>
      <c r="K43" s="363" t="s">
        <v>58</v>
      </c>
      <c r="L43" s="360" t="s">
        <v>58</v>
      </c>
      <c r="M43" s="360" t="s">
        <v>58</v>
      </c>
      <c r="N43" s="363" t="s">
        <v>58</v>
      </c>
      <c r="O43" s="363" t="s">
        <v>58</v>
      </c>
      <c r="P43" s="360" t="s">
        <v>58</v>
      </c>
      <c r="Q43" s="363" t="s">
        <v>58</v>
      </c>
      <c r="R43" s="363" t="s">
        <v>58</v>
      </c>
      <c r="S43" s="363" t="s">
        <v>58</v>
      </c>
      <c r="T43" s="363" t="s">
        <v>58</v>
      </c>
      <c r="U43" s="360" t="s">
        <v>58</v>
      </c>
      <c r="V43" s="360" t="s">
        <v>58</v>
      </c>
      <c r="W43" s="481" t="s">
        <v>58</v>
      </c>
      <c r="X43" s="363" t="s">
        <v>58</v>
      </c>
      <c r="Y43" s="363" t="s">
        <v>58</v>
      </c>
      <c r="Z43" s="363" t="s">
        <v>58</v>
      </c>
      <c r="AA43" s="363" t="s">
        <v>58</v>
      </c>
      <c r="AB43" s="363" t="s">
        <v>58</v>
      </c>
      <c r="AC43" s="363" t="s">
        <v>58</v>
      </c>
      <c r="AD43" s="363" t="s">
        <v>58</v>
      </c>
      <c r="AE43" s="363" t="s">
        <v>58</v>
      </c>
      <c r="AF43" s="363" t="s">
        <v>58</v>
      </c>
      <c r="AG43" s="360" t="s">
        <v>8</v>
      </c>
      <c r="AH43" s="360" t="s">
        <v>8</v>
      </c>
      <c r="AI43" s="360" t="s">
        <v>8</v>
      </c>
      <c r="AJ43" s="363" t="s">
        <v>58</v>
      </c>
      <c r="AK43" s="363" t="s">
        <v>58</v>
      </c>
      <c r="AL43" s="360" t="s">
        <v>8</v>
      </c>
      <c r="AM43" s="360" t="s">
        <v>8</v>
      </c>
      <c r="AN43" s="360" t="s">
        <v>8</v>
      </c>
      <c r="AO43" s="363" t="s">
        <v>58</v>
      </c>
      <c r="AP43" s="363" t="s">
        <v>58</v>
      </c>
      <c r="AQ43" s="363" t="s">
        <v>58</v>
      </c>
      <c r="AR43" s="363" t="s">
        <v>58</v>
      </c>
      <c r="AS43" s="363" t="s">
        <v>58</v>
      </c>
      <c r="AT43" s="363" t="s">
        <v>58</v>
      </c>
      <c r="AU43" s="363" t="s">
        <v>58</v>
      </c>
      <c r="AV43" s="363" t="s">
        <v>58</v>
      </c>
      <c r="AW43" s="363" t="s">
        <v>58</v>
      </c>
      <c r="AX43" s="363" t="s">
        <v>58</v>
      </c>
      <c r="AY43" s="363" t="s">
        <v>58</v>
      </c>
      <c r="AZ43" s="363" t="s">
        <v>58</v>
      </c>
      <c r="BA43" s="363" t="s">
        <v>58</v>
      </c>
      <c r="BB43" s="363" t="s">
        <v>58</v>
      </c>
      <c r="BC43" s="363" t="s">
        <v>58</v>
      </c>
      <c r="BD43" s="363" t="s">
        <v>58</v>
      </c>
      <c r="BE43" s="363" t="s">
        <v>58</v>
      </c>
      <c r="BF43" s="363" t="s">
        <v>58</v>
      </c>
      <c r="BG43" s="363" t="s">
        <v>58</v>
      </c>
      <c r="BH43" s="363" t="s">
        <v>58</v>
      </c>
      <c r="BI43" s="837" t="s">
        <v>58</v>
      </c>
      <c r="BJ43" s="363" t="s">
        <v>58</v>
      </c>
      <c r="BK43" s="116"/>
    </row>
    <row r="44" spans="1:63">
      <c r="A44" s="550" t="s">
        <v>685</v>
      </c>
      <c r="B44" s="124"/>
      <c r="C44" s="490" t="s">
        <v>548</v>
      </c>
      <c r="D44" s="360" t="s">
        <v>8</v>
      </c>
      <c r="E44" s="363" t="s">
        <v>8</v>
      </c>
      <c r="F44" s="363" t="s">
        <v>8</v>
      </c>
      <c r="G44" s="363" t="s">
        <v>8</v>
      </c>
      <c r="H44" s="363" t="s">
        <v>8</v>
      </c>
      <c r="I44" s="363" t="s">
        <v>8</v>
      </c>
      <c r="J44" s="363" t="s">
        <v>8</v>
      </c>
      <c r="K44" s="363" t="s">
        <v>8</v>
      </c>
      <c r="L44" s="360" t="s">
        <v>58</v>
      </c>
      <c r="M44" s="360" t="s">
        <v>58</v>
      </c>
      <c r="N44" s="363" t="s">
        <v>8</v>
      </c>
      <c r="O44" s="363" t="s">
        <v>8</v>
      </c>
      <c r="P44" s="360" t="s">
        <v>58</v>
      </c>
      <c r="Q44" s="363" t="s">
        <v>58</v>
      </c>
      <c r="R44" s="363" t="s">
        <v>58</v>
      </c>
      <c r="S44" s="363" t="s">
        <v>58</v>
      </c>
      <c r="T44" s="363" t="s">
        <v>58</v>
      </c>
      <c r="U44" s="360" t="s">
        <v>8</v>
      </c>
      <c r="V44" s="360" t="s">
        <v>8</v>
      </c>
      <c r="W44" s="481" t="s">
        <v>58</v>
      </c>
      <c r="X44" s="363" t="s">
        <v>8</v>
      </c>
      <c r="Y44" s="363" t="s">
        <v>8</v>
      </c>
      <c r="Z44" s="363" t="s">
        <v>8</v>
      </c>
      <c r="AA44" s="363" t="s">
        <v>8</v>
      </c>
      <c r="AB44" s="363" t="s">
        <v>8</v>
      </c>
      <c r="AC44" s="363" t="s">
        <v>8</v>
      </c>
      <c r="AD44" s="363" t="s">
        <v>8</v>
      </c>
      <c r="AE44" s="363" t="s">
        <v>8</v>
      </c>
      <c r="AF44" s="363" t="s">
        <v>8</v>
      </c>
      <c r="AG44" s="360" t="s">
        <v>8</v>
      </c>
      <c r="AH44" s="360" t="s">
        <v>8</v>
      </c>
      <c r="AI44" s="360" t="s">
        <v>8</v>
      </c>
      <c r="AJ44" s="363" t="s">
        <v>8</v>
      </c>
      <c r="AK44" s="363" t="s">
        <v>8</v>
      </c>
      <c r="AL44" s="360" t="s">
        <v>8</v>
      </c>
      <c r="AM44" s="360" t="s">
        <v>8</v>
      </c>
      <c r="AN44" s="360" t="s">
        <v>8</v>
      </c>
      <c r="AO44" s="363" t="s">
        <v>8</v>
      </c>
      <c r="AP44" s="363" t="s">
        <v>8</v>
      </c>
      <c r="AQ44" s="363" t="s">
        <v>8</v>
      </c>
      <c r="AR44" s="363" t="s">
        <v>8</v>
      </c>
      <c r="AS44" s="363" t="s">
        <v>8</v>
      </c>
      <c r="AT44" s="363" t="s">
        <v>8</v>
      </c>
      <c r="AU44" s="363" t="s">
        <v>8</v>
      </c>
      <c r="AV44" s="363" t="s">
        <v>8</v>
      </c>
      <c r="AW44" s="363" t="s">
        <v>8</v>
      </c>
      <c r="AX44" s="363" t="s">
        <v>8</v>
      </c>
      <c r="AY44" s="363" t="s">
        <v>8</v>
      </c>
      <c r="AZ44" s="363" t="s">
        <v>8</v>
      </c>
      <c r="BA44" s="363" t="s">
        <v>8</v>
      </c>
      <c r="BB44" s="363" t="s">
        <v>8</v>
      </c>
      <c r="BC44" s="363" t="s">
        <v>8</v>
      </c>
      <c r="BD44" s="363" t="s">
        <v>8</v>
      </c>
      <c r="BE44" s="363" t="s">
        <v>8</v>
      </c>
      <c r="BF44" s="363" t="s">
        <v>8</v>
      </c>
      <c r="BG44" s="363" t="s">
        <v>8</v>
      </c>
      <c r="BH44" s="363" t="s">
        <v>8</v>
      </c>
      <c r="BI44" s="837" t="s">
        <v>58</v>
      </c>
      <c r="BJ44" s="364" t="s">
        <v>8</v>
      </c>
      <c r="BK44" s="116"/>
    </row>
    <row r="45" spans="1:63">
      <c r="A45" s="549" t="s">
        <v>102</v>
      </c>
      <c r="B45" s="497"/>
      <c r="C45" s="350" t="s">
        <v>548</v>
      </c>
      <c r="D45" s="34" t="s">
        <v>58</v>
      </c>
      <c r="E45" s="36" t="s">
        <v>58</v>
      </c>
      <c r="F45" s="837" t="s">
        <v>58</v>
      </c>
      <c r="G45" s="837" t="s">
        <v>58</v>
      </c>
      <c r="H45" s="837" t="s">
        <v>58</v>
      </c>
      <c r="I45" s="837" t="s">
        <v>58</v>
      </c>
      <c r="J45" s="837" t="s">
        <v>58</v>
      </c>
      <c r="K45" s="36" t="s">
        <v>58</v>
      </c>
      <c r="L45" s="34" t="s">
        <v>58</v>
      </c>
      <c r="M45" s="34" t="s">
        <v>58</v>
      </c>
      <c r="N45" s="837" t="s">
        <v>58</v>
      </c>
      <c r="O45" s="837" t="s">
        <v>58</v>
      </c>
      <c r="P45" s="34" t="s">
        <v>58</v>
      </c>
      <c r="Q45" s="36" t="s">
        <v>58</v>
      </c>
      <c r="R45" s="36" t="s">
        <v>58</v>
      </c>
      <c r="S45" s="36" t="s">
        <v>58</v>
      </c>
      <c r="T45" s="36" t="s">
        <v>58</v>
      </c>
      <c r="U45" s="34" t="s">
        <v>58</v>
      </c>
      <c r="V45" s="34" t="s">
        <v>58</v>
      </c>
      <c r="W45" s="222" t="s">
        <v>58</v>
      </c>
      <c r="X45" s="36" t="s">
        <v>58</v>
      </c>
      <c r="Y45" s="36" t="s">
        <v>58</v>
      </c>
      <c r="Z45" s="36" t="s">
        <v>58</v>
      </c>
      <c r="AA45" s="36" t="s">
        <v>58</v>
      </c>
      <c r="AB45" s="36" t="s">
        <v>58</v>
      </c>
      <c r="AC45" s="36" t="s">
        <v>58</v>
      </c>
      <c r="AD45" s="36" t="s">
        <v>58</v>
      </c>
      <c r="AE45" s="36" t="s">
        <v>58</v>
      </c>
      <c r="AF45" s="36" t="s">
        <v>58</v>
      </c>
      <c r="AG45" s="837" t="s">
        <v>58</v>
      </c>
      <c r="AH45" s="837" t="s">
        <v>58</v>
      </c>
      <c r="AI45" s="837" t="s">
        <v>58</v>
      </c>
      <c r="AJ45" s="36" t="s">
        <v>58</v>
      </c>
      <c r="AK45" s="36" t="s">
        <v>58</v>
      </c>
      <c r="AL45" s="837" t="s">
        <v>58</v>
      </c>
      <c r="AM45" s="837" t="s">
        <v>58</v>
      </c>
      <c r="AN45" s="837" t="s">
        <v>58</v>
      </c>
      <c r="AO45" s="36" t="s">
        <v>58</v>
      </c>
      <c r="AP45" s="36" t="s">
        <v>58</v>
      </c>
      <c r="AQ45" s="36" t="s">
        <v>58</v>
      </c>
      <c r="AR45" s="36" t="s">
        <v>58</v>
      </c>
      <c r="AS45" s="36" t="s">
        <v>58</v>
      </c>
      <c r="AT45" s="36" t="s">
        <v>58</v>
      </c>
      <c r="AU45" s="36" t="s">
        <v>58</v>
      </c>
      <c r="AV45" s="36" t="s">
        <v>58</v>
      </c>
      <c r="AW45" s="36" t="s">
        <v>58</v>
      </c>
      <c r="AX45" s="36" t="s">
        <v>58</v>
      </c>
      <c r="AY45" s="36" t="s">
        <v>58</v>
      </c>
      <c r="AZ45" s="36" t="s">
        <v>58</v>
      </c>
      <c r="BA45" s="36" t="s">
        <v>58</v>
      </c>
      <c r="BB45" s="36" t="s">
        <v>58</v>
      </c>
      <c r="BC45" s="36" t="s">
        <v>58</v>
      </c>
      <c r="BD45" s="36" t="s">
        <v>58</v>
      </c>
      <c r="BE45" s="36" t="s">
        <v>58</v>
      </c>
      <c r="BF45" s="36" t="s">
        <v>58</v>
      </c>
      <c r="BG45" s="36" t="s">
        <v>58</v>
      </c>
      <c r="BH45" s="36" t="s">
        <v>58</v>
      </c>
      <c r="BI45" s="36" t="s">
        <v>647</v>
      </c>
      <c r="BJ45" s="479" t="s">
        <v>161</v>
      </c>
      <c r="BK45" s="116"/>
    </row>
    <row r="46" spans="1:63" ht="14.25" thickBot="1">
      <c r="A46" s="552" t="s">
        <v>677</v>
      </c>
      <c r="B46" s="125"/>
      <c r="C46" s="490" t="s">
        <v>548</v>
      </c>
      <c r="D46" s="361" t="s">
        <v>161</v>
      </c>
      <c r="E46" s="364" t="s">
        <v>161</v>
      </c>
      <c r="F46" s="364" t="s">
        <v>58</v>
      </c>
      <c r="G46" s="364" t="s">
        <v>58</v>
      </c>
      <c r="H46" s="364" t="s">
        <v>161</v>
      </c>
      <c r="I46" s="364" t="s">
        <v>161</v>
      </c>
      <c r="J46" s="364" t="s">
        <v>161</v>
      </c>
      <c r="K46" s="364" t="s">
        <v>161</v>
      </c>
      <c r="L46" s="491" t="s">
        <v>58</v>
      </c>
      <c r="M46" s="491" t="s">
        <v>58</v>
      </c>
      <c r="N46" s="364" t="s">
        <v>58</v>
      </c>
      <c r="O46" s="364" t="s">
        <v>58</v>
      </c>
      <c r="P46" s="491" t="s">
        <v>58</v>
      </c>
      <c r="Q46" s="492" t="s">
        <v>58</v>
      </c>
      <c r="R46" s="492" t="s">
        <v>58</v>
      </c>
      <c r="S46" s="492" t="s">
        <v>58</v>
      </c>
      <c r="T46" s="492" t="s">
        <v>58</v>
      </c>
      <c r="U46" s="361" t="s">
        <v>58</v>
      </c>
      <c r="V46" s="361" t="s">
        <v>58</v>
      </c>
      <c r="W46" s="506" t="s">
        <v>161</v>
      </c>
      <c r="X46" s="364" t="s">
        <v>161</v>
      </c>
      <c r="Y46" s="364" t="s">
        <v>161</v>
      </c>
      <c r="Z46" s="364" t="s">
        <v>161</v>
      </c>
      <c r="AA46" s="364" t="s">
        <v>161</v>
      </c>
      <c r="AB46" s="364" t="s">
        <v>161</v>
      </c>
      <c r="AC46" s="364" t="s">
        <v>161</v>
      </c>
      <c r="AD46" s="364" t="s">
        <v>161</v>
      </c>
      <c r="AE46" s="364" t="s">
        <v>161</v>
      </c>
      <c r="AF46" s="364" t="s">
        <v>161</v>
      </c>
      <c r="AG46" s="364" t="s">
        <v>161</v>
      </c>
      <c r="AH46" s="364" t="s">
        <v>161</v>
      </c>
      <c r="AI46" s="364" t="s">
        <v>161</v>
      </c>
      <c r="AJ46" s="364" t="s">
        <v>161</v>
      </c>
      <c r="AK46" s="364" t="s">
        <v>161</v>
      </c>
      <c r="AL46" s="364" t="s">
        <v>161</v>
      </c>
      <c r="AM46" s="364" t="s">
        <v>161</v>
      </c>
      <c r="AN46" s="364" t="s">
        <v>161</v>
      </c>
      <c r="AO46" s="364" t="s">
        <v>161</v>
      </c>
      <c r="AP46" s="364" t="s">
        <v>58</v>
      </c>
      <c r="AQ46" s="364" t="s">
        <v>58</v>
      </c>
      <c r="AR46" s="364" t="s">
        <v>58</v>
      </c>
      <c r="AS46" s="364" t="s">
        <v>58</v>
      </c>
      <c r="AT46" s="364" t="s">
        <v>58</v>
      </c>
      <c r="AU46" s="364" t="s">
        <v>58</v>
      </c>
      <c r="AV46" s="364" t="s">
        <v>161</v>
      </c>
      <c r="AW46" s="364" t="s">
        <v>58</v>
      </c>
      <c r="AX46" s="364" t="s">
        <v>58</v>
      </c>
      <c r="AY46" s="364" t="s">
        <v>58</v>
      </c>
      <c r="AZ46" s="364" t="s">
        <v>58</v>
      </c>
      <c r="BA46" s="364" t="s">
        <v>161</v>
      </c>
      <c r="BB46" s="364" t="s">
        <v>161</v>
      </c>
      <c r="BC46" s="364" t="s">
        <v>161</v>
      </c>
      <c r="BD46" s="364" t="s">
        <v>58</v>
      </c>
      <c r="BE46" s="364" t="s">
        <v>58</v>
      </c>
      <c r="BF46" s="364" t="s">
        <v>58</v>
      </c>
      <c r="BG46" s="364" t="s">
        <v>58</v>
      </c>
      <c r="BH46" s="364" t="s">
        <v>161</v>
      </c>
      <c r="BI46" s="873" t="s">
        <v>161</v>
      </c>
      <c r="BJ46" s="364" t="s">
        <v>161</v>
      </c>
      <c r="BK46" s="117"/>
    </row>
    <row r="47" spans="1:63" ht="13.5" customHeight="1">
      <c r="A47" s="580" t="s">
        <v>729</v>
      </c>
      <c r="B47" s="582"/>
      <c r="C47" s="665" t="s">
        <v>58</v>
      </c>
      <c r="D47" s="53" t="s">
        <v>649</v>
      </c>
      <c r="E47" s="53" t="s">
        <v>58</v>
      </c>
      <c r="F47" s="585" t="s">
        <v>58</v>
      </c>
      <c r="G47" s="585" t="s">
        <v>58</v>
      </c>
      <c r="H47" s="585" t="s">
        <v>58</v>
      </c>
      <c r="I47" s="585" t="s">
        <v>58</v>
      </c>
      <c r="J47" s="585" t="s">
        <v>58</v>
      </c>
      <c r="K47" s="54" t="s">
        <v>58</v>
      </c>
      <c r="L47" s="53" t="s">
        <v>58</v>
      </c>
      <c r="M47" s="53" t="s">
        <v>58</v>
      </c>
      <c r="N47" s="585" t="s">
        <v>58</v>
      </c>
      <c r="O47" s="585" t="s">
        <v>58</v>
      </c>
      <c r="P47" s="53" t="s">
        <v>58</v>
      </c>
      <c r="Q47" s="54" t="s">
        <v>58</v>
      </c>
      <c r="R47" s="54" t="s">
        <v>58</v>
      </c>
      <c r="S47" s="54" t="s">
        <v>58</v>
      </c>
      <c r="T47" s="54" t="s">
        <v>58</v>
      </c>
      <c r="U47" s="53" t="s">
        <v>58</v>
      </c>
      <c r="V47" s="53" t="s">
        <v>58</v>
      </c>
      <c r="W47" s="54" t="s">
        <v>58</v>
      </c>
      <c r="X47" s="54" t="s">
        <v>58</v>
      </c>
      <c r="Y47" s="54" t="s">
        <v>58</v>
      </c>
      <c r="Z47" s="54" t="s">
        <v>58</v>
      </c>
      <c r="AA47" s="54" t="s">
        <v>58</v>
      </c>
      <c r="AB47" s="54" t="s">
        <v>58</v>
      </c>
      <c r="AC47" s="54" t="s">
        <v>58</v>
      </c>
      <c r="AD47" s="54" t="s">
        <v>58</v>
      </c>
      <c r="AE47" s="54" t="s">
        <v>58</v>
      </c>
      <c r="AF47" s="54" t="s">
        <v>58</v>
      </c>
      <c r="AG47" s="585" t="s">
        <v>58</v>
      </c>
      <c r="AH47" s="585" t="s">
        <v>58</v>
      </c>
      <c r="AI47" s="585" t="s">
        <v>58</v>
      </c>
      <c r="AJ47" s="54" t="s">
        <v>58</v>
      </c>
      <c r="AK47" s="54" t="s">
        <v>58</v>
      </c>
      <c r="AL47" s="585" t="s">
        <v>58</v>
      </c>
      <c r="AM47" s="585" t="s">
        <v>58</v>
      </c>
      <c r="AN47" s="585" t="s">
        <v>58</v>
      </c>
      <c r="AO47" s="54" t="s">
        <v>58</v>
      </c>
      <c r="AP47" s="54" t="s">
        <v>58</v>
      </c>
      <c r="AQ47" s="54" t="s">
        <v>58</v>
      </c>
      <c r="AR47" s="54" t="s">
        <v>58</v>
      </c>
      <c r="AS47" s="54" t="s">
        <v>58</v>
      </c>
      <c r="AT47" s="54" t="s">
        <v>58</v>
      </c>
      <c r="AU47" s="54" t="s">
        <v>58</v>
      </c>
      <c r="AV47" s="54" t="s">
        <v>58</v>
      </c>
      <c r="AW47" s="54" t="s">
        <v>58</v>
      </c>
      <c r="AX47" s="54" t="s">
        <v>58</v>
      </c>
      <c r="AY47" s="54" t="s">
        <v>58</v>
      </c>
      <c r="AZ47" s="54" t="s">
        <v>58</v>
      </c>
      <c r="BA47" s="54" t="s">
        <v>58</v>
      </c>
      <c r="BB47" s="54" t="s">
        <v>58</v>
      </c>
      <c r="BC47" s="54" t="s">
        <v>58</v>
      </c>
      <c r="BD47" s="54" t="s">
        <v>58</v>
      </c>
      <c r="BE47" s="54" t="s">
        <v>58</v>
      </c>
      <c r="BF47" s="54" t="s">
        <v>58</v>
      </c>
      <c r="BG47" s="54" t="s">
        <v>58</v>
      </c>
      <c r="BH47" s="54" t="s">
        <v>58</v>
      </c>
      <c r="BI47" s="54" t="s">
        <v>58</v>
      </c>
      <c r="BJ47" s="54" t="s">
        <v>58</v>
      </c>
      <c r="BK47" s="664" t="s">
        <v>501</v>
      </c>
    </row>
    <row r="48" spans="1:63">
      <c r="A48" s="551" t="s">
        <v>730</v>
      </c>
      <c r="B48" s="123"/>
      <c r="C48" s="350" t="s">
        <v>548</v>
      </c>
      <c r="D48" s="34" t="s">
        <v>58</v>
      </c>
      <c r="E48" s="34" t="s">
        <v>649</v>
      </c>
      <c r="F48" s="363" t="s">
        <v>58</v>
      </c>
      <c r="G48" s="363" t="s">
        <v>58</v>
      </c>
      <c r="H48" s="363" t="s">
        <v>58</v>
      </c>
      <c r="I48" s="363" t="s">
        <v>58</v>
      </c>
      <c r="J48" s="363" t="s">
        <v>58</v>
      </c>
      <c r="K48" s="36" t="s">
        <v>58</v>
      </c>
      <c r="L48" s="34" t="s">
        <v>58</v>
      </c>
      <c r="M48" s="34" t="s">
        <v>58</v>
      </c>
      <c r="N48" s="363" t="s">
        <v>58</v>
      </c>
      <c r="O48" s="363" t="s">
        <v>58</v>
      </c>
      <c r="P48" s="34" t="s">
        <v>58</v>
      </c>
      <c r="Q48" s="36" t="s">
        <v>58</v>
      </c>
      <c r="R48" s="36" t="s">
        <v>58</v>
      </c>
      <c r="S48" s="36" t="s">
        <v>58</v>
      </c>
      <c r="T48" s="36" t="s">
        <v>58</v>
      </c>
      <c r="U48" s="34" t="s">
        <v>58</v>
      </c>
      <c r="V48" s="34" t="s">
        <v>58</v>
      </c>
      <c r="W48" s="36" t="s">
        <v>58</v>
      </c>
      <c r="X48" s="36" t="s">
        <v>58</v>
      </c>
      <c r="Y48" s="36" t="s">
        <v>58</v>
      </c>
      <c r="Z48" s="36" t="s">
        <v>58</v>
      </c>
      <c r="AA48" s="36" t="s">
        <v>58</v>
      </c>
      <c r="AB48" s="36" t="s">
        <v>58</v>
      </c>
      <c r="AC48" s="36" t="s">
        <v>58</v>
      </c>
      <c r="AD48" s="36" t="s">
        <v>58</v>
      </c>
      <c r="AE48" s="36" t="s">
        <v>58</v>
      </c>
      <c r="AF48" s="36" t="s">
        <v>58</v>
      </c>
      <c r="AG48" s="363" t="s">
        <v>58</v>
      </c>
      <c r="AH48" s="363" t="s">
        <v>58</v>
      </c>
      <c r="AI48" s="363" t="s">
        <v>58</v>
      </c>
      <c r="AJ48" s="36" t="s">
        <v>58</v>
      </c>
      <c r="AK48" s="36" t="s">
        <v>58</v>
      </c>
      <c r="AL48" s="363" t="s">
        <v>58</v>
      </c>
      <c r="AM48" s="363" t="s">
        <v>58</v>
      </c>
      <c r="AN48" s="363" t="s">
        <v>58</v>
      </c>
      <c r="AO48" s="36" t="s">
        <v>58</v>
      </c>
      <c r="AP48" s="36" t="s">
        <v>58</v>
      </c>
      <c r="AQ48" s="36" t="s">
        <v>58</v>
      </c>
      <c r="AR48" s="36" t="s">
        <v>58</v>
      </c>
      <c r="AS48" s="36" t="s">
        <v>58</v>
      </c>
      <c r="AT48" s="36" t="s">
        <v>58</v>
      </c>
      <c r="AU48" s="36" t="s">
        <v>58</v>
      </c>
      <c r="AV48" s="36" t="s">
        <v>58</v>
      </c>
      <c r="AW48" s="36" t="s">
        <v>58</v>
      </c>
      <c r="AX48" s="36" t="s">
        <v>58</v>
      </c>
      <c r="AY48" s="36" t="s">
        <v>58</v>
      </c>
      <c r="AZ48" s="36" t="s">
        <v>58</v>
      </c>
      <c r="BA48" s="36" t="s">
        <v>58</v>
      </c>
      <c r="BB48" s="36" t="s">
        <v>58</v>
      </c>
      <c r="BC48" s="36" t="s">
        <v>58</v>
      </c>
      <c r="BD48" s="36" t="s">
        <v>58</v>
      </c>
      <c r="BE48" s="36" t="s">
        <v>58</v>
      </c>
      <c r="BF48" s="36" t="s">
        <v>58</v>
      </c>
      <c r="BG48" s="36" t="s">
        <v>58</v>
      </c>
      <c r="BH48" s="36" t="s">
        <v>58</v>
      </c>
      <c r="BI48" s="36" t="s">
        <v>58</v>
      </c>
      <c r="BJ48" s="36" t="s">
        <v>58</v>
      </c>
      <c r="BK48" s="663"/>
    </row>
    <row r="49" spans="1:63">
      <c r="A49" s="553" t="s">
        <v>731</v>
      </c>
      <c r="B49" s="490"/>
      <c r="C49" s="490" t="s">
        <v>58</v>
      </c>
      <c r="D49" s="360" t="s">
        <v>58</v>
      </c>
      <c r="E49" s="363" t="s">
        <v>58</v>
      </c>
      <c r="F49" s="363" t="s">
        <v>58</v>
      </c>
      <c r="G49" s="363" t="s">
        <v>58</v>
      </c>
      <c r="H49" s="363" t="s">
        <v>58</v>
      </c>
      <c r="I49" s="363" t="s">
        <v>58</v>
      </c>
      <c r="J49" s="363" t="s">
        <v>58</v>
      </c>
      <c r="K49" s="363" t="s">
        <v>58</v>
      </c>
      <c r="L49" s="360" t="s">
        <v>58</v>
      </c>
      <c r="M49" s="360" t="s">
        <v>58</v>
      </c>
      <c r="N49" s="363" t="s">
        <v>58</v>
      </c>
      <c r="O49" s="363" t="s">
        <v>58</v>
      </c>
      <c r="P49" s="360" t="s">
        <v>58</v>
      </c>
      <c r="Q49" s="363" t="s">
        <v>58</v>
      </c>
      <c r="R49" s="363" t="s">
        <v>58</v>
      </c>
      <c r="S49" s="363" t="s">
        <v>58</v>
      </c>
      <c r="T49" s="363" t="s">
        <v>58</v>
      </c>
      <c r="U49" s="360" t="s">
        <v>58</v>
      </c>
      <c r="V49" s="360" t="s">
        <v>58</v>
      </c>
      <c r="W49" s="363" t="s">
        <v>58</v>
      </c>
      <c r="X49" s="363" t="s">
        <v>58</v>
      </c>
      <c r="Y49" s="363" t="s">
        <v>58</v>
      </c>
      <c r="Z49" s="363" t="s">
        <v>58</v>
      </c>
      <c r="AA49" s="363" t="s">
        <v>58</v>
      </c>
      <c r="AB49" s="363" t="s">
        <v>58</v>
      </c>
      <c r="AC49" s="363" t="s">
        <v>58</v>
      </c>
      <c r="AD49" s="363" t="s">
        <v>58</v>
      </c>
      <c r="AE49" s="363" t="s">
        <v>58</v>
      </c>
      <c r="AF49" s="363" t="s">
        <v>58</v>
      </c>
      <c r="AG49" s="363" t="s">
        <v>58</v>
      </c>
      <c r="AH49" s="363" t="s">
        <v>58</v>
      </c>
      <c r="AI49" s="363" t="s">
        <v>58</v>
      </c>
      <c r="AJ49" s="363" t="s">
        <v>58</v>
      </c>
      <c r="AK49" s="363" t="s">
        <v>58</v>
      </c>
      <c r="AL49" s="363" t="s">
        <v>58</v>
      </c>
      <c r="AM49" s="363" t="s">
        <v>58</v>
      </c>
      <c r="AN49" s="363" t="s">
        <v>58</v>
      </c>
      <c r="AO49" s="363" t="s">
        <v>58</v>
      </c>
      <c r="AP49" s="363" t="s">
        <v>58</v>
      </c>
      <c r="AQ49" s="363" t="s">
        <v>58</v>
      </c>
      <c r="AR49" s="363" t="s">
        <v>58</v>
      </c>
      <c r="AS49" s="363" t="s">
        <v>58</v>
      </c>
      <c r="AT49" s="363" t="s">
        <v>58</v>
      </c>
      <c r="AU49" s="363" t="s">
        <v>58</v>
      </c>
      <c r="AV49" s="363" t="s">
        <v>58</v>
      </c>
      <c r="AW49" s="363" t="s">
        <v>58</v>
      </c>
      <c r="AX49" s="363" t="s">
        <v>58</v>
      </c>
      <c r="AY49" s="363" t="s">
        <v>58</v>
      </c>
      <c r="AZ49" s="363" t="s">
        <v>58</v>
      </c>
      <c r="BA49" s="363" t="s">
        <v>58</v>
      </c>
      <c r="BB49" s="363" t="s">
        <v>58</v>
      </c>
      <c r="BC49" s="363" t="s">
        <v>58</v>
      </c>
      <c r="BD49" s="363" t="s">
        <v>58</v>
      </c>
      <c r="BE49" s="363" t="s">
        <v>58</v>
      </c>
      <c r="BF49" s="363" t="s">
        <v>58</v>
      </c>
      <c r="BG49" s="363" t="s">
        <v>58</v>
      </c>
      <c r="BH49" s="363" t="s">
        <v>58</v>
      </c>
      <c r="BI49" s="837" t="s">
        <v>58</v>
      </c>
      <c r="BJ49" s="363" t="s">
        <v>58</v>
      </c>
      <c r="BK49" s="663"/>
    </row>
    <row r="50" spans="1:63">
      <c r="A50" s="553" t="s">
        <v>732</v>
      </c>
      <c r="B50" s="490"/>
      <c r="C50" s="490" t="s">
        <v>58</v>
      </c>
      <c r="D50" s="360" t="s">
        <v>58</v>
      </c>
      <c r="E50" s="363" t="s">
        <v>58</v>
      </c>
      <c r="F50" s="363" t="s">
        <v>58</v>
      </c>
      <c r="G50" s="363" t="s">
        <v>58</v>
      </c>
      <c r="H50" s="363" t="s">
        <v>58</v>
      </c>
      <c r="I50" s="363" t="s">
        <v>58</v>
      </c>
      <c r="J50" s="363" t="s">
        <v>58</v>
      </c>
      <c r="K50" s="363" t="s">
        <v>58</v>
      </c>
      <c r="L50" s="360" t="s">
        <v>58</v>
      </c>
      <c r="M50" s="360" t="s">
        <v>58</v>
      </c>
      <c r="N50" s="363" t="s">
        <v>58</v>
      </c>
      <c r="O50" s="363" t="s">
        <v>58</v>
      </c>
      <c r="P50" s="360" t="s">
        <v>58</v>
      </c>
      <c r="Q50" s="363" t="s">
        <v>58</v>
      </c>
      <c r="R50" s="363" t="s">
        <v>58</v>
      </c>
      <c r="S50" s="363" t="s">
        <v>58</v>
      </c>
      <c r="T50" s="363" t="s">
        <v>58</v>
      </c>
      <c r="U50" s="360" t="s">
        <v>58</v>
      </c>
      <c r="V50" s="360" t="s">
        <v>58</v>
      </c>
      <c r="W50" s="363" t="s">
        <v>58</v>
      </c>
      <c r="X50" s="363" t="s">
        <v>58</v>
      </c>
      <c r="Y50" s="363" t="s">
        <v>58</v>
      </c>
      <c r="Z50" s="363" t="s">
        <v>58</v>
      </c>
      <c r="AA50" s="363" t="s">
        <v>58</v>
      </c>
      <c r="AB50" s="363" t="s">
        <v>58</v>
      </c>
      <c r="AC50" s="363" t="s">
        <v>58</v>
      </c>
      <c r="AD50" s="363" t="s">
        <v>58</v>
      </c>
      <c r="AE50" s="363" t="s">
        <v>58</v>
      </c>
      <c r="AF50" s="363" t="s">
        <v>58</v>
      </c>
      <c r="AG50" s="363" t="s">
        <v>58</v>
      </c>
      <c r="AH50" s="363" t="s">
        <v>58</v>
      </c>
      <c r="AI50" s="363" t="s">
        <v>58</v>
      </c>
      <c r="AJ50" s="363" t="s">
        <v>58</v>
      </c>
      <c r="AK50" s="363" t="s">
        <v>58</v>
      </c>
      <c r="AL50" s="363" t="s">
        <v>58</v>
      </c>
      <c r="AM50" s="363" t="s">
        <v>58</v>
      </c>
      <c r="AN50" s="363" t="s">
        <v>58</v>
      </c>
      <c r="AO50" s="363" t="s">
        <v>58</v>
      </c>
      <c r="AP50" s="363" t="s">
        <v>58</v>
      </c>
      <c r="AQ50" s="363" t="s">
        <v>58</v>
      </c>
      <c r="AR50" s="363" t="s">
        <v>58</v>
      </c>
      <c r="AS50" s="363" t="s">
        <v>58</v>
      </c>
      <c r="AT50" s="363" t="s">
        <v>58</v>
      </c>
      <c r="AU50" s="363" t="s">
        <v>58</v>
      </c>
      <c r="AV50" s="363" t="s">
        <v>58</v>
      </c>
      <c r="AW50" s="363" t="s">
        <v>58</v>
      </c>
      <c r="AX50" s="363" t="s">
        <v>58</v>
      </c>
      <c r="AY50" s="363" t="s">
        <v>58</v>
      </c>
      <c r="AZ50" s="363" t="s">
        <v>58</v>
      </c>
      <c r="BA50" s="363" t="s">
        <v>58</v>
      </c>
      <c r="BB50" s="363" t="s">
        <v>58</v>
      </c>
      <c r="BC50" s="363" t="s">
        <v>58</v>
      </c>
      <c r="BD50" s="363" t="s">
        <v>58</v>
      </c>
      <c r="BE50" s="363" t="s">
        <v>58</v>
      </c>
      <c r="BF50" s="363" t="s">
        <v>58</v>
      </c>
      <c r="BG50" s="363" t="s">
        <v>58</v>
      </c>
      <c r="BH50" s="363" t="s">
        <v>58</v>
      </c>
      <c r="BI50" s="837" t="s">
        <v>58</v>
      </c>
      <c r="BJ50" s="363" t="s">
        <v>58</v>
      </c>
      <c r="BK50" s="663"/>
    </row>
    <row r="51" spans="1:63">
      <c r="A51" s="553" t="s">
        <v>733</v>
      </c>
      <c r="B51" s="490"/>
      <c r="C51" s="490" t="s">
        <v>548</v>
      </c>
      <c r="D51" s="360" t="s">
        <v>58</v>
      </c>
      <c r="E51" s="363" t="s">
        <v>58</v>
      </c>
      <c r="F51" s="363" t="s">
        <v>58</v>
      </c>
      <c r="G51" s="363" t="s">
        <v>58</v>
      </c>
      <c r="H51" s="363" t="s">
        <v>58</v>
      </c>
      <c r="I51" s="363" t="s">
        <v>58</v>
      </c>
      <c r="J51" s="363" t="s">
        <v>58</v>
      </c>
      <c r="K51" s="363" t="s">
        <v>58</v>
      </c>
      <c r="L51" s="360" t="s">
        <v>58</v>
      </c>
      <c r="M51" s="360" t="s">
        <v>58</v>
      </c>
      <c r="N51" s="363" t="s">
        <v>58</v>
      </c>
      <c r="O51" s="363" t="s">
        <v>58</v>
      </c>
      <c r="P51" s="360" t="s">
        <v>58</v>
      </c>
      <c r="Q51" s="363" t="s">
        <v>58</v>
      </c>
      <c r="R51" s="363" t="s">
        <v>58</v>
      </c>
      <c r="S51" s="363" t="s">
        <v>58</v>
      </c>
      <c r="T51" s="363" t="s">
        <v>58</v>
      </c>
      <c r="U51" s="360" t="s">
        <v>58</v>
      </c>
      <c r="V51" s="360" t="s">
        <v>58</v>
      </c>
      <c r="W51" s="363" t="s">
        <v>58</v>
      </c>
      <c r="X51" s="363" t="s">
        <v>58</v>
      </c>
      <c r="Y51" s="363" t="s">
        <v>58</v>
      </c>
      <c r="Z51" s="363" t="s">
        <v>58</v>
      </c>
      <c r="AA51" s="363" t="s">
        <v>58</v>
      </c>
      <c r="AB51" s="363" t="s">
        <v>58</v>
      </c>
      <c r="AC51" s="363" t="s">
        <v>58</v>
      </c>
      <c r="AD51" s="363" t="s">
        <v>58</v>
      </c>
      <c r="AE51" s="363" t="s">
        <v>58</v>
      </c>
      <c r="AF51" s="363" t="s">
        <v>58</v>
      </c>
      <c r="AG51" s="363" t="s">
        <v>58</v>
      </c>
      <c r="AH51" s="363" t="s">
        <v>58</v>
      </c>
      <c r="AI51" s="363" t="s">
        <v>58</v>
      </c>
      <c r="AJ51" s="363" t="s">
        <v>58</v>
      </c>
      <c r="AK51" s="363" t="s">
        <v>58</v>
      </c>
      <c r="AL51" s="363" t="s">
        <v>58</v>
      </c>
      <c r="AM51" s="363" t="s">
        <v>58</v>
      </c>
      <c r="AN51" s="363" t="s">
        <v>58</v>
      </c>
      <c r="AO51" s="363" t="s">
        <v>58</v>
      </c>
      <c r="AP51" s="363" t="s">
        <v>58</v>
      </c>
      <c r="AQ51" s="363" t="s">
        <v>58</v>
      </c>
      <c r="AR51" s="363" t="s">
        <v>58</v>
      </c>
      <c r="AS51" s="363" t="s">
        <v>58</v>
      </c>
      <c r="AT51" s="363" t="s">
        <v>58</v>
      </c>
      <c r="AU51" s="363" t="s">
        <v>58</v>
      </c>
      <c r="AV51" s="363" t="s">
        <v>58</v>
      </c>
      <c r="AW51" s="363" t="s">
        <v>58</v>
      </c>
      <c r="AX51" s="363" t="s">
        <v>58</v>
      </c>
      <c r="AY51" s="363" t="s">
        <v>58</v>
      </c>
      <c r="AZ51" s="363" t="s">
        <v>58</v>
      </c>
      <c r="BA51" s="363" t="s">
        <v>58</v>
      </c>
      <c r="BB51" s="363" t="s">
        <v>58</v>
      </c>
      <c r="BC51" s="363" t="s">
        <v>58</v>
      </c>
      <c r="BD51" s="363" t="s">
        <v>58</v>
      </c>
      <c r="BE51" s="363" t="s">
        <v>58</v>
      </c>
      <c r="BF51" s="363" t="s">
        <v>58</v>
      </c>
      <c r="BG51" s="363" t="s">
        <v>58</v>
      </c>
      <c r="BH51" s="363" t="s">
        <v>58</v>
      </c>
      <c r="BI51" s="837" t="s">
        <v>58</v>
      </c>
      <c r="BJ51" s="363" t="s">
        <v>58</v>
      </c>
      <c r="BK51" s="663"/>
    </row>
    <row r="52" spans="1:63">
      <c r="A52" s="553" t="s">
        <v>734</v>
      </c>
      <c r="B52" s="490"/>
      <c r="C52" s="490" t="s">
        <v>548</v>
      </c>
      <c r="D52" s="360" t="s">
        <v>58</v>
      </c>
      <c r="E52" s="363" t="s">
        <v>58</v>
      </c>
      <c r="F52" s="363" t="s">
        <v>58</v>
      </c>
      <c r="G52" s="363" t="s">
        <v>58</v>
      </c>
      <c r="H52" s="363" t="s">
        <v>58</v>
      </c>
      <c r="I52" s="363" t="s">
        <v>58</v>
      </c>
      <c r="J52" s="363" t="s">
        <v>58</v>
      </c>
      <c r="K52" s="363" t="s">
        <v>58</v>
      </c>
      <c r="L52" s="360" t="s">
        <v>58</v>
      </c>
      <c r="M52" s="360" t="s">
        <v>58</v>
      </c>
      <c r="N52" s="363" t="s">
        <v>58</v>
      </c>
      <c r="O52" s="363" t="s">
        <v>58</v>
      </c>
      <c r="P52" s="360" t="s">
        <v>58</v>
      </c>
      <c r="Q52" s="363" t="s">
        <v>58</v>
      </c>
      <c r="R52" s="363" t="s">
        <v>58</v>
      </c>
      <c r="S52" s="363" t="s">
        <v>58</v>
      </c>
      <c r="T52" s="363" t="s">
        <v>58</v>
      </c>
      <c r="U52" s="360" t="s">
        <v>58</v>
      </c>
      <c r="V52" s="360" t="s">
        <v>58</v>
      </c>
      <c r="W52" s="363" t="s">
        <v>58</v>
      </c>
      <c r="X52" s="363" t="s">
        <v>58</v>
      </c>
      <c r="Y52" s="363" t="s">
        <v>58</v>
      </c>
      <c r="Z52" s="363" t="s">
        <v>58</v>
      </c>
      <c r="AA52" s="363" t="s">
        <v>58</v>
      </c>
      <c r="AB52" s="363" t="s">
        <v>58</v>
      </c>
      <c r="AC52" s="363" t="s">
        <v>58</v>
      </c>
      <c r="AD52" s="363" t="s">
        <v>58</v>
      </c>
      <c r="AE52" s="363" t="s">
        <v>58</v>
      </c>
      <c r="AF52" s="363" t="s">
        <v>58</v>
      </c>
      <c r="AG52" s="363" t="s">
        <v>58</v>
      </c>
      <c r="AH52" s="363" t="s">
        <v>58</v>
      </c>
      <c r="AI52" s="363" t="s">
        <v>58</v>
      </c>
      <c r="AJ52" s="363" t="s">
        <v>58</v>
      </c>
      <c r="AK52" s="363" t="s">
        <v>58</v>
      </c>
      <c r="AL52" s="363" t="s">
        <v>58</v>
      </c>
      <c r="AM52" s="363" t="s">
        <v>58</v>
      </c>
      <c r="AN52" s="363" t="s">
        <v>58</v>
      </c>
      <c r="AO52" s="363" t="s">
        <v>58</v>
      </c>
      <c r="AP52" s="363" t="s">
        <v>58</v>
      </c>
      <c r="AQ52" s="363" t="s">
        <v>58</v>
      </c>
      <c r="AR52" s="363" t="s">
        <v>58</v>
      </c>
      <c r="AS52" s="363" t="s">
        <v>58</v>
      </c>
      <c r="AT52" s="363" t="s">
        <v>58</v>
      </c>
      <c r="AU52" s="363" t="s">
        <v>58</v>
      </c>
      <c r="AV52" s="363" t="s">
        <v>58</v>
      </c>
      <c r="AW52" s="363" t="s">
        <v>58</v>
      </c>
      <c r="AX52" s="363" t="s">
        <v>58</v>
      </c>
      <c r="AY52" s="363" t="s">
        <v>58</v>
      </c>
      <c r="AZ52" s="363" t="s">
        <v>58</v>
      </c>
      <c r="BA52" s="363" t="s">
        <v>58</v>
      </c>
      <c r="BB52" s="363" t="s">
        <v>58</v>
      </c>
      <c r="BC52" s="363" t="s">
        <v>58</v>
      </c>
      <c r="BD52" s="363" t="s">
        <v>58</v>
      </c>
      <c r="BE52" s="363" t="s">
        <v>58</v>
      </c>
      <c r="BF52" s="363" t="s">
        <v>58</v>
      </c>
      <c r="BG52" s="363" t="s">
        <v>58</v>
      </c>
      <c r="BH52" s="363" t="s">
        <v>58</v>
      </c>
      <c r="BI52" s="837" t="s">
        <v>58</v>
      </c>
      <c r="BJ52" s="363" t="s">
        <v>58</v>
      </c>
      <c r="BK52" s="663"/>
    </row>
    <row r="53" spans="1:63">
      <c r="A53" s="553" t="s">
        <v>735</v>
      </c>
      <c r="B53" s="490"/>
      <c r="C53" s="490" t="s">
        <v>548</v>
      </c>
      <c r="D53" s="360" t="s">
        <v>58</v>
      </c>
      <c r="E53" s="363" t="s">
        <v>58</v>
      </c>
      <c r="F53" s="363" t="s">
        <v>58</v>
      </c>
      <c r="G53" s="363" t="s">
        <v>58</v>
      </c>
      <c r="H53" s="363" t="s">
        <v>58</v>
      </c>
      <c r="I53" s="363" t="s">
        <v>58</v>
      </c>
      <c r="J53" s="363" t="s">
        <v>58</v>
      </c>
      <c r="K53" s="363" t="s">
        <v>58</v>
      </c>
      <c r="L53" s="360" t="s">
        <v>58</v>
      </c>
      <c r="M53" s="360" t="s">
        <v>58</v>
      </c>
      <c r="N53" s="363" t="s">
        <v>58</v>
      </c>
      <c r="O53" s="363" t="s">
        <v>58</v>
      </c>
      <c r="P53" s="360" t="s">
        <v>58</v>
      </c>
      <c r="Q53" s="363" t="s">
        <v>58</v>
      </c>
      <c r="R53" s="363" t="s">
        <v>58</v>
      </c>
      <c r="S53" s="363" t="s">
        <v>58</v>
      </c>
      <c r="T53" s="363" t="s">
        <v>58</v>
      </c>
      <c r="U53" s="360" t="s">
        <v>58</v>
      </c>
      <c r="V53" s="360" t="s">
        <v>58</v>
      </c>
      <c r="W53" s="363" t="s">
        <v>58</v>
      </c>
      <c r="X53" s="363" t="s">
        <v>58</v>
      </c>
      <c r="Y53" s="363" t="s">
        <v>58</v>
      </c>
      <c r="Z53" s="363" t="s">
        <v>58</v>
      </c>
      <c r="AA53" s="363" t="s">
        <v>58</v>
      </c>
      <c r="AB53" s="363" t="s">
        <v>58</v>
      </c>
      <c r="AC53" s="363" t="s">
        <v>58</v>
      </c>
      <c r="AD53" s="363" t="s">
        <v>58</v>
      </c>
      <c r="AE53" s="363" t="s">
        <v>58</v>
      </c>
      <c r="AF53" s="363" t="s">
        <v>58</v>
      </c>
      <c r="AG53" s="363" t="s">
        <v>58</v>
      </c>
      <c r="AH53" s="363" t="s">
        <v>58</v>
      </c>
      <c r="AI53" s="363" t="s">
        <v>58</v>
      </c>
      <c r="AJ53" s="363" t="s">
        <v>58</v>
      </c>
      <c r="AK53" s="363" t="s">
        <v>58</v>
      </c>
      <c r="AL53" s="363" t="s">
        <v>58</v>
      </c>
      <c r="AM53" s="363" t="s">
        <v>58</v>
      </c>
      <c r="AN53" s="363" t="s">
        <v>58</v>
      </c>
      <c r="AO53" s="363" t="s">
        <v>58</v>
      </c>
      <c r="AP53" s="363" t="s">
        <v>58</v>
      </c>
      <c r="AQ53" s="363" t="s">
        <v>58</v>
      </c>
      <c r="AR53" s="363" t="s">
        <v>58</v>
      </c>
      <c r="AS53" s="363" t="s">
        <v>58</v>
      </c>
      <c r="AT53" s="363" t="s">
        <v>58</v>
      </c>
      <c r="AU53" s="363" t="s">
        <v>58</v>
      </c>
      <c r="AV53" s="363" t="s">
        <v>58</v>
      </c>
      <c r="AW53" s="363" t="s">
        <v>58</v>
      </c>
      <c r="AX53" s="363" t="s">
        <v>58</v>
      </c>
      <c r="AY53" s="363" t="s">
        <v>58</v>
      </c>
      <c r="AZ53" s="363" t="s">
        <v>58</v>
      </c>
      <c r="BA53" s="363" t="s">
        <v>58</v>
      </c>
      <c r="BB53" s="363" t="s">
        <v>58</v>
      </c>
      <c r="BC53" s="363" t="s">
        <v>58</v>
      </c>
      <c r="BD53" s="363" t="s">
        <v>58</v>
      </c>
      <c r="BE53" s="363" t="s">
        <v>58</v>
      </c>
      <c r="BF53" s="363" t="s">
        <v>58</v>
      </c>
      <c r="BG53" s="363" t="s">
        <v>58</v>
      </c>
      <c r="BH53" s="363" t="s">
        <v>58</v>
      </c>
      <c r="BI53" s="837" t="s">
        <v>58</v>
      </c>
      <c r="BJ53" s="363" t="s">
        <v>58</v>
      </c>
      <c r="BK53" s="663"/>
    </row>
    <row r="54" spans="1:63">
      <c r="A54" s="551" t="s">
        <v>736</v>
      </c>
      <c r="B54" s="123"/>
      <c r="C54" s="350" t="s">
        <v>548</v>
      </c>
      <c r="D54" s="34" t="s">
        <v>58</v>
      </c>
      <c r="E54" s="36" t="s">
        <v>58</v>
      </c>
      <c r="F54" s="363" t="s">
        <v>58</v>
      </c>
      <c r="G54" s="363" t="s">
        <v>58</v>
      </c>
      <c r="H54" s="363" t="s">
        <v>58</v>
      </c>
      <c r="I54" s="363" t="s">
        <v>58</v>
      </c>
      <c r="J54" s="363" t="s">
        <v>58</v>
      </c>
      <c r="K54" s="36" t="s">
        <v>649</v>
      </c>
      <c r="L54" s="34" t="s">
        <v>58</v>
      </c>
      <c r="M54" s="34" t="s">
        <v>58</v>
      </c>
      <c r="N54" s="363" t="s">
        <v>58</v>
      </c>
      <c r="O54" s="363" t="s">
        <v>58</v>
      </c>
      <c r="P54" s="34" t="s">
        <v>58</v>
      </c>
      <c r="Q54" s="36" t="s">
        <v>58</v>
      </c>
      <c r="R54" s="36" t="s">
        <v>58</v>
      </c>
      <c r="S54" s="36" t="s">
        <v>58</v>
      </c>
      <c r="T54" s="36" t="s">
        <v>58</v>
      </c>
      <c r="U54" s="34" t="s">
        <v>58</v>
      </c>
      <c r="V54" s="34" t="s">
        <v>58</v>
      </c>
      <c r="W54" s="36" t="s">
        <v>58</v>
      </c>
      <c r="X54" s="36" t="s">
        <v>58</v>
      </c>
      <c r="Y54" s="36" t="s">
        <v>58</v>
      </c>
      <c r="Z54" s="36" t="s">
        <v>58</v>
      </c>
      <c r="AA54" s="36" t="s">
        <v>58</v>
      </c>
      <c r="AB54" s="36" t="s">
        <v>58</v>
      </c>
      <c r="AC54" s="36" t="s">
        <v>58</v>
      </c>
      <c r="AD54" s="36" t="s">
        <v>58</v>
      </c>
      <c r="AE54" s="36" t="s">
        <v>58</v>
      </c>
      <c r="AF54" s="36" t="s">
        <v>58</v>
      </c>
      <c r="AG54" s="363" t="s">
        <v>58</v>
      </c>
      <c r="AH54" s="363" t="s">
        <v>58</v>
      </c>
      <c r="AI54" s="363" t="s">
        <v>58</v>
      </c>
      <c r="AJ54" s="36" t="s">
        <v>58</v>
      </c>
      <c r="AK54" s="36" t="s">
        <v>58</v>
      </c>
      <c r="AL54" s="363" t="s">
        <v>58</v>
      </c>
      <c r="AM54" s="363" t="s">
        <v>58</v>
      </c>
      <c r="AN54" s="363" t="s">
        <v>58</v>
      </c>
      <c r="AO54" s="36" t="s">
        <v>58</v>
      </c>
      <c r="AP54" s="36" t="s">
        <v>58</v>
      </c>
      <c r="AQ54" s="36" t="s">
        <v>58</v>
      </c>
      <c r="AR54" s="36" t="s">
        <v>58</v>
      </c>
      <c r="AS54" s="36" t="s">
        <v>58</v>
      </c>
      <c r="AT54" s="36" t="s">
        <v>58</v>
      </c>
      <c r="AU54" s="36" t="s">
        <v>58</v>
      </c>
      <c r="AV54" s="36" t="s">
        <v>58</v>
      </c>
      <c r="AW54" s="36" t="s">
        <v>58</v>
      </c>
      <c r="AX54" s="36" t="s">
        <v>58</v>
      </c>
      <c r="AY54" s="36" t="s">
        <v>58</v>
      </c>
      <c r="AZ54" s="36" t="s">
        <v>58</v>
      </c>
      <c r="BA54" s="36" t="s">
        <v>58</v>
      </c>
      <c r="BB54" s="36" t="s">
        <v>58</v>
      </c>
      <c r="BC54" s="36" t="s">
        <v>58</v>
      </c>
      <c r="BD54" s="36" t="s">
        <v>58</v>
      </c>
      <c r="BE54" s="36" t="s">
        <v>58</v>
      </c>
      <c r="BF54" s="36" t="s">
        <v>58</v>
      </c>
      <c r="BG54" s="36" t="s">
        <v>58</v>
      </c>
      <c r="BH54" s="36" t="s">
        <v>58</v>
      </c>
      <c r="BI54" s="36" t="s">
        <v>58</v>
      </c>
      <c r="BJ54" s="36" t="s">
        <v>58</v>
      </c>
      <c r="BK54" s="663"/>
    </row>
    <row r="55" spans="1:63">
      <c r="A55" s="552" t="s">
        <v>737</v>
      </c>
      <c r="B55" s="124"/>
      <c r="C55" s="490" t="s">
        <v>548</v>
      </c>
      <c r="D55" s="360" t="s">
        <v>58</v>
      </c>
      <c r="E55" s="360" t="s">
        <v>58</v>
      </c>
      <c r="F55" s="360" t="s">
        <v>58</v>
      </c>
      <c r="G55" s="360" t="s">
        <v>58</v>
      </c>
      <c r="H55" s="360" t="s">
        <v>58</v>
      </c>
      <c r="I55" s="360" t="s">
        <v>58</v>
      </c>
      <c r="J55" s="360" t="s">
        <v>58</v>
      </c>
      <c r="K55" s="363" t="s">
        <v>58</v>
      </c>
      <c r="L55" s="360" t="s">
        <v>58</v>
      </c>
      <c r="M55" s="360" t="s">
        <v>58</v>
      </c>
      <c r="N55" s="360" t="s">
        <v>58</v>
      </c>
      <c r="O55" s="360" t="s">
        <v>58</v>
      </c>
      <c r="P55" s="360" t="s">
        <v>58</v>
      </c>
      <c r="Q55" s="363" t="s">
        <v>58</v>
      </c>
      <c r="R55" s="363" t="s">
        <v>58</v>
      </c>
      <c r="S55" s="363" t="s">
        <v>58</v>
      </c>
      <c r="T55" s="363" t="s">
        <v>58</v>
      </c>
      <c r="U55" s="360" t="s">
        <v>58</v>
      </c>
      <c r="V55" s="360" t="s">
        <v>58</v>
      </c>
      <c r="W55" s="493" t="s">
        <v>58</v>
      </c>
      <c r="X55" s="360" t="s">
        <v>58</v>
      </c>
      <c r="Y55" s="360" t="s">
        <v>58</v>
      </c>
      <c r="Z55" s="360" t="s">
        <v>58</v>
      </c>
      <c r="AA55" s="363" t="s">
        <v>58</v>
      </c>
      <c r="AB55" s="360" t="s">
        <v>58</v>
      </c>
      <c r="AC55" s="360" t="s">
        <v>58</v>
      </c>
      <c r="AD55" s="360" t="s">
        <v>58</v>
      </c>
      <c r="AE55" s="363" t="s">
        <v>58</v>
      </c>
      <c r="AF55" s="360" t="s">
        <v>58</v>
      </c>
      <c r="AG55" s="363" t="s">
        <v>58</v>
      </c>
      <c r="AH55" s="363" t="s">
        <v>58</v>
      </c>
      <c r="AI55" s="363" t="s">
        <v>58</v>
      </c>
      <c r="AJ55" s="363" t="s">
        <v>58</v>
      </c>
      <c r="AK55" s="360" t="s">
        <v>58</v>
      </c>
      <c r="AL55" s="363" t="s">
        <v>58</v>
      </c>
      <c r="AM55" s="363" t="s">
        <v>58</v>
      </c>
      <c r="AN55" s="363" t="s">
        <v>58</v>
      </c>
      <c r="AO55" s="363" t="s">
        <v>58</v>
      </c>
      <c r="AP55" s="360" t="s">
        <v>58</v>
      </c>
      <c r="AQ55" s="360" t="s">
        <v>58</v>
      </c>
      <c r="AR55" s="363" t="s">
        <v>58</v>
      </c>
      <c r="AS55" s="360" t="s">
        <v>58</v>
      </c>
      <c r="AT55" s="360" t="s">
        <v>58</v>
      </c>
      <c r="AU55" s="363" t="s">
        <v>58</v>
      </c>
      <c r="AV55" s="363" t="s">
        <v>58</v>
      </c>
      <c r="AW55" s="363" t="s">
        <v>58</v>
      </c>
      <c r="AX55" s="363" t="s">
        <v>58</v>
      </c>
      <c r="AY55" s="363" t="s">
        <v>58</v>
      </c>
      <c r="AZ55" s="363" t="s">
        <v>58</v>
      </c>
      <c r="BA55" s="363" t="s">
        <v>58</v>
      </c>
      <c r="BB55" s="363" t="s">
        <v>58</v>
      </c>
      <c r="BC55" s="363" t="s">
        <v>58</v>
      </c>
      <c r="BD55" s="363" t="s">
        <v>58</v>
      </c>
      <c r="BE55" s="363" t="s">
        <v>58</v>
      </c>
      <c r="BF55" s="363" t="s">
        <v>58</v>
      </c>
      <c r="BG55" s="363" t="s">
        <v>58</v>
      </c>
      <c r="BH55" s="363" t="s">
        <v>58</v>
      </c>
      <c r="BI55" s="837" t="s">
        <v>58</v>
      </c>
      <c r="BJ55" s="363" t="s">
        <v>58</v>
      </c>
      <c r="BK55" s="663"/>
    </row>
    <row r="56" spans="1:63">
      <c r="A56" s="552" t="s">
        <v>738</v>
      </c>
      <c r="B56" s="124"/>
      <c r="C56" s="490" t="s">
        <v>548</v>
      </c>
      <c r="D56" s="360" t="s">
        <v>58</v>
      </c>
      <c r="E56" s="360" t="s">
        <v>58</v>
      </c>
      <c r="F56" s="360" t="s">
        <v>58</v>
      </c>
      <c r="G56" s="360" t="s">
        <v>58</v>
      </c>
      <c r="H56" s="360" t="s">
        <v>58</v>
      </c>
      <c r="I56" s="360" t="s">
        <v>58</v>
      </c>
      <c r="J56" s="360" t="s">
        <v>58</v>
      </c>
      <c r="K56" s="363" t="s">
        <v>58</v>
      </c>
      <c r="L56" s="360" t="s">
        <v>58</v>
      </c>
      <c r="M56" s="360" t="s">
        <v>58</v>
      </c>
      <c r="N56" s="360" t="s">
        <v>58</v>
      </c>
      <c r="O56" s="360" t="s">
        <v>58</v>
      </c>
      <c r="P56" s="360" t="s">
        <v>58</v>
      </c>
      <c r="Q56" s="363" t="s">
        <v>58</v>
      </c>
      <c r="R56" s="363" t="s">
        <v>58</v>
      </c>
      <c r="S56" s="363" t="s">
        <v>58</v>
      </c>
      <c r="T56" s="363" t="s">
        <v>58</v>
      </c>
      <c r="U56" s="360" t="s">
        <v>58</v>
      </c>
      <c r="V56" s="360" t="s">
        <v>58</v>
      </c>
      <c r="W56" s="493" t="s">
        <v>58</v>
      </c>
      <c r="X56" s="360" t="s">
        <v>58</v>
      </c>
      <c r="Y56" s="360" t="s">
        <v>58</v>
      </c>
      <c r="Z56" s="360" t="s">
        <v>58</v>
      </c>
      <c r="AA56" s="363" t="s">
        <v>58</v>
      </c>
      <c r="AB56" s="360" t="s">
        <v>58</v>
      </c>
      <c r="AC56" s="360" t="s">
        <v>58</v>
      </c>
      <c r="AD56" s="360" t="s">
        <v>58</v>
      </c>
      <c r="AE56" s="363" t="s">
        <v>58</v>
      </c>
      <c r="AF56" s="360" t="s">
        <v>58</v>
      </c>
      <c r="AG56" s="363" t="s">
        <v>58</v>
      </c>
      <c r="AH56" s="363" t="s">
        <v>58</v>
      </c>
      <c r="AI56" s="363" t="s">
        <v>58</v>
      </c>
      <c r="AJ56" s="363" t="s">
        <v>58</v>
      </c>
      <c r="AK56" s="360" t="s">
        <v>58</v>
      </c>
      <c r="AL56" s="363" t="s">
        <v>58</v>
      </c>
      <c r="AM56" s="363" t="s">
        <v>58</v>
      </c>
      <c r="AN56" s="363" t="s">
        <v>58</v>
      </c>
      <c r="AO56" s="363" t="s">
        <v>58</v>
      </c>
      <c r="AP56" s="360" t="s">
        <v>58</v>
      </c>
      <c r="AQ56" s="360" t="s">
        <v>58</v>
      </c>
      <c r="AR56" s="363" t="s">
        <v>58</v>
      </c>
      <c r="AS56" s="360" t="s">
        <v>58</v>
      </c>
      <c r="AT56" s="360" t="s">
        <v>58</v>
      </c>
      <c r="AU56" s="363" t="s">
        <v>58</v>
      </c>
      <c r="AV56" s="363" t="s">
        <v>58</v>
      </c>
      <c r="AW56" s="363" t="s">
        <v>58</v>
      </c>
      <c r="AX56" s="363" t="s">
        <v>58</v>
      </c>
      <c r="AY56" s="363" t="s">
        <v>58</v>
      </c>
      <c r="AZ56" s="363" t="s">
        <v>58</v>
      </c>
      <c r="BA56" s="363" t="s">
        <v>58</v>
      </c>
      <c r="BB56" s="363" t="s">
        <v>58</v>
      </c>
      <c r="BC56" s="363" t="s">
        <v>58</v>
      </c>
      <c r="BD56" s="363" t="s">
        <v>58</v>
      </c>
      <c r="BE56" s="363" t="s">
        <v>58</v>
      </c>
      <c r="BF56" s="363" t="s">
        <v>58</v>
      </c>
      <c r="BG56" s="363" t="s">
        <v>58</v>
      </c>
      <c r="BH56" s="363" t="s">
        <v>58</v>
      </c>
      <c r="BI56" s="837" t="s">
        <v>58</v>
      </c>
      <c r="BJ56" s="363" t="s">
        <v>58</v>
      </c>
      <c r="BK56" s="663"/>
    </row>
    <row r="57" spans="1:63" ht="13.5" customHeight="1">
      <c r="A57" s="549" t="s">
        <v>836</v>
      </c>
      <c r="B57" s="496"/>
      <c r="C57" s="350" t="s">
        <v>58</v>
      </c>
      <c r="D57" s="34" t="s">
        <v>58</v>
      </c>
      <c r="E57" s="34" t="s">
        <v>58</v>
      </c>
      <c r="F57" s="363" t="s">
        <v>58</v>
      </c>
      <c r="G57" s="363" t="s">
        <v>58</v>
      </c>
      <c r="H57" s="363" t="s">
        <v>58</v>
      </c>
      <c r="I57" s="363" t="s">
        <v>58</v>
      </c>
      <c r="J57" s="363" t="s">
        <v>58</v>
      </c>
      <c r="K57" s="36" t="s">
        <v>58</v>
      </c>
      <c r="L57" s="190" t="s">
        <v>838</v>
      </c>
      <c r="M57" s="34" t="s">
        <v>834</v>
      </c>
      <c r="N57" s="363" t="s">
        <v>58</v>
      </c>
      <c r="O57" s="363" t="s">
        <v>58</v>
      </c>
      <c r="P57" s="34" t="s">
        <v>834</v>
      </c>
      <c r="Q57" s="36" t="s">
        <v>834</v>
      </c>
      <c r="R57" s="36" t="s">
        <v>834</v>
      </c>
      <c r="S57" s="36" t="s">
        <v>834</v>
      </c>
      <c r="T57" s="36" t="s">
        <v>834</v>
      </c>
      <c r="U57" s="34" t="s">
        <v>58</v>
      </c>
      <c r="V57" s="34" t="s">
        <v>58</v>
      </c>
      <c r="W57" s="36" t="s">
        <v>834</v>
      </c>
      <c r="X57" s="36" t="s">
        <v>834</v>
      </c>
      <c r="Y57" s="36" t="s">
        <v>834</v>
      </c>
      <c r="Z57" s="36" t="s">
        <v>834</v>
      </c>
      <c r="AA57" s="36" t="s">
        <v>834</v>
      </c>
      <c r="AB57" s="36" t="s">
        <v>834</v>
      </c>
      <c r="AC57" s="36" t="s">
        <v>834</v>
      </c>
      <c r="AD57" s="36" t="s">
        <v>834</v>
      </c>
      <c r="AE57" s="36" t="s">
        <v>834</v>
      </c>
      <c r="AF57" s="36" t="s">
        <v>834</v>
      </c>
      <c r="AG57" s="363" t="s">
        <v>834</v>
      </c>
      <c r="AH57" s="363" t="s">
        <v>834</v>
      </c>
      <c r="AI57" s="363" t="s">
        <v>834</v>
      </c>
      <c r="AJ57" s="36" t="s">
        <v>834</v>
      </c>
      <c r="AK57" s="36" t="s">
        <v>834</v>
      </c>
      <c r="AL57" s="363" t="s">
        <v>834</v>
      </c>
      <c r="AM57" s="363" t="s">
        <v>834</v>
      </c>
      <c r="AN57" s="363" t="s">
        <v>834</v>
      </c>
      <c r="AO57" s="36" t="s">
        <v>834</v>
      </c>
      <c r="AP57" s="36" t="s">
        <v>834</v>
      </c>
      <c r="AQ57" s="36" t="s">
        <v>834</v>
      </c>
      <c r="AR57" s="36" t="s">
        <v>834</v>
      </c>
      <c r="AS57" s="36" t="s">
        <v>834</v>
      </c>
      <c r="AT57" s="36" t="s">
        <v>834</v>
      </c>
      <c r="AU57" s="36" t="s">
        <v>834</v>
      </c>
      <c r="AV57" s="36" t="s">
        <v>834</v>
      </c>
      <c r="AW57" s="36" t="s">
        <v>834</v>
      </c>
      <c r="AX57" s="36" t="s">
        <v>834</v>
      </c>
      <c r="AY57" s="36" t="s">
        <v>834</v>
      </c>
      <c r="AZ57" s="36" t="s">
        <v>834</v>
      </c>
      <c r="BA57" s="36" t="s">
        <v>834</v>
      </c>
      <c r="BB57" s="36" t="s">
        <v>834</v>
      </c>
      <c r="BC57" s="36" t="s">
        <v>834</v>
      </c>
      <c r="BD57" s="36" t="s">
        <v>834</v>
      </c>
      <c r="BE57" s="36" t="s">
        <v>834</v>
      </c>
      <c r="BF57" s="36" t="s">
        <v>834</v>
      </c>
      <c r="BG57" s="36" t="s">
        <v>834</v>
      </c>
      <c r="BH57" s="36" t="s">
        <v>834</v>
      </c>
      <c r="BI57" s="36" t="s">
        <v>834</v>
      </c>
      <c r="BJ57" s="36" t="s">
        <v>834</v>
      </c>
      <c r="BK57" s="663"/>
    </row>
    <row r="58" spans="1:63">
      <c r="A58" s="551" t="s">
        <v>839</v>
      </c>
      <c r="B58" s="123"/>
      <c r="C58" s="350" t="s">
        <v>58</v>
      </c>
      <c r="D58" s="34" t="s">
        <v>58</v>
      </c>
      <c r="E58" s="34" t="s">
        <v>58</v>
      </c>
      <c r="F58" s="363" t="s">
        <v>58</v>
      </c>
      <c r="G58" s="363" t="s">
        <v>58</v>
      </c>
      <c r="H58" s="363" t="s">
        <v>58</v>
      </c>
      <c r="I58" s="363" t="s">
        <v>58</v>
      </c>
      <c r="J58" s="363" t="s">
        <v>58</v>
      </c>
      <c r="K58" s="36" t="s">
        <v>58</v>
      </c>
      <c r="L58" s="34" t="s">
        <v>58</v>
      </c>
      <c r="M58" s="190" t="s">
        <v>837</v>
      </c>
      <c r="N58" s="363" t="s">
        <v>58</v>
      </c>
      <c r="O58" s="363" t="s">
        <v>58</v>
      </c>
      <c r="P58" s="34" t="s">
        <v>58</v>
      </c>
      <c r="Q58" s="36" t="s">
        <v>58</v>
      </c>
      <c r="R58" s="36" t="s">
        <v>58</v>
      </c>
      <c r="S58" s="36" t="s">
        <v>58</v>
      </c>
      <c r="T58" s="36" t="s">
        <v>58</v>
      </c>
      <c r="U58" s="34" t="s">
        <v>58</v>
      </c>
      <c r="V58" s="34" t="s">
        <v>58</v>
      </c>
      <c r="W58" s="36" t="s">
        <v>58</v>
      </c>
      <c r="X58" s="36" t="s">
        <v>58</v>
      </c>
      <c r="Y58" s="36" t="s">
        <v>58</v>
      </c>
      <c r="Z58" s="36" t="s">
        <v>58</v>
      </c>
      <c r="AA58" s="36" t="s">
        <v>58</v>
      </c>
      <c r="AB58" s="36" t="s">
        <v>58</v>
      </c>
      <c r="AC58" s="36" t="s">
        <v>58</v>
      </c>
      <c r="AD58" s="36" t="s">
        <v>58</v>
      </c>
      <c r="AE58" s="36" t="s">
        <v>58</v>
      </c>
      <c r="AF58" s="36" t="s">
        <v>58</v>
      </c>
      <c r="AG58" s="363" t="s">
        <v>58</v>
      </c>
      <c r="AH58" s="363" t="s">
        <v>58</v>
      </c>
      <c r="AI58" s="363" t="s">
        <v>58</v>
      </c>
      <c r="AJ58" s="36" t="s">
        <v>58</v>
      </c>
      <c r="AK58" s="36" t="s">
        <v>58</v>
      </c>
      <c r="AL58" s="363" t="s">
        <v>58</v>
      </c>
      <c r="AM58" s="363" t="s">
        <v>58</v>
      </c>
      <c r="AN58" s="363" t="s">
        <v>58</v>
      </c>
      <c r="AO58" s="36" t="s">
        <v>58</v>
      </c>
      <c r="AP58" s="36" t="s">
        <v>58</v>
      </c>
      <c r="AQ58" s="36" t="s">
        <v>58</v>
      </c>
      <c r="AR58" s="36" t="s">
        <v>58</v>
      </c>
      <c r="AS58" s="36" t="s">
        <v>58</v>
      </c>
      <c r="AT58" s="36" t="s">
        <v>58</v>
      </c>
      <c r="AU58" s="36" t="s">
        <v>58</v>
      </c>
      <c r="AV58" s="36" t="s">
        <v>58</v>
      </c>
      <c r="AW58" s="36" t="s">
        <v>58</v>
      </c>
      <c r="AX58" s="36" t="s">
        <v>58</v>
      </c>
      <c r="AY58" s="36" t="s">
        <v>58</v>
      </c>
      <c r="AZ58" s="36" t="s">
        <v>58</v>
      </c>
      <c r="BA58" s="36" t="s">
        <v>58</v>
      </c>
      <c r="BB58" s="36" t="s">
        <v>58</v>
      </c>
      <c r="BC58" s="36" t="s">
        <v>58</v>
      </c>
      <c r="BD58" s="36" t="s">
        <v>58</v>
      </c>
      <c r="BE58" s="36" t="s">
        <v>58</v>
      </c>
      <c r="BF58" s="36" t="s">
        <v>58</v>
      </c>
      <c r="BG58" s="36" t="s">
        <v>58</v>
      </c>
      <c r="BH58" s="36" t="s">
        <v>58</v>
      </c>
      <c r="BI58" s="36" t="s">
        <v>58</v>
      </c>
      <c r="BJ58" s="36" t="s">
        <v>58</v>
      </c>
      <c r="BK58" s="663"/>
    </row>
    <row r="59" spans="1:63">
      <c r="A59" s="553" t="s">
        <v>840</v>
      </c>
      <c r="B59" s="490"/>
      <c r="C59" s="490" t="s">
        <v>58</v>
      </c>
      <c r="D59" s="360" t="s">
        <v>58</v>
      </c>
      <c r="E59" s="363" t="s">
        <v>58</v>
      </c>
      <c r="F59" s="363" t="s">
        <v>58</v>
      </c>
      <c r="G59" s="363" t="s">
        <v>58</v>
      </c>
      <c r="H59" s="363" t="s">
        <v>58</v>
      </c>
      <c r="I59" s="363" t="s">
        <v>58</v>
      </c>
      <c r="J59" s="363" t="s">
        <v>58</v>
      </c>
      <c r="K59" s="363" t="s">
        <v>58</v>
      </c>
      <c r="L59" s="360" t="s">
        <v>58</v>
      </c>
      <c r="M59" s="360" t="s">
        <v>58</v>
      </c>
      <c r="N59" s="363" t="s">
        <v>58</v>
      </c>
      <c r="O59" s="363" t="s">
        <v>58</v>
      </c>
      <c r="P59" s="360" t="s">
        <v>58</v>
      </c>
      <c r="Q59" s="363" t="s">
        <v>58</v>
      </c>
      <c r="R59" s="363" t="s">
        <v>58</v>
      </c>
      <c r="S59" s="363" t="s">
        <v>58</v>
      </c>
      <c r="T59" s="363" t="s">
        <v>58</v>
      </c>
      <c r="U59" s="360" t="s">
        <v>58</v>
      </c>
      <c r="V59" s="360" t="s">
        <v>58</v>
      </c>
      <c r="W59" s="363" t="s">
        <v>58</v>
      </c>
      <c r="X59" s="363" t="s">
        <v>58</v>
      </c>
      <c r="Y59" s="363" t="s">
        <v>58</v>
      </c>
      <c r="Z59" s="363" t="s">
        <v>58</v>
      </c>
      <c r="AA59" s="363" t="s">
        <v>58</v>
      </c>
      <c r="AB59" s="363" t="s">
        <v>58</v>
      </c>
      <c r="AC59" s="363" t="s">
        <v>58</v>
      </c>
      <c r="AD59" s="363" t="s">
        <v>58</v>
      </c>
      <c r="AE59" s="363" t="s">
        <v>58</v>
      </c>
      <c r="AF59" s="363" t="s">
        <v>58</v>
      </c>
      <c r="AG59" s="363" t="s">
        <v>58</v>
      </c>
      <c r="AH59" s="363" t="s">
        <v>58</v>
      </c>
      <c r="AI59" s="363" t="s">
        <v>58</v>
      </c>
      <c r="AJ59" s="363" t="s">
        <v>58</v>
      </c>
      <c r="AK59" s="363" t="s">
        <v>58</v>
      </c>
      <c r="AL59" s="363" t="s">
        <v>58</v>
      </c>
      <c r="AM59" s="363" t="s">
        <v>58</v>
      </c>
      <c r="AN59" s="363" t="s">
        <v>58</v>
      </c>
      <c r="AO59" s="363" t="s">
        <v>58</v>
      </c>
      <c r="AP59" s="363" t="s">
        <v>58</v>
      </c>
      <c r="AQ59" s="363" t="s">
        <v>58</v>
      </c>
      <c r="AR59" s="363" t="s">
        <v>58</v>
      </c>
      <c r="AS59" s="363" t="s">
        <v>58</v>
      </c>
      <c r="AT59" s="363" t="s">
        <v>58</v>
      </c>
      <c r="AU59" s="363" t="s">
        <v>58</v>
      </c>
      <c r="AV59" s="363" t="s">
        <v>58</v>
      </c>
      <c r="AW59" s="363" t="s">
        <v>58</v>
      </c>
      <c r="AX59" s="363" t="s">
        <v>58</v>
      </c>
      <c r="AY59" s="363" t="s">
        <v>58</v>
      </c>
      <c r="AZ59" s="363" t="s">
        <v>58</v>
      </c>
      <c r="BA59" s="363" t="s">
        <v>58</v>
      </c>
      <c r="BB59" s="363" t="s">
        <v>58</v>
      </c>
      <c r="BC59" s="363" t="s">
        <v>58</v>
      </c>
      <c r="BD59" s="363" t="s">
        <v>58</v>
      </c>
      <c r="BE59" s="363" t="s">
        <v>58</v>
      </c>
      <c r="BF59" s="363" t="s">
        <v>58</v>
      </c>
      <c r="BG59" s="363" t="s">
        <v>58</v>
      </c>
      <c r="BH59" s="363" t="s">
        <v>58</v>
      </c>
      <c r="BI59" s="837" t="s">
        <v>58</v>
      </c>
      <c r="BJ59" s="363" t="s">
        <v>58</v>
      </c>
      <c r="BK59" s="663"/>
    </row>
    <row r="60" spans="1:63">
      <c r="A60" s="553" t="s">
        <v>841</v>
      </c>
      <c r="B60" s="490"/>
      <c r="C60" s="490" t="s">
        <v>58</v>
      </c>
      <c r="D60" s="360" t="s">
        <v>58</v>
      </c>
      <c r="E60" s="363" t="s">
        <v>58</v>
      </c>
      <c r="F60" s="363" t="s">
        <v>58</v>
      </c>
      <c r="G60" s="363" t="s">
        <v>58</v>
      </c>
      <c r="H60" s="363" t="s">
        <v>58</v>
      </c>
      <c r="I60" s="363" t="s">
        <v>58</v>
      </c>
      <c r="J60" s="363" t="s">
        <v>58</v>
      </c>
      <c r="K60" s="363" t="s">
        <v>58</v>
      </c>
      <c r="L60" s="360" t="s">
        <v>58</v>
      </c>
      <c r="M60" s="360" t="s">
        <v>58</v>
      </c>
      <c r="N60" s="363" t="s">
        <v>58</v>
      </c>
      <c r="O60" s="363" t="s">
        <v>58</v>
      </c>
      <c r="P60" s="360" t="s">
        <v>58</v>
      </c>
      <c r="Q60" s="363" t="s">
        <v>58</v>
      </c>
      <c r="R60" s="363" t="s">
        <v>58</v>
      </c>
      <c r="S60" s="363" t="s">
        <v>58</v>
      </c>
      <c r="T60" s="363" t="s">
        <v>58</v>
      </c>
      <c r="U60" s="360" t="s">
        <v>58</v>
      </c>
      <c r="V60" s="360" t="s">
        <v>58</v>
      </c>
      <c r="W60" s="363" t="s">
        <v>58</v>
      </c>
      <c r="X60" s="363" t="s">
        <v>58</v>
      </c>
      <c r="Y60" s="363" t="s">
        <v>58</v>
      </c>
      <c r="Z60" s="363" t="s">
        <v>58</v>
      </c>
      <c r="AA60" s="363" t="s">
        <v>58</v>
      </c>
      <c r="AB60" s="363" t="s">
        <v>58</v>
      </c>
      <c r="AC60" s="363" t="s">
        <v>58</v>
      </c>
      <c r="AD60" s="363" t="s">
        <v>58</v>
      </c>
      <c r="AE60" s="363" t="s">
        <v>58</v>
      </c>
      <c r="AF60" s="363" t="s">
        <v>58</v>
      </c>
      <c r="AG60" s="363" t="s">
        <v>58</v>
      </c>
      <c r="AH60" s="363" t="s">
        <v>58</v>
      </c>
      <c r="AI60" s="363" t="s">
        <v>58</v>
      </c>
      <c r="AJ60" s="363" t="s">
        <v>58</v>
      </c>
      <c r="AK60" s="363" t="s">
        <v>58</v>
      </c>
      <c r="AL60" s="363" t="s">
        <v>58</v>
      </c>
      <c r="AM60" s="363" t="s">
        <v>58</v>
      </c>
      <c r="AN60" s="363" t="s">
        <v>58</v>
      </c>
      <c r="AO60" s="363" t="s">
        <v>58</v>
      </c>
      <c r="AP60" s="363" t="s">
        <v>58</v>
      </c>
      <c r="AQ60" s="363" t="s">
        <v>58</v>
      </c>
      <c r="AR60" s="363" t="s">
        <v>58</v>
      </c>
      <c r="AS60" s="363" t="s">
        <v>58</v>
      </c>
      <c r="AT60" s="363" t="s">
        <v>58</v>
      </c>
      <c r="AU60" s="363" t="s">
        <v>58</v>
      </c>
      <c r="AV60" s="363" t="s">
        <v>58</v>
      </c>
      <c r="AW60" s="363" t="s">
        <v>58</v>
      </c>
      <c r="AX60" s="363" t="s">
        <v>58</v>
      </c>
      <c r="AY60" s="363" t="s">
        <v>58</v>
      </c>
      <c r="AZ60" s="363" t="s">
        <v>58</v>
      </c>
      <c r="BA60" s="363" t="s">
        <v>58</v>
      </c>
      <c r="BB60" s="363" t="s">
        <v>58</v>
      </c>
      <c r="BC60" s="363" t="s">
        <v>58</v>
      </c>
      <c r="BD60" s="363" t="s">
        <v>58</v>
      </c>
      <c r="BE60" s="363" t="s">
        <v>58</v>
      </c>
      <c r="BF60" s="363" t="s">
        <v>58</v>
      </c>
      <c r="BG60" s="363" t="s">
        <v>58</v>
      </c>
      <c r="BH60" s="363" t="s">
        <v>58</v>
      </c>
      <c r="BI60" s="837" t="s">
        <v>58</v>
      </c>
      <c r="BJ60" s="363" t="s">
        <v>58</v>
      </c>
      <c r="BK60" s="663"/>
    </row>
    <row r="61" spans="1:63">
      <c r="A61" s="551" t="s">
        <v>843</v>
      </c>
      <c r="B61" s="497"/>
      <c r="C61" s="350" t="s">
        <v>842</v>
      </c>
      <c r="D61" s="34" t="s">
        <v>842</v>
      </c>
      <c r="E61" s="34" t="s">
        <v>842</v>
      </c>
      <c r="F61" s="363" t="s">
        <v>58</v>
      </c>
      <c r="G61" s="363" t="s">
        <v>58</v>
      </c>
      <c r="H61" s="363" t="s">
        <v>842</v>
      </c>
      <c r="I61" s="363" t="s">
        <v>842</v>
      </c>
      <c r="J61" s="363" t="s">
        <v>842</v>
      </c>
      <c r="K61" s="36" t="s">
        <v>842</v>
      </c>
      <c r="L61" s="34" t="s">
        <v>842</v>
      </c>
      <c r="M61" s="34" t="s">
        <v>842</v>
      </c>
      <c r="N61" s="363" t="s">
        <v>58</v>
      </c>
      <c r="O61" s="363" t="s">
        <v>58</v>
      </c>
      <c r="P61" s="190" t="s">
        <v>844</v>
      </c>
      <c r="Q61" s="36" t="s">
        <v>842</v>
      </c>
      <c r="R61" s="36" t="s">
        <v>842</v>
      </c>
      <c r="S61" s="36" t="s">
        <v>842</v>
      </c>
      <c r="T61" s="36" t="s">
        <v>842</v>
      </c>
      <c r="U61" s="34" t="s">
        <v>842</v>
      </c>
      <c r="V61" s="34" t="s">
        <v>842</v>
      </c>
      <c r="W61" s="36" t="s">
        <v>842</v>
      </c>
      <c r="X61" s="36" t="s">
        <v>842</v>
      </c>
      <c r="Y61" s="36" t="s">
        <v>842</v>
      </c>
      <c r="Z61" s="36" t="s">
        <v>842</v>
      </c>
      <c r="AA61" s="36" t="s">
        <v>842</v>
      </c>
      <c r="AB61" s="36" t="s">
        <v>842</v>
      </c>
      <c r="AC61" s="36" t="s">
        <v>842</v>
      </c>
      <c r="AD61" s="36" t="s">
        <v>842</v>
      </c>
      <c r="AE61" s="36" t="s">
        <v>842</v>
      </c>
      <c r="AF61" s="36" t="s">
        <v>842</v>
      </c>
      <c r="AG61" s="363" t="s">
        <v>842</v>
      </c>
      <c r="AH61" s="363" t="s">
        <v>842</v>
      </c>
      <c r="AI61" s="363" t="s">
        <v>842</v>
      </c>
      <c r="AJ61" s="36" t="s">
        <v>842</v>
      </c>
      <c r="AK61" s="36" t="s">
        <v>842</v>
      </c>
      <c r="AL61" s="363" t="s">
        <v>842</v>
      </c>
      <c r="AM61" s="363" t="s">
        <v>842</v>
      </c>
      <c r="AN61" s="363" t="s">
        <v>842</v>
      </c>
      <c r="AO61" s="36" t="s">
        <v>842</v>
      </c>
      <c r="AP61" s="36" t="s">
        <v>842</v>
      </c>
      <c r="AQ61" s="36" t="s">
        <v>842</v>
      </c>
      <c r="AR61" s="36" t="s">
        <v>842</v>
      </c>
      <c r="AS61" s="36" t="s">
        <v>842</v>
      </c>
      <c r="AT61" s="36" t="s">
        <v>842</v>
      </c>
      <c r="AU61" s="36" t="s">
        <v>842</v>
      </c>
      <c r="AV61" s="36" t="s">
        <v>842</v>
      </c>
      <c r="AW61" s="36" t="s">
        <v>842</v>
      </c>
      <c r="AX61" s="36" t="s">
        <v>842</v>
      </c>
      <c r="AY61" s="36" t="s">
        <v>842</v>
      </c>
      <c r="AZ61" s="36" t="s">
        <v>842</v>
      </c>
      <c r="BA61" s="36" t="s">
        <v>842</v>
      </c>
      <c r="BB61" s="36" t="s">
        <v>842</v>
      </c>
      <c r="BC61" s="36" t="s">
        <v>842</v>
      </c>
      <c r="BD61" s="36" t="s">
        <v>842</v>
      </c>
      <c r="BE61" s="36" t="s">
        <v>842</v>
      </c>
      <c r="BF61" s="36" t="s">
        <v>842</v>
      </c>
      <c r="BG61" s="36" t="s">
        <v>842</v>
      </c>
      <c r="BH61" s="36" t="s">
        <v>842</v>
      </c>
      <c r="BI61" s="36" t="s">
        <v>842</v>
      </c>
      <c r="BJ61" s="36" t="s">
        <v>842</v>
      </c>
      <c r="BK61" s="663"/>
    </row>
    <row r="62" spans="1:63">
      <c r="A62" s="552" t="s">
        <v>744</v>
      </c>
      <c r="B62" s="124"/>
      <c r="C62" s="490" t="s">
        <v>548</v>
      </c>
      <c r="D62" s="360" t="s">
        <v>8</v>
      </c>
      <c r="E62" s="360" t="s">
        <v>8</v>
      </c>
      <c r="F62" s="360" t="s">
        <v>8</v>
      </c>
      <c r="G62" s="360" t="s">
        <v>8</v>
      </c>
      <c r="H62" s="360" t="s">
        <v>8</v>
      </c>
      <c r="I62" s="360" t="s">
        <v>8</v>
      </c>
      <c r="J62" s="360" t="s">
        <v>8</v>
      </c>
      <c r="K62" s="363" t="s">
        <v>8</v>
      </c>
      <c r="L62" s="360" t="s">
        <v>58</v>
      </c>
      <c r="M62" s="360" t="s">
        <v>58</v>
      </c>
      <c r="N62" s="360" t="s">
        <v>8</v>
      </c>
      <c r="O62" s="360" t="s">
        <v>8</v>
      </c>
      <c r="P62" s="360" t="s">
        <v>58</v>
      </c>
      <c r="Q62" s="363" t="s">
        <v>58</v>
      </c>
      <c r="R62" s="363" t="s">
        <v>58</v>
      </c>
      <c r="S62" s="363" t="s">
        <v>58</v>
      </c>
      <c r="T62" s="363" t="s">
        <v>58</v>
      </c>
      <c r="U62" s="360" t="s">
        <v>8</v>
      </c>
      <c r="V62" s="360" t="s">
        <v>8</v>
      </c>
      <c r="W62" s="493" t="s">
        <v>58</v>
      </c>
      <c r="X62" s="360" t="s">
        <v>8</v>
      </c>
      <c r="Y62" s="360" t="s">
        <v>8</v>
      </c>
      <c r="Z62" s="360" t="s">
        <v>8</v>
      </c>
      <c r="AA62" s="363" t="s">
        <v>8</v>
      </c>
      <c r="AB62" s="360" t="s">
        <v>8</v>
      </c>
      <c r="AC62" s="360" t="s">
        <v>8</v>
      </c>
      <c r="AD62" s="360" t="s">
        <v>8</v>
      </c>
      <c r="AE62" s="363" t="s">
        <v>8</v>
      </c>
      <c r="AF62" s="360" t="s">
        <v>8</v>
      </c>
      <c r="AG62" s="363" t="s">
        <v>58</v>
      </c>
      <c r="AH62" s="363" t="s">
        <v>58</v>
      </c>
      <c r="AI62" s="363" t="s">
        <v>58</v>
      </c>
      <c r="AJ62" s="363" t="s">
        <v>8</v>
      </c>
      <c r="AK62" s="360" t="s">
        <v>8</v>
      </c>
      <c r="AL62" s="363" t="s">
        <v>58</v>
      </c>
      <c r="AM62" s="363" t="s">
        <v>58</v>
      </c>
      <c r="AN62" s="363" t="s">
        <v>58</v>
      </c>
      <c r="AO62" s="363" t="s">
        <v>8</v>
      </c>
      <c r="AP62" s="360" t="s">
        <v>58</v>
      </c>
      <c r="AQ62" s="360" t="s">
        <v>58</v>
      </c>
      <c r="AR62" s="363" t="s">
        <v>58</v>
      </c>
      <c r="AS62" s="360" t="s">
        <v>58</v>
      </c>
      <c r="AT62" s="360" t="s">
        <v>58</v>
      </c>
      <c r="AU62" s="363" t="s">
        <v>58</v>
      </c>
      <c r="AV62" s="363" t="s">
        <v>58</v>
      </c>
      <c r="AW62" s="363" t="s">
        <v>58</v>
      </c>
      <c r="AX62" s="363" t="s">
        <v>58</v>
      </c>
      <c r="AY62" s="363" t="s">
        <v>58</v>
      </c>
      <c r="AZ62" s="363" t="s">
        <v>58</v>
      </c>
      <c r="BA62" s="363" t="s">
        <v>58</v>
      </c>
      <c r="BB62" s="363" t="s">
        <v>8</v>
      </c>
      <c r="BC62" s="363" t="s">
        <v>8</v>
      </c>
      <c r="BD62" s="363" t="s">
        <v>8</v>
      </c>
      <c r="BE62" s="363" t="s">
        <v>8</v>
      </c>
      <c r="BF62" s="363" t="s">
        <v>8</v>
      </c>
      <c r="BG62" s="363" t="s">
        <v>8</v>
      </c>
      <c r="BH62" s="363" t="s">
        <v>8</v>
      </c>
      <c r="BI62" s="837" t="s">
        <v>58</v>
      </c>
      <c r="BJ62" s="363" t="s">
        <v>8</v>
      </c>
      <c r="BK62" s="663"/>
    </row>
    <row r="63" spans="1:63">
      <c r="A63" s="551" t="s">
        <v>745</v>
      </c>
      <c r="B63" s="497"/>
      <c r="C63" s="350" t="s">
        <v>548</v>
      </c>
      <c r="D63" s="561" t="s">
        <v>58</v>
      </c>
      <c r="E63" s="561" t="s">
        <v>58</v>
      </c>
      <c r="F63" s="360" t="s">
        <v>58</v>
      </c>
      <c r="G63" s="360" t="s">
        <v>58</v>
      </c>
      <c r="H63" s="360" t="s">
        <v>58</v>
      </c>
      <c r="I63" s="360" t="s">
        <v>58</v>
      </c>
      <c r="J63" s="360" t="s">
        <v>58</v>
      </c>
      <c r="K63" s="36" t="s">
        <v>58</v>
      </c>
      <c r="L63" s="34" t="s">
        <v>58</v>
      </c>
      <c r="M63" s="34" t="s">
        <v>58</v>
      </c>
      <c r="N63" s="360" t="s">
        <v>58</v>
      </c>
      <c r="O63" s="360" t="s">
        <v>58</v>
      </c>
      <c r="P63" s="34" t="s">
        <v>58</v>
      </c>
      <c r="Q63" s="596" t="s">
        <v>837</v>
      </c>
      <c r="R63" s="36" t="s">
        <v>58</v>
      </c>
      <c r="S63" s="36" t="s">
        <v>58</v>
      </c>
      <c r="T63" s="36" t="s">
        <v>58</v>
      </c>
      <c r="U63" s="34" t="s">
        <v>58</v>
      </c>
      <c r="V63" s="34" t="s">
        <v>58</v>
      </c>
      <c r="W63" s="221" t="s">
        <v>834</v>
      </c>
      <c r="X63" s="34" t="s">
        <v>834</v>
      </c>
      <c r="Y63" s="34" t="s">
        <v>834</v>
      </c>
      <c r="Z63" s="34" t="s">
        <v>834</v>
      </c>
      <c r="AA63" s="36" t="s">
        <v>834</v>
      </c>
      <c r="AB63" s="34" t="s">
        <v>834</v>
      </c>
      <c r="AC63" s="34" t="s">
        <v>834</v>
      </c>
      <c r="AD63" s="34" t="s">
        <v>834</v>
      </c>
      <c r="AE63" s="36" t="s">
        <v>834</v>
      </c>
      <c r="AF63" s="34" t="s">
        <v>834</v>
      </c>
      <c r="AG63" s="363" t="s">
        <v>58</v>
      </c>
      <c r="AH63" s="363" t="s">
        <v>58</v>
      </c>
      <c r="AI63" s="363" t="s">
        <v>58</v>
      </c>
      <c r="AJ63" s="36" t="s">
        <v>834</v>
      </c>
      <c r="AK63" s="34" t="s">
        <v>834</v>
      </c>
      <c r="AL63" s="363" t="s">
        <v>58</v>
      </c>
      <c r="AM63" s="363" t="s">
        <v>58</v>
      </c>
      <c r="AN63" s="363" t="s">
        <v>58</v>
      </c>
      <c r="AO63" s="36" t="s">
        <v>834</v>
      </c>
      <c r="AP63" s="34" t="s">
        <v>834</v>
      </c>
      <c r="AQ63" s="34" t="s">
        <v>834</v>
      </c>
      <c r="AR63" s="36" t="s">
        <v>834</v>
      </c>
      <c r="AS63" s="34" t="s">
        <v>834</v>
      </c>
      <c r="AT63" s="34" t="s">
        <v>834</v>
      </c>
      <c r="AU63" s="36" t="s">
        <v>834</v>
      </c>
      <c r="AV63" s="36" t="s">
        <v>834</v>
      </c>
      <c r="AW63" s="36" t="s">
        <v>834</v>
      </c>
      <c r="AX63" s="36" t="s">
        <v>834</v>
      </c>
      <c r="AY63" s="36" t="s">
        <v>834</v>
      </c>
      <c r="AZ63" s="36" t="s">
        <v>834</v>
      </c>
      <c r="BA63" s="36" t="s">
        <v>834</v>
      </c>
      <c r="BB63" s="36" t="s">
        <v>834</v>
      </c>
      <c r="BC63" s="36" t="s">
        <v>834</v>
      </c>
      <c r="BD63" s="36" t="s">
        <v>834</v>
      </c>
      <c r="BE63" s="36" t="s">
        <v>834</v>
      </c>
      <c r="BF63" s="36" t="s">
        <v>834</v>
      </c>
      <c r="BG63" s="36" t="s">
        <v>834</v>
      </c>
      <c r="BH63" s="36" t="s">
        <v>834</v>
      </c>
      <c r="BI63" s="36" t="s">
        <v>58</v>
      </c>
      <c r="BJ63" s="36" t="s">
        <v>834</v>
      </c>
      <c r="BK63" s="663"/>
    </row>
    <row r="64" spans="1:63">
      <c r="A64" s="551" t="s">
        <v>746</v>
      </c>
      <c r="B64" s="497"/>
      <c r="C64" s="350" t="s">
        <v>548</v>
      </c>
      <c r="D64" s="561" t="s">
        <v>58</v>
      </c>
      <c r="E64" s="561" t="s">
        <v>58</v>
      </c>
      <c r="F64" s="360" t="s">
        <v>58</v>
      </c>
      <c r="G64" s="360" t="s">
        <v>58</v>
      </c>
      <c r="H64" s="360" t="s">
        <v>58</v>
      </c>
      <c r="I64" s="360" t="s">
        <v>58</v>
      </c>
      <c r="J64" s="360" t="s">
        <v>58</v>
      </c>
      <c r="K64" s="36" t="s">
        <v>58</v>
      </c>
      <c r="L64" s="34" t="s">
        <v>58</v>
      </c>
      <c r="M64" s="34" t="s">
        <v>58</v>
      </c>
      <c r="N64" s="360" t="s">
        <v>58</v>
      </c>
      <c r="O64" s="360" t="s">
        <v>58</v>
      </c>
      <c r="P64" s="34" t="s">
        <v>58</v>
      </c>
      <c r="Q64" s="36" t="s">
        <v>58</v>
      </c>
      <c r="R64" s="596" t="s">
        <v>837</v>
      </c>
      <c r="S64" s="36" t="s">
        <v>58</v>
      </c>
      <c r="T64" s="36" t="s">
        <v>58</v>
      </c>
      <c r="U64" s="34" t="s">
        <v>58</v>
      </c>
      <c r="V64" s="34" t="s">
        <v>58</v>
      </c>
      <c r="W64" s="221" t="s">
        <v>834</v>
      </c>
      <c r="X64" s="34" t="s">
        <v>834</v>
      </c>
      <c r="Y64" s="34" t="s">
        <v>834</v>
      </c>
      <c r="Z64" s="34" t="s">
        <v>834</v>
      </c>
      <c r="AA64" s="36" t="s">
        <v>834</v>
      </c>
      <c r="AB64" s="34" t="s">
        <v>834</v>
      </c>
      <c r="AC64" s="34" t="s">
        <v>834</v>
      </c>
      <c r="AD64" s="34" t="s">
        <v>834</v>
      </c>
      <c r="AE64" s="36" t="s">
        <v>834</v>
      </c>
      <c r="AF64" s="34" t="s">
        <v>834</v>
      </c>
      <c r="AG64" s="363" t="s">
        <v>58</v>
      </c>
      <c r="AH64" s="363" t="s">
        <v>58</v>
      </c>
      <c r="AI64" s="363" t="s">
        <v>58</v>
      </c>
      <c r="AJ64" s="36" t="s">
        <v>834</v>
      </c>
      <c r="AK64" s="34" t="s">
        <v>834</v>
      </c>
      <c r="AL64" s="363" t="s">
        <v>58</v>
      </c>
      <c r="AM64" s="363" t="s">
        <v>58</v>
      </c>
      <c r="AN64" s="363" t="s">
        <v>58</v>
      </c>
      <c r="AO64" s="36" t="s">
        <v>834</v>
      </c>
      <c r="AP64" s="34" t="s">
        <v>834</v>
      </c>
      <c r="AQ64" s="34" t="s">
        <v>834</v>
      </c>
      <c r="AR64" s="36" t="s">
        <v>834</v>
      </c>
      <c r="AS64" s="34" t="s">
        <v>834</v>
      </c>
      <c r="AT64" s="34" t="s">
        <v>834</v>
      </c>
      <c r="AU64" s="36" t="s">
        <v>834</v>
      </c>
      <c r="AV64" s="36" t="s">
        <v>834</v>
      </c>
      <c r="AW64" s="36" t="s">
        <v>834</v>
      </c>
      <c r="AX64" s="36" t="s">
        <v>834</v>
      </c>
      <c r="AY64" s="36" t="s">
        <v>834</v>
      </c>
      <c r="AZ64" s="36" t="s">
        <v>834</v>
      </c>
      <c r="BA64" s="36" t="s">
        <v>834</v>
      </c>
      <c r="BB64" s="36" t="s">
        <v>834</v>
      </c>
      <c r="BC64" s="36" t="s">
        <v>834</v>
      </c>
      <c r="BD64" s="36" t="s">
        <v>834</v>
      </c>
      <c r="BE64" s="36" t="s">
        <v>834</v>
      </c>
      <c r="BF64" s="36" t="s">
        <v>834</v>
      </c>
      <c r="BG64" s="36" t="s">
        <v>834</v>
      </c>
      <c r="BH64" s="36" t="s">
        <v>58</v>
      </c>
      <c r="BI64" s="36" t="s">
        <v>58</v>
      </c>
      <c r="BJ64" s="36" t="s">
        <v>834</v>
      </c>
      <c r="BK64" s="663"/>
    </row>
    <row r="65" spans="1:63">
      <c r="A65" s="551" t="s">
        <v>845</v>
      </c>
      <c r="B65" s="497"/>
      <c r="C65" s="350" t="s">
        <v>834</v>
      </c>
      <c r="D65" s="561" t="s">
        <v>834</v>
      </c>
      <c r="E65" s="561" t="s">
        <v>834</v>
      </c>
      <c r="F65" s="360" t="s">
        <v>58</v>
      </c>
      <c r="G65" s="360" t="s">
        <v>58</v>
      </c>
      <c r="H65" s="360" t="s">
        <v>834</v>
      </c>
      <c r="I65" s="360" t="s">
        <v>834</v>
      </c>
      <c r="J65" s="360" t="s">
        <v>834</v>
      </c>
      <c r="K65" s="36" t="s">
        <v>834</v>
      </c>
      <c r="L65" s="34" t="s">
        <v>834</v>
      </c>
      <c r="M65" s="34" t="s">
        <v>834</v>
      </c>
      <c r="N65" s="360" t="s">
        <v>58</v>
      </c>
      <c r="O65" s="360" t="s">
        <v>58</v>
      </c>
      <c r="P65" s="34" t="s">
        <v>834</v>
      </c>
      <c r="Q65" s="36" t="s">
        <v>834</v>
      </c>
      <c r="R65" s="36" t="s">
        <v>834</v>
      </c>
      <c r="S65" s="596" t="s">
        <v>838</v>
      </c>
      <c r="T65" s="36" t="s">
        <v>834</v>
      </c>
      <c r="U65" s="34" t="s">
        <v>58</v>
      </c>
      <c r="V65" s="34" t="s">
        <v>58</v>
      </c>
      <c r="W65" s="221" t="s">
        <v>834</v>
      </c>
      <c r="X65" s="34" t="s">
        <v>834</v>
      </c>
      <c r="Y65" s="34" t="s">
        <v>834</v>
      </c>
      <c r="Z65" s="34" t="s">
        <v>834</v>
      </c>
      <c r="AA65" s="36" t="s">
        <v>834</v>
      </c>
      <c r="AB65" s="34" t="s">
        <v>834</v>
      </c>
      <c r="AC65" s="34" t="s">
        <v>834</v>
      </c>
      <c r="AD65" s="34" t="s">
        <v>834</v>
      </c>
      <c r="AE65" s="36" t="s">
        <v>834</v>
      </c>
      <c r="AF65" s="34" t="s">
        <v>834</v>
      </c>
      <c r="AG65" s="363" t="s">
        <v>834</v>
      </c>
      <c r="AH65" s="363" t="s">
        <v>834</v>
      </c>
      <c r="AI65" s="363" t="s">
        <v>834</v>
      </c>
      <c r="AJ65" s="36" t="s">
        <v>834</v>
      </c>
      <c r="AK65" s="34" t="s">
        <v>834</v>
      </c>
      <c r="AL65" s="363" t="s">
        <v>834</v>
      </c>
      <c r="AM65" s="363" t="s">
        <v>834</v>
      </c>
      <c r="AN65" s="363" t="s">
        <v>834</v>
      </c>
      <c r="AO65" s="36" t="s">
        <v>834</v>
      </c>
      <c r="AP65" s="34" t="s">
        <v>834</v>
      </c>
      <c r="AQ65" s="34" t="s">
        <v>834</v>
      </c>
      <c r="AR65" s="36" t="s">
        <v>834</v>
      </c>
      <c r="AS65" s="34" t="s">
        <v>834</v>
      </c>
      <c r="AT65" s="34" t="s">
        <v>834</v>
      </c>
      <c r="AU65" s="36" t="s">
        <v>834</v>
      </c>
      <c r="AV65" s="36" t="s">
        <v>834</v>
      </c>
      <c r="AW65" s="36" t="s">
        <v>834</v>
      </c>
      <c r="AX65" s="36" t="s">
        <v>834</v>
      </c>
      <c r="AY65" s="36" t="s">
        <v>834</v>
      </c>
      <c r="AZ65" s="36" t="s">
        <v>834</v>
      </c>
      <c r="BA65" s="36" t="s">
        <v>834</v>
      </c>
      <c r="BB65" s="36" t="s">
        <v>834</v>
      </c>
      <c r="BC65" s="36" t="s">
        <v>834</v>
      </c>
      <c r="BD65" s="36" t="s">
        <v>834</v>
      </c>
      <c r="BE65" s="36" t="s">
        <v>834</v>
      </c>
      <c r="BF65" s="36" t="s">
        <v>834</v>
      </c>
      <c r="BG65" s="36" t="s">
        <v>834</v>
      </c>
      <c r="BH65" s="36" t="s">
        <v>834</v>
      </c>
      <c r="BI65" s="36" t="s">
        <v>834</v>
      </c>
      <c r="BJ65" s="36" t="s">
        <v>834</v>
      </c>
      <c r="BK65" s="663"/>
    </row>
    <row r="66" spans="1:63">
      <c r="A66" s="551" t="s">
        <v>748</v>
      </c>
      <c r="B66" s="497"/>
      <c r="C66" s="350" t="s">
        <v>58</v>
      </c>
      <c r="D66" s="561" t="s">
        <v>58</v>
      </c>
      <c r="E66" s="561" t="s">
        <v>58</v>
      </c>
      <c r="F66" s="360" t="s">
        <v>58</v>
      </c>
      <c r="G66" s="360" t="s">
        <v>58</v>
      </c>
      <c r="H66" s="360" t="s">
        <v>58</v>
      </c>
      <c r="I66" s="360" t="s">
        <v>58</v>
      </c>
      <c r="J66" s="360" t="s">
        <v>58</v>
      </c>
      <c r="K66" s="36" t="s">
        <v>58</v>
      </c>
      <c r="L66" s="34" t="s">
        <v>58</v>
      </c>
      <c r="M66" s="34" t="s">
        <v>58</v>
      </c>
      <c r="N66" s="360" t="s">
        <v>58</v>
      </c>
      <c r="O66" s="360" t="s">
        <v>58</v>
      </c>
      <c r="P66" s="34" t="s">
        <v>58</v>
      </c>
      <c r="Q66" s="36" t="s">
        <v>58</v>
      </c>
      <c r="R66" s="36" t="s">
        <v>58</v>
      </c>
      <c r="S66" s="36" t="s">
        <v>58</v>
      </c>
      <c r="T66" s="596" t="s">
        <v>837</v>
      </c>
      <c r="U66" s="34" t="s">
        <v>58</v>
      </c>
      <c r="V66" s="34" t="s">
        <v>58</v>
      </c>
      <c r="W66" s="221" t="s">
        <v>58</v>
      </c>
      <c r="X66" s="34" t="s">
        <v>58</v>
      </c>
      <c r="Y66" s="34" t="s">
        <v>58</v>
      </c>
      <c r="Z66" s="34" t="s">
        <v>58</v>
      </c>
      <c r="AA66" s="36" t="s">
        <v>58</v>
      </c>
      <c r="AB66" s="34" t="s">
        <v>58</v>
      </c>
      <c r="AC66" s="34" t="s">
        <v>58</v>
      </c>
      <c r="AD66" s="34" t="s">
        <v>58</v>
      </c>
      <c r="AE66" s="36" t="s">
        <v>58</v>
      </c>
      <c r="AF66" s="34" t="s">
        <v>58</v>
      </c>
      <c r="AG66" s="363" t="s">
        <v>58</v>
      </c>
      <c r="AH66" s="363" t="s">
        <v>58</v>
      </c>
      <c r="AI66" s="363" t="s">
        <v>58</v>
      </c>
      <c r="AJ66" s="36" t="s">
        <v>58</v>
      </c>
      <c r="AK66" s="34" t="s">
        <v>58</v>
      </c>
      <c r="AL66" s="363" t="s">
        <v>58</v>
      </c>
      <c r="AM66" s="363" t="s">
        <v>58</v>
      </c>
      <c r="AN66" s="363" t="s">
        <v>58</v>
      </c>
      <c r="AO66" s="36" t="s">
        <v>58</v>
      </c>
      <c r="AP66" s="34" t="s">
        <v>58</v>
      </c>
      <c r="AQ66" s="34" t="s">
        <v>58</v>
      </c>
      <c r="AR66" s="36" t="s">
        <v>58</v>
      </c>
      <c r="AS66" s="34" t="s">
        <v>58</v>
      </c>
      <c r="AT66" s="34" t="s">
        <v>58</v>
      </c>
      <c r="AU66" s="36" t="s">
        <v>58</v>
      </c>
      <c r="AV66" s="36" t="s">
        <v>58</v>
      </c>
      <c r="AW66" s="36" t="s">
        <v>58</v>
      </c>
      <c r="AX66" s="36" t="s">
        <v>58</v>
      </c>
      <c r="AY66" s="36" t="s">
        <v>58</v>
      </c>
      <c r="AZ66" s="36" t="s">
        <v>58</v>
      </c>
      <c r="BA66" s="36" t="s">
        <v>58</v>
      </c>
      <c r="BB66" s="36" t="s">
        <v>58</v>
      </c>
      <c r="BC66" s="36" t="s">
        <v>58</v>
      </c>
      <c r="BD66" s="36" t="s">
        <v>58</v>
      </c>
      <c r="BE66" s="36" t="s">
        <v>58</v>
      </c>
      <c r="BF66" s="36" t="s">
        <v>58</v>
      </c>
      <c r="BG66" s="36" t="s">
        <v>58</v>
      </c>
      <c r="BH66" s="36" t="s">
        <v>58</v>
      </c>
      <c r="BI66" s="36" t="s">
        <v>58</v>
      </c>
      <c r="BJ66" s="36" t="s">
        <v>58</v>
      </c>
      <c r="BK66" s="663"/>
    </row>
    <row r="67" spans="1:63">
      <c r="A67" s="552" t="s">
        <v>749</v>
      </c>
      <c r="B67" s="125"/>
      <c r="C67" s="666" t="s">
        <v>548</v>
      </c>
      <c r="D67" s="361" t="s">
        <v>8</v>
      </c>
      <c r="E67" s="364" t="s">
        <v>8</v>
      </c>
      <c r="F67" s="364" t="s">
        <v>8</v>
      </c>
      <c r="G67" s="364" t="s">
        <v>8</v>
      </c>
      <c r="H67" s="364" t="s">
        <v>8</v>
      </c>
      <c r="I67" s="364" t="s">
        <v>8</v>
      </c>
      <c r="J67" s="364" t="s">
        <v>8</v>
      </c>
      <c r="K67" s="364" t="s">
        <v>8</v>
      </c>
      <c r="L67" s="361" t="s">
        <v>58</v>
      </c>
      <c r="M67" s="361" t="s">
        <v>58</v>
      </c>
      <c r="N67" s="364" t="s">
        <v>8</v>
      </c>
      <c r="O67" s="364" t="s">
        <v>8</v>
      </c>
      <c r="P67" s="361" t="s">
        <v>58</v>
      </c>
      <c r="Q67" s="364" t="s">
        <v>58</v>
      </c>
      <c r="R67" s="364" t="s">
        <v>58</v>
      </c>
      <c r="S67" s="364" t="s">
        <v>58</v>
      </c>
      <c r="T67" s="364" t="s">
        <v>58</v>
      </c>
      <c r="U67" s="361" t="s">
        <v>8</v>
      </c>
      <c r="V67" s="361" t="s">
        <v>8</v>
      </c>
      <c r="W67" s="667" t="s">
        <v>58</v>
      </c>
      <c r="X67" s="361" t="s">
        <v>8</v>
      </c>
      <c r="Y67" s="364" t="s">
        <v>8</v>
      </c>
      <c r="Z67" s="364" t="s">
        <v>8</v>
      </c>
      <c r="AA67" s="364" t="s">
        <v>8</v>
      </c>
      <c r="AB67" s="364" t="s">
        <v>8</v>
      </c>
      <c r="AC67" s="364" t="s">
        <v>8</v>
      </c>
      <c r="AD67" s="364" t="s">
        <v>8</v>
      </c>
      <c r="AE67" s="364" t="s">
        <v>8</v>
      </c>
      <c r="AF67" s="364" t="s">
        <v>8</v>
      </c>
      <c r="AG67" s="364" t="s">
        <v>58</v>
      </c>
      <c r="AH67" s="364" t="s">
        <v>58</v>
      </c>
      <c r="AI67" s="364" t="s">
        <v>58</v>
      </c>
      <c r="AJ67" s="364" t="s">
        <v>8</v>
      </c>
      <c r="AK67" s="364" t="s">
        <v>8</v>
      </c>
      <c r="AL67" s="364" t="s">
        <v>58</v>
      </c>
      <c r="AM67" s="364" t="s">
        <v>58</v>
      </c>
      <c r="AN67" s="364" t="s">
        <v>58</v>
      </c>
      <c r="AO67" s="364" t="s">
        <v>8</v>
      </c>
      <c r="AP67" s="361" t="s">
        <v>58</v>
      </c>
      <c r="AQ67" s="361" t="s">
        <v>58</v>
      </c>
      <c r="AR67" s="364" t="s">
        <v>58</v>
      </c>
      <c r="AS67" s="361" t="s">
        <v>58</v>
      </c>
      <c r="AT67" s="361" t="s">
        <v>58</v>
      </c>
      <c r="AU67" s="364" t="s">
        <v>58</v>
      </c>
      <c r="AV67" s="364" t="s">
        <v>58</v>
      </c>
      <c r="AW67" s="364" t="s">
        <v>58</v>
      </c>
      <c r="AX67" s="364" t="s">
        <v>58</v>
      </c>
      <c r="AY67" s="364" t="s">
        <v>58</v>
      </c>
      <c r="AZ67" s="364" t="s">
        <v>58</v>
      </c>
      <c r="BA67" s="364" t="s">
        <v>58</v>
      </c>
      <c r="BB67" s="364" t="s">
        <v>8</v>
      </c>
      <c r="BC67" s="364" t="s">
        <v>8</v>
      </c>
      <c r="BD67" s="364" t="s">
        <v>8</v>
      </c>
      <c r="BE67" s="364" t="s">
        <v>8</v>
      </c>
      <c r="BF67" s="364" t="s">
        <v>8</v>
      </c>
      <c r="BG67" s="364" t="s">
        <v>8</v>
      </c>
      <c r="BH67" s="364" t="s">
        <v>8</v>
      </c>
      <c r="BI67" s="873" t="s">
        <v>58</v>
      </c>
      <c r="BJ67" s="364" t="s">
        <v>8</v>
      </c>
      <c r="BK67" s="663"/>
    </row>
    <row r="68" spans="1:63" ht="13.5" customHeight="1">
      <c r="A68" s="549" t="s">
        <v>727</v>
      </c>
      <c r="B68" s="497"/>
      <c r="C68" s="594" t="s">
        <v>58</v>
      </c>
      <c r="D68" s="36" t="s">
        <v>58</v>
      </c>
      <c r="E68" s="36" t="s">
        <v>58</v>
      </c>
      <c r="F68" s="363" t="s">
        <v>58</v>
      </c>
      <c r="G68" s="363" t="s">
        <v>58</v>
      </c>
      <c r="H68" s="363" t="s">
        <v>58</v>
      </c>
      <c r="I68" s="363" t="s">
        <v>58</v>
      </c>
      <c r="J68" s="363" t="s">
        <v>58</v>
      </c>
      <c r="K68" s="36" t="s">
        <v>58</v>
      </c>
      <c r="L68" s="34" t="s">
        <v>58</v>
      </c>
      <c r="M68" s="34" t="s">
        <v>58</v>
      </c>
      <c r="N68" s="363" t="s">
        <v>58</v>
      </c>
      <c r="O68" s="363" t="s">
        <v>58</v>
      </c>
      <c r="P68" s="34" t="s">
        <v>58</v>
      </c>
      <c r="Q68" s="36" t="s">
        <v>58</v>
      </c>
      <c r="R68" s="36" t="s">
        <v>58</v>
      </c>
      <c r="S68" s="36" t="s">
        <v>58</v>
      </c>
      <c r="T68" s="36" t="s">
        <v>58</v>
      </c>
      <c r="U68" s="190" t="s">
        <v>837</v>
      </c>
      <c r="V68" s="190" t="s">
        <v>58</v>
      </c>
      <c r="W68" s="36" t="s">
        <v>58</v>
      </c>
      <c r="X68" s="36" t="s">
        <v>58</v>
      </c>
      <c r="Y68" s="36" t="s">
        <v>58</v>
      </c>
      <c r="Z68" s="36" t="s">
        <v>58</v>
      </c>
      <c r="AA68" s="36" t="s">
        <v>58</v>
      </c>
      <c r="AB68" s="36" t="s">
        <v>58</v>
      </c>
      <c r="AC68" s="36" t="s">
        <v>58</v>
      </c>
      <c r="AD68" s="36" t="s">
        <v>58</v>
      </c>
      <c r="AE68" s="36" t="s">
        <v>58</v>
      </c>
      <c r="AF68" s="36" t="s">
        <v>58</v>
      </c>
      <c r="AG68" s="363" t="s">
        <v>58</v>
      </c>
      <c r="AH68" s="363" t="s">
        <v>58</v>
      </c>
      <c r="AI68" s="363" t="s">
        <v>58</v>
      </c>
      <c r="AJ68" s="36" t="s">
        <v>58</v>
      </c>
      <c r="AK68" s="36" t="s">
        <v>58</v>
      </c>
      <c r="AL68" s="363" t="s">
        <v>58</v>
      </c>
      <c r="AM68" s="363" t="s">
        <v>58</v>
      </c>
      <c r="AN68" s="363" t="s">
        <v>58</v>
      </c>
      <c r="AO68" s="36" t="s">
        <v>58</v>
      </c>
      <c r="AP68" s="36" t="s">
        <v>58</v>
      </c>
      <c r="AQ68" s="36" t="s">
        <v>58</v>
      </c>
      <c r="AR68" s="36" t="s">
        <v>58</v>
      </c>
      <c r="AS68" s="36" t="s">
        <v>58</v>
      </c>
      <c r="AT68" s="36" t="s">
        <v>58</v>
      </c>
      <c r="AU68" s="36" t="s">
        <v>58</v>
      </c>
      <c r="AV68" s="36" t="s">
        <v>58</v>
      </c>
      <c r="AW68" s="36" t="s">
        <v>58</v>
      </c>
      <c r="AX68" s="36" t="s">
        <v>58</v>
      </c>
      <c r="AY68" s="36" t="s">
        <v>58</v>
      </c>
      <c r="AZ68" s="36" t="s">
        <v>58</v>
      </c>
      <c r="BA68" s="36" t="s">
        <v>58</v>
      </c>
      <c r="BB68" s="36" t="s">
        <v>58</v>
      </c>
      <c r="BC68" s="36" t="s">
        <v>58</v>
      </c>
      <c r="BD68" s="36" t="s">
        <v>58</v>
      </c>
      <c r="BE68" s="36" t="s">
        <v>58</v>
      </c>
      <c r="BF68" s="36" t="s">
        <v>58</v>
      </c>
      <c r="BG68" s="36" t="s">
        <v>58</v>
      </c>
      <c r="BH68" s="36" t="s">
        <v>58</v>
      </c>
      <c r="BI68" s="36" t="s">
        <v>58</v>
      </c>
      <c r="BJ68" s="36" t="s">
        <v>58</v>
      </c>
      <c r="BK68" s="1218"/>
    </row>
    <row r="69" spans="1:63" ht="13.5" customHeight="1">
      <c r="A69" s="549" t="s">
        <v>728</v>
      </c>
      <c r="B69" s="694"/>
      <c r="C69" s="594" t="s">
        <v>58</v>
      </c>
      <c r="D69" s="34" t="s">
        <v>58</v>
      </c>
      <c r="E69" s="34" t="s">
        <v>58</v>
      </c>
      <c r="F69" s="363" t="s">
        <v>58</v>
      </c>
      <c r="G69" s="363" t="s">
        <v>58</v>
      </c>
      <c r="H69" s="363" t="s">
        <v>58</v>
      </c>
      <c r="I69" s="363" t="s">
        <v>58</v>
      </c>
      <c r="J69" s="363" t="s">
        <v>58</v>
      </c>
      <c r="K69" s="36" t="s">
        <v>58</v>
      </c>
      <c r="L69" s="34" t="s">
        <v>58</v>
      </c>
      <c r="M69" s="34" t="s">
        <v>58</v>
      </c>
      <c r="N69" s="363" t="s">
        <v>58</v>
      </c>
      <c r="O69" s="363" t="s">
        <v>58</v>
      </c>
      <c r="P69" s="34" t="s">
        <v>58</v>
      </c>
      <c r="Q69" s="36" t="s">
        <v>58</v>
      </c>
      <c r="R69" s="36" t="s">
        <v>58</v>
      </c>
      <c r="S69" s="36" t="s">
        <v>58</v>
      </c>
      <c r="T69" s="36" t="s">
        <v>58</v>
      </c>
      <c r="U69" s="190" t="s">
        <v>58</v>
      </c>
      <c r="V69" s="190" t="s">
        <v>837</v>
      </c>
      <c r="W69" s="36" t="s">
        <v>58</v>
      </c>
      <c r="X69" s="36" t="s">
        <v>58</v>
      </c>
      <c r="Y69" s="36" t="s">
        <v>58</v>
      </c>
      <c r="Z69" s="36" t="s">
        <v>58</v>
      </c>
      <c r="AA69" s="36" t="s">
        <v>58</v>
      </c>
      <c r="AB69" s="36" t="s">
        <v>58</v>
      </c>
      <c r="AC69" s="36" t="s">
        <v>58</v>
      </c>
      <c r="AD69" s="36" t="s">
        <v>58</v>
      </c>
      <c r="AE69" s="36" t="s">
        <v>58</v>
      </c>
      <c r="AF69" s="36" t="s">
        <v>58</v>
      </c>
      <c r="AG69" s="363" t="s">
        <v>58</v>
      </c>
      <c r="AH69" s="363" t="s">
        <v>58</v>
      </c>
      <c r="AI69" s="363" t="s">
        <v>58</v>
      </c>
      <c r="AJ69" s="36" t="s">
        <v>58</v>
      </c>
      <c r="AK69" s="36" t="s">
        <v>58</v>
      </c>
      <c r="AL69" s="363" t="s">
        <v>58</v>
      </c>
      <c r="AM69" s="363" t="s">
        <v>58</v>
      </c>
      <c r="AN69" s="363" t="s">
        <v>58</v>
      </c>
      <c r="AO69" s="36" t="s">
        <v>58</v>
      </c>
      <c r="AP69" s="36" t="s">
        <v>58</v>
      </c>
      <c r="AQ69" s="36" t="s">
        <v>58</v>
      </c>
      <c r="AR69" s="36" t="s">
        <v>58</v>
      </c>
      <c r="AS69" s="36" t="s">
        <v>58</v>
      </c>
      <c r="AT69" s="36" t="s">
        <v>58</v>
      </c>
      <c r="AU69" s="36" t="s">
        <v>58</v>
      </c>
      <c r="AV69" s="36" t="s">
        <v>58</v>
      </c>
      <c r="AW69" s="36" t="s">
        <v>58</v>
      </c>
      <c r="AX69" s="36" t="s">
        <v>58</v>
      </c>
      <c r="AY69" s="36" t="s">
        <v>58</v>
      </c>
      <c r="AZ69" s="36" t="s">
        <v>58</v>
      </c>
      <c r="BA69" s="36" t="s">
        <v>58</v>
      </c>
      <c r="BB69" s="36" t="s">
        <v>58</v>
      </c>
      <c r="BC69" s="36" t="s">
        <v>58</v>
      </c>
      <c r="BD69" s="36" t="s">
        <v>58</v>
      </c>
      <c r="BE69" s="36" t="s">
        <v>58</v>
      </c>
      <c r="BF69" s="36" t="s">
        <v>58</v>
      </c>
      <c r="BG69" s="36" t="s">
        <v>58</v>
      </c>
      <c r="BH69" s="36" t="s">
        <v>58</v>
      </c>
      <c r="BI69" s="36" t="s">
        <v>58</v>
      </c>
      <c r="BJ69" s="36" t="s">
        <v>58</v>
      </c>
      <c r="BK69" s="1043"/>
    </row>
    <row r="70" spans="1:63" ht="13.5" customHeight="1">
      <c r="A70" s="551" t="s">
        <v>750</v>
      </c>
      <c r="B70" s="123"/>
      <c r="C70" s="350" t="s">
        <v>548</v>
      </c>
      <c r="D70" s="34" t="s">
        <v>58</v>
      </c>
      <c r="E70" s="36" t="s">
        <v>58</v>
      </c>
      <c r="F70" s="363" t="s">
        <v>58</v>
      </c>
      <c r="G70" s="363" t="s">
        <v>58</v>
      </c>
      <c r="H70" s="363" t="s">
        <v>58</v>
      </c>
      <c r="I70" s="363" t="s">
        <v>58</v>
      </c>
      <c r="J70" s="363" t="s">
        <v>58</v>
      </c>
      <c r="K70" s="36" t="s">
        <v>58</v>
      </c>
      <c r="L70" s="34" t="s">
        <v>58</v>
      </c>
      <c r="M70" s="34" t="s">
        <v>58</v>
      </c>
      <c r="N70" s="363" t="s">
        <v>58</v>
      </c>
      <c r="O70" s="363" t="s">
        <v>58</v>
      </c>
      <c r="P70" s="34" t="s">
        <v>58</v>
      </c>
      <c r="Q70" s="36" t="s">
        <v>58</v>
      </c>
      <c r="R70" s="36" t="s">
        <v>58</v>
      </c>
      <c r="S70" s="36" t="s">
        <v>58</v>
      </c>
      <c r="T70" s="36" t="s">
        <v>58</v>
      </c>
      <c r="U70" s="34" t="s">
        <v>58</v>
      </c>
      <c r="V70" s="34" t="s">
        <v>58</v>
      </c>
      <c r="W70" s="222" t="s">
        <v>58</v>
      </c>
      <c r="X70" s="34" t="s">
        <v>649</v>
      </c>
      <c r="Y70" s="36" t="s">
        <v>58</v>
      </c>
      <c r="Z70" s="36" t="s">
        <v>58</v>
      </c>
      <c r="AA70" s="36" t="s">
        <v>58</v>
      </c>
      <c r="AB70" s="36" t="s">
        <v>58</v>
      </c>
      <c r="AC70" s="36" t="s">
        <v>58</v>
      </c>
      <c r="AD70" s="36" t="s">
        <v>58</v>
      </c>
      <c r="AE70" s="36" t="s">
        <v>58</v>
      </c>
      <c r="AF70" s="36" t="s">
        <v>58</v>
      </c>
      <c r="AG70" s="363" t="s">
        <v>58</v>
      </c>
      <c r="AH70" s="363" t="s">
        <v>58</v>
      </c>
      <c r="AI70" s="363" t="s">
        <v>58</v>
      </c>
      <c r="AJ70" s="36" t="s">
        <v>58</v>
      </c>
      <c r="AK70" s="36" t="s">
        <v>58</v>
      </c>
      <c r="AL70" s="363" t="s">
        <v>58</v>
      </c>
      <c r="AM70" s="363" t="s">
        <v>58</v>
      </c>
      <c r="AN70" s="363" t="s">
        <v>58</v>
      </c>
      <c r="AO70" s="36" t="s">
        <v>58</v>
      </c>
      <c r="AP70" s="34" t="s">
        <v>58</v>
      </c>
      <c r="AQ70" s="34" t="s">
        <v>58</v>
      </c>
      <c r="AR70" s="36" t="s">
        <v>58</v>
      </c>
      <c r="AS70" s="34" t="s">
        <v>58</v>
      </c>
      <c r="AT70" s="34" t="s">
        <v>58</v>
      </c>
      <c r="AU70" s="36" t="s">
        <v>58</v>
      </c>
      <c r="AV70" s="36" t="s">
        <v>58</v>
      </c>
      <c r="AW70" s="36" t="s">
        <v>58</v>
      </c>
      <c r="AX70" s="36" t="s">
        <v>58</v>
      </c>
      <c r="AY70" s="36" t="s">
        <v>58</v>
      </c>
      <c r="AZ70" s="36" t="s">
        <v>58</v>
      </c>
      <c r="BA70" s="36" t="s">
        <v>58</v>
      </c>
      <c r="BB70" s="36" t="s">
        <v>58</v>
      </c>
      <c r="BC70" s="36" t="s">
        <v>58</v>
      </c>
      <c r="BD70" s="36" t="s">
        <v>58</v>
      </c>
      <c r="BE70" s="36" t="s">
        <v>58</v>
      </c>
      <c r="BF70" s="36" t="s">
        <v>58</v>
      </c>
      <c r="BG70" s="36" t="s">
        <v>58</v>
      </c>
      <c r="BH70" s="36" t="s">
        <v>58</v>
      </c>
      <c r="BI70" s="36" t="s">
        <v>58</v>
      </c>
      <c r="BJ70" s="36" t="s">
        <v>58</v>
      </c>
      <c r="BK70" s="1043"/>
    </row>
    <row r="71" spans="1:63">
      <c r="A71" s="551" t="s">
        <v>751</v>
      </c>
      <c r="B71" s="191"/>
      <c r="C71" s="484" t="s">
        <v>548</v>
      </c>
      <c r="D71" s="34" t="s">
        <v>58</v>
      </c>
      <c r="E71" s="36" t="s">
        <v>58</v>
      </c>
      <c r="F71" s="363" t="s">
        <v>58</v>
      </c>
      <c r="G71" s="363" t="s">
        <v>58</v>
      </c>
      <c r="H71" s="363" t="s">
        <v>58</v>
      </c>
      <c r="I71" s="363" t="s">
        <v>58</v>
      </c>
      <c r="J71" s="363" t="s">
        <v>58</v>
      </c>
      <c r="K71" s="36" t="s">
        <v>58</v>
      </c>
      <c r="L71" s="34" t="s">
        <v>58</v>
      </c>
      <c r="M71" s="34" t="s">
        <v>58</v>
      </c>
      <c r="N71" s="363" t="s">
        <v>58</v>
      </c>
      <c r="O71" s="363" t="s">
        <v>58</v>
      </c>
      <c r="P71" s="34" t="s">
        <v>58</v>
      </c>
      <c r="Q71" s="36" t="s">
        <v>58</v>
      </c>
      <c r="R71" s="36" t="s">
        <v>58</v>
      </c>
      <c r="S71" s="36" t="s">
        <v>58</v>
      </c>
      <c r="T71" s="36" t="s">
        <v>58</v>
      </c>
      <c r="U71" s="34" t="s">
        <v>58</v>
      </c>
      <c r="V71" s="34" t="s">
        <v>58</v>
      </c>
      <c r="W71" s="222" t="s">
        <v>58</v>
      </c>
      <c r="X71" s="36" t="s">
        <v>58</v>
      </c>
      <c r="Y71" s="34" t="s">
        <v>649</v>
      </c>
      <c r="Z71" s="36" t="s">
        <v>58</v>
      </c>
      <c r="AA71" s="36" t="s">
        <v>58</v>
      </c>
      <c r="AB71" s="36" t="s">
        <v>58</v>
      </c>
      <c r="AC71" s="36" t="s">
        <v>58</v>
      </c>
      <c r="AD71" s="36" t="s">
        <v>58</v>
      </c>
      <c r="AE71" s="36" t="s">
        <v>58</v>
      </c>
      <c r="AF71" s="36" t="s">
        <v>58</v>
      </c>
      <c r="AG71" s="363" t="s">
        <v>58</v>
      </c>
      <c r="AH71" s="363" t="s">
        <v>58</v>
      </c>
      <c r="AI71" s="363" t="s">
        <v>58</v>
      </c>
      <c r="AJ71" s="36" t="s">
        <v>58</v>
      </c>
      <c r="AK71" s="36" t="s">
        <v>58</v>
      </c>
      <c r="AL71" s="363" t="s">
        <v>58</v>
      </c>
      <c r="AM71" s="363" t="s">
        <v>58</v>
      </c>
      <c r="AN71" s="363" t="s">
        <v>58</v>
      </c>
      <c r="AO71" s="36" t="s">
        <v>58</v>
      </c>
      <c r="AP71" s="34" t="s">
        <v>58</v>
      </c>
      <c r="AQ71" s="34" t="s">
        <v>58</v>
      </c>
      <c r="AR71" s="36" t="s">
        <v>58</v>
      </c>
      <c r="AS71" s="34" t="s">
        <v>58</v>
      </c>
      <c r="AT71" s="34" t="s">
        <v>58</v>
      </c>
      <c r="AU71" s="36" t="s">
        <v>58</v>
      </c>
      <c r="AV71" s="36" t="s">
        <v>58</v>
      </c>
      <c r="AW71" s="36" t="s">
        <v>58</v>
      </c>
      <c r="AX71" s="36" t="s">
        <v>58</v>
      </c>
      <c r="AY71" s="36" t="s">
        <v>58</v>
      </c>
      <c r="AZ71" s="36" t="s">
        <v>58</v>
      </c>
      <c r="BA71" s="36" t="s">
        <v>58</v>
      </c>
      <c r="BB71" s="36" t="s">
        <v>58</v>
      </c>
      <c r="BC71" s="36" t="s">
        <v>58</v>
      </c>
      <c r="BD71" s="36" t="s">
        <v>58</v>
      </c>
      <c r="BE71" s="36" t="s">
        <v>58</v>
      </c>
      <c r="BF71" s="36" t="s">
        <v>58</v>
      </c>
      <c r="BG71" s="36" t="s">
        <v>58</v>
      </c>
      <c r="BH71" s="36" t="s">
        <v>58</v>
      </c>
      <c r="BI71" s="36" t="s">
        <v>58</v>
      </c>
      <c r="BJ71" s="36" t="s">
        <v>58</v>
      </c>
      <c r="BK71" s="1043"/>
    </row>
    <row r="72" spans="1:63">
      <c r="A72" s="551" t="s">
        <v>752</v>
      </c>
      <c r="B72" s="123"/>
      <c r="C72" s="350" t="s">
        <v>548</v>
      </c>
      <c r="D72" s="34" t="s">
        <v>58</v>
      </c>
      <c r="E72" s="36" t="s">
        <v>58</v>
      </c>
      <c r="F72" s="363" t="s">
        <v>58</v>
      </c>
      <c r="G72" s="363" t="s">
        <v>58</v>
      </c>
      <c r="H72" s="363" t="s">
        <v>58</v>
      </c>
      <c r="I72" s="363" t="s">
        <v>58</v>
      </c>
      <c r="J72" s="363" t="s">
        <v>58</v>
      </c>
      <c r="K72" s="36" t="s">
        <v>58</v>
      </c>
      <c r="L72" s="34" t="s">
        <v>58</v>
      </c>
      <c r="M72" s="34" t="s">
        <v>58</v>
      </c>
      <c r="N72" s="363" t="s">
        <v>58</v>
      </c>
      <c r="O72" s="363" t="s">
        <v>58</v>
      </c>
      <c r="P72" s="34" t="s">
        <v>58</v>
      </c>
      <c r="Q72" s="36" t="s">
        <v>58</v>
      </c>
      <c r="R72" s="36" t="s">
        <v>58</v>
      </c>
      <c r="S72" s="36" t="s">
        <v>58</v>
      </c>
      <c r="T72" s="36" t="s">
        <v>58</v>
      </c>
      <c r="U72" s="34" t="s">
        <v>58</v>
      </c>
      <c r="V72" s="34" t="s">
        <v>58</v>
      </c>
      <c r="W72" s="222" t="s">
        <v>58</v>
      </c>
      <c r="X72" s="36" t="s">
        <v>58</v>
      </c>
      <c r="Y72" s="36" t="s">
        <v>58</v>
      </c>
      <c r="Z72" s="34" t="s">
        <v>649</v>
      </c>
      <c r="AA72" s="36" t="s">
        <v>58</v>
      </c>
      <c r="AB72" s="36" t="s">
        <v>58</v>
      </c>
      <c r="AC72" s="36" t="s">
        <v>58</v>
      </c>
      <c r="AD72" s="36" t="s">
        <v>58</v>
      </c>
      <c r="AE72" s="36" t="s">
        <v>58</v>
      </c>
      <c r="AF72" s="36" t="s">
        <v>58</v>
      </c>
      <c r="AG72" s="363" t="s">
        <v>58</v>
      </c>
      <c r="AH72" s="363" t="s">
        <v>58</v>
      </c>
      <c r="AI72" s="363" t="s">
        <v>58</v>
      </c>
      <c r="AJ72" s="36" t="s">
        <v>58</v>
      </c>
      <c r="AK72" s="36" t="s">
        <v>58</v>
      </c>
      <c r="AL72" s="363" t="s">
        <v>58</v>
      </c>
      <c r="AM72" s="363" t="s">
        <v>58</v>
      </c>
      <c r="AN72" s="363" t="s">
        <v>58</v>
      </c>
      <c r="AO72" s="36" t="s">
        <v>58</v>
      </c>
      <c r="AP72" s="34" t="s">
        <v>58</v>
      </c>
      <c r="AQ72" s="34" t="s">
        <v>58</v>
      </c>
      <c r="AR72" s="36" t="s">
        <v>58</v>
      </c>
      <c r="AS72" s="34" t="s">
        <v>58</v>
      </c>
      <c r="AT72" s="34" t="s">
        <v>58</v>
      </c>
      <c r="AU72" s="36" t="s">
        <v>58</v>
      </c>
      <c r="AV72" s="36" t="s">
        <v>58</v>
      </c>
      <c r="AW72" s="36" t="s">
        <v>58</v>
      </c>
      <c r="AX72" s="36" t="s">
        <v>58</v>
      </c>
      <c r="AY72" s="36" t="s">
        <v>58</v>
      </c>
      <c r="AZ72" s="36" t="s">
        <v>58</v>
      </c>
      <c r="BA72" s="36" t="s">
        <v>58</v>
      </c>
      <c r="BB72" s="36" t="s">
        <v>58</v>
      </c>
      <c r="BC72" s="36" t="s">
        <v>58</v>
      </c>
      <c r="BD72" s="36" t="s">
        <v>58</v>
      </c>
      <c r="BE72" s="36" t="s">
        <v>58</v>
      </c>
      <c r="BF72" s="36" t="s">
        <v>58</v>
      </c>
      <c r="BG72" s="36" t="s">
        <v>58</v>
      </c>
      <c r="BH72" s="36" t="s">
        <v>58</v>
      </c>
      <c r="BI72" s="36" t="s">
        <v>58</v>
      </c>
      <c r="BJ72" s="36" t="s">
        <v>58</v>
      </c>
      <c r="BK72" s="1043"/>
    </row>
    <row r="73" spans="1:63">
      <c r="A73" s="551" t="s">
        <v>753</v>
      </c>
      <c r="B73" s="123"/>
      <c r="C73" s="350" t="s">
        <v>548</v>
      </c>
      <c r="D73" s="34" t="s">
        <v>58</v>
      </c>
      <c r="E73" s="36" t="s">
        <v>58</v>
      </c>
      <c r="F73" s="363" t="s">
        <v>58</v>
      </c>
      <c r="G73" s="363" t="s">
        <v>58</v>
      </c>
      <c r="H73" s="363" t="s">
        <v>58</v>
      </c>
      <c r="I73" s="363" t="s">
        <v>58</v>
      </c>
      <c r="J73" s="363" t="s">
        <v>58</v>
      </c>
      <c r="K73" s="36" t="s">
        <v>58</v>
      </c>
      <c r="L73" s="34" t="s">
        <v>58</v>
      </c>
      <c r="M73" s="34" t="s">
        <v>58</v>
      </c>
      <c r="N73" s="363" t="s">
        <v>58</v>
      </c>
      <c r="O73" s="363" t="s">
        <v>58</v>
      </c>
      <c r="P73" s="34" t="s">
        <v>58</v>
      </c>
      <c r="Q73" s="36" t="s">
        <v>58</v>
      </c>
      <c r="R73" s="36" t="s">
        <v>58</v>
      </c>
      <c r="S73" s="36" t="s">
        <v>58</v>
      </c>
      <c r="T73" s="36" t="s">
        <v>58</v>
      </c>
      <c r="U73" s="34" t="s">
        <v>58</v>
      </c>
      <c r="V73" s="34" t="s">
        <v>58</v>
      </c>
      <c r="W73" s="222" t="s">
        <v>58</v>
      </c>
      <c r="X73" s="36" t="s">
        <v>58</v>
      </c>
      <c r="Y73" s="36" t="s">
        <v>58</v>
      </c>
      <c r="Z73" s="36" t="s">
        <v>58</v>
      </c>
      <c r="AA73" s="34" t="s">
        <v>649</v>
      </c>
      <c r="AB73" s="36" t="s">
        <v>58</v>
      </c>
      <c r="AC73" s="36" t="s">
        <v>58</v>
      </c>
      <c r="AD73" s="36" t="s">
        <v>58</v>
      </c>
      <c r="AE73" s="36" t="s">
        <v>58</v>
      </c>
      <c r="AF73" s="36" t="s">
        <v>58</v>
      </c>
      <c r="AG73" s="363" t="s">
        <v>58</v>
      </c>
      <c r="AH73" s="363" t="s">
        <v>58</v>
      </c>
      <c r="AI73" s="363" t="s">
        <v>58</v>
      </c>
      <c r="AJ73" s="36" t="s">
        <v>58</v>
      </c>
      <c r="AK73" s="36" t="s">
        <v>58</v>
      </c>
      <c r="AL73" s="363" t="s">
        <v>58</v>
      </c>
      <c r="AM73" s="363" t="s">
        <v>58</v>
      </c>
      <c r="AN73" s="363" t="s">
        <v>58</v>
      </c>
      <c r="AO73" s="36" t="s">
        <v>58</v>
      </c>
      <c r="AP73" s="34" t="s">
        <v>58</v>
      </c>
      <c r="AQ73" s="34" t="s">
        <v>58</v>
      </c>
      <c r="AR73" s="36" t="s">
        <v>58</v>
      </c>
      <c r="AS73" s="34" t="s">
        <v>58</v>
      </c>
      <c r="AT73" s="34" t="s">
        <v>58</v>
      </c>
      <c r="AU73" s="36" t="s">
        <v>58</v>
      </c>
      <c r="AV73" s="36" t="s">
        <v>58</v>
      </c>
      <c r="AW73" s="36" t="s">
        <v>58</v>
      </c>
      <c r="AX73" s="36" t="s">
        <v>58</v>
      </c>
      <c r="AY73" s="36" t="s">
        <v>58</v>
      </c>
      <c r="AZ73" s="36" t="s">
        <v>58</v>
      </c>
      <c r="BA73" s="36" t="s">
        <v>58</v>
      </c>
      <c r="BB73" s="36" t="s">
        <v>58</v>
      </c>
      <c r="BC73" s="36" t="s">
        <v>58</v>
      </c>
      <c r="BD73" s="36" t="s">
        <v>58</v>
      </c>
      <c r="BE73" s="36" t="s">
        <v>58</v>
      </c>
      <c r="BF73" s="36" t="s">
        <v>58</v>
      </c>
      <c r="BG73" s="36" t="s">
        <v>58</v>
      </c>
      <c r="BH73" s="36" t="s">
        <v>58</v>
      </c>
      <c r="BI73" s="36" t="s">
        <v>58</v>
      </c>
      <c r="BJ73" s="36" t="s">
        <v>58</v>
      </c>
      <c r="BK73" s="1043"/>
    </row>
    <row r="74" spans="1:63">
      <c r="A74" s="552" t="s">
        <v>754</v>
      </c>
      <c r="B74" s="124"/>
      <c r="C74" s="490" t="s">
        <v>548</v>
      </c>
      <c r="D74" s="360" t="s">
        <v>58</v>
      </c>
      <c r="E74" s="360" t="s">
        <v>58</v>
      </c>
      <c r="F74" s="360" t="s">
        <v>58</v>
      </c>
      <c r="G74" s="360" t="s">
        <v>58</v>
      </c>
      <c r="H74" s="360" t="s">
        <v>58</v>
      </c>
      <c r="I74" s="360" t="s">
        <v>58</v>
      </c>
      <c r="J74" s="360" t="s">
        <v>58</v>
      </c>
      <c r="K74" s="363" t="s">
        <v>58</v>
      </c>
      <c r="L74" s="360" t="s">
        <v>58</v>
      </c>
      <c r="M74" s="360" t="s">
        <v>58</v>
      </c>
      <c r="N74" s="360" t="s">
        <v>58</v>
      </c>
      <c r="O74" s="360" t="s">
        <v>58</v>
      </c>
      <c r="P74" s="360" t="s">
        <v>58</v>
      </c>
      <c r="Q74" s="363" t="s">
        <v>58</v>
      </c>
      <c r="R74" s="363" t="s">
        <v>58</v>
      </c>
      <c r="S74" s="363" t="s">
        <v>58</v>
      </c>
      <c r="T74" s="363" t="s">
        <v>58</v>
      </c>
      <c r="U74" s="360" t="s">
        <v>58</v>
      </c>
      <c r="V74" s="360" t="s">
        <v>58</v>
      </c>
      <c r="W74" s="493" t="s">
        <v>58</v>
      </c>
      <c r="X74" s="360" t="s">
        <v>58</v>
      </c>
      <c r="Y74" s="360" t="s">
        <v>58</v>
      </c>
      <c r="Z74" s="360" t="s">
        <v>58</v>
      </c>
      <c r="AA74" s="363" t="s">
        <v>58</v>
      </c>
      <c r="AB74" s="360" t="s">
        <v>58</v>
      </c>
      <c r="AC74" s="360" t="s">
        <v>58</v>
      </c>
      <c r="AD74" s="360" t="s">
        <v>58</v>
      </c>
      <c r="AE74" s="363" t="s">
        <v>58</v>
      </c>
      <c r="AF74" s="360" t="s">
        <v>58</v>
      </c>
      <c r="AG74" s="363" t="s">
        <v>58</v>
      </c>
      <c r="AH74" s="363" t="s">
        <v>58</v>
      </c>
      <c r="AI74" s="363" t="s">
        <v>58</v>
      </c>
      <c r="AJ74" s="363" t="s">
        <v>58</v>
      </c>
      <c r="AK74" s="360" t="s">
        <v>58</v>
      </c>
      <c r="AL74" s="363" t="s">
        <v>58</v>
      </c>
      <c r="AM74" s="363" t="s">
        <v>58</v>
      </c>
      <c r="AN74" s="363" t="s">
        <v>58</v>
      </c>
      <c r="AO74" s="363" t="s">
        <v>58</v>
      </c>
      <c r="AP74" s="360" t="s">
        <v>58</v>
      </c>
      <c r="AQ74" s="360" t="s">
        <v>58</v>
      </c>
      <c r="AR74" s="363" t="s">
        <v>58</v>
      </c>
      <c r="AS74" s="360" t="s">
        <v>58</v>
      </c>
      <c r="AT74" s="360" t="s">
        <v>58</v>
      </c>
      <c r="AU74" s="363" t="s">
        <v>58</v>
      </c>
      <c r="AV74" s="363" t="s">
        <v>58</v>
      </c>
      <c r="AW74" s="363" t="s">
        <v>58</v>
      </c>
      <c r="AX74" s="363" t="s">
        <v>58</v>
      </c>
      <c r="AY74" s="363" t="s">
        <v>58</v>
      </c>
      <c r="AZ74" s="363" t="s">
        <v>58</v>
      </c>
      <c r="BA74" s="363" t="s">
        <v>58</v>
      </c>
      <c r="BB74" s="363" t="s">
        <v>58</v>
      </c>
      <c r="BC74" s="363" t="s">
        <v>58</v>
      </c>
      <c r="BD74" s="363" t="s">
        <v>58</v>
      </c>
      <c r="BE74" s="363" t="s">
        <v>58</v>
      </c>
      <c r="BF74" s="363" t="s">
        <v>58</v>
      </c>
      <c r="BG74" s="363" t="s">
        <v>58</v>
      </c>
      <c r="BH74" s="363" t="s">
        <v>58</v>
      </c>
      <c r="BI74" s="837" t="s">
        <v>58</v>
      </c>
      <c r="BJ74" s="363" t="s">
        <v>58</v>
      </c>
      <c r="BK74" s="1043"/>
    </row>
    <row r="75" spans="1:63">
      <c r="A75" s="552" t="s">
        <v>755</v>
      </c>
      <c r="B75" s="124"/>
      <c r="C75" s="490" t="s">
        <v>548</v>
      </c>
      <c r="D75" s="360" t="s">
        <v>58</v>
      </c>
      <c r="E75" s="360" t="s">
        <v>58</v>
      </c>
      <c r="F75" s="360" t="s">
        <v>58</v>
      </c>
      <c r="G75" s="360" t="s">
        <v>58</v>
      </c>
      <c r="H75" s="360" t="s">
        <v>58</v>
      </c>
      <c r="I75" s="360" t="s">
        <v>58</v>
      </c>
      <c r="J75" s="360" t="s">
        <v>58</v>
      </c>
      <c r="K75" s="363" t="s">
        <v>58</v>
      </c>
      <c r="L75" s="360" t="s">
        <v>58</v>
      </c>
      <c r="M75" s="360" t="s">
        <v>58</v>
      </c>
      <c r="N75" s="360" t="s">
        <v>58</v>
      </c>
      <c r="O75" s="360" t="s">
        <v>58</v>
      </c>
      <c r="P75" s="360" t="s">
        <v>58</v>
      </c>
      <c r="Q75" s="363" t="s">
        <v>58</v>
      </c>
      <c r="R75" s="363" t="s">
        <v>58</v>
      </c>
      <c r="S75" s="363" t="s">
        <v>58</v>
      </c>
      <c r="T75" s="363" t="s">
        <v>58</v>
      </c>
      <c r="U75" s="360" t="s">
        <v>58</v>
      </c>
      <c r="V75" s="360" t="s">
        <v>58</v>
      </c>
      <c r="W75" s="493" t="s">
        <v>58</v>
      </c>
      <c r="X75" s="360" t="s">
        <v>58</v>
      </c>
      <c r="Y75" s="360" t="s">
        <v>58</v>
      </c>
      <c r="Z75" s="360" t="s">
        <v>58</v>
      </c>
      <c r="AA75" s="363" t="s">
        <v>58</v>
      </c>
      <c r="AB75" s="360" t="s">
        <v>58</v>
      </c>
      <c r="AC75" s="360" t="s">
        <v>58</v>
      </c>
      <c r="AD75" s="360" t="s">
        <v>58</v>
      </c>
      <c r="AE75" s="363" t="s">
        <v>58</v>
      </c>
      <c r="AF75" s="360" t="s">
        <v>58</v>
      </c>
      <c r="AG75" s="363" t="s">
        <v>58</v>
      </c>
      <c r="AH75" s="363" t="s">
        <v>58</v>
      </c>
      <c r="AI75" s="363" t="s">
        <v>58</v>
      </c>
      <c r="AJ75" s="363" t="s">
        <v>58</v>
      </c>
      <c r="AK75" s="360" t="s">
        <v>58</v>
      </c>
      <c r="AL75" s="363" t="s">
        <v>58</v>
      </c>
      <c r="AM75" s="363" t="s">
        <v>58</v>
      </c>
      <c r="AN75" s="363" t="s">
        <v>58</v>
      </c>
      <c r="AO75" s="363" t="s">
        <v>58</v>
      </c>
      <c r="AP75" s="360" t="s">
        <v>58</v>
      </c>
      <c r="AQ75" s="360" t="s">
        <v>58</v>
      </c>
      <c r="AR75" s="363" t="s">
        <v>58</v>
      </c>
      <c r="AS75" s="360" t="s">
        <v>58</v>
      </c>
      <c r="AT75" s="360" t="s">
        <v>58</v>
      </c>
      <c r="AU75" s="363" t="s">
        <v>58</v>
      </c>
      <c r="AV75" s="363" t="s">
        <v>58</v>
      </c>
      <c r="AW75" s="363" t="s">
        <v>58</v>
      </c>
      <c r="AX75" s="363" t="s">
        <v>58</v>
      </c>
      <c r="AY75" s="363" t="s">
        <v>58</v>
      </c>
      <c r="AZ75" s="363" t="s">
        <v>58</v>
      </c>
      <c r="BA75" s="363" t="s">
        <v>58</v>
      </c>
      <c r="BB75" s="363" t="s">
        <v>58</v>
      </c>
      <c r="BC75" s="363" t="s">
        <v>58</v>
      </c>
      <c r="BD75" s="363" t="s">
        <v>58</v>
      </c>
      <c r="BE75" s="363" t="s">
        <v>58</v>
      </c>
      <c r="BF75" s="363" t="s">
        <v>58</v>
      </c>
      <c r="BG75" s="363" t="s">
        <v>58</v>
      </c>
      <c r="BH75" s="363" t="s">
        <v>58</v>
      </c>
      <c r="BI75" s="837" t="s">
        <v>58</v>
      </c>
      <c r="BJ75" s="363" t="s">
        <v>58</v>
      </c>
      <c r="BK75" s="1043"/>
    </row>
    <row r="76" spans="1:63">
      <c r="A76" s="552" t="s">
        <v>756</v>
      </c>
      <c r="B76" s="124"/>
      <c r="C76" s="490" t="s">
        <v>548</v>
      </c>
      <c r="D76" s="360" t="s">
        <v>58</v>
      </c>
      <c r="E76" s="363" t="s">
        <v>58</v>
      </c>
      <c r="F76" s="363" t="s">
        <v>58</v>
      </c>
      <c r="G76" s="363" t="s">
        <v>58</v>
      </c>
      <c r="H76" s="363" t="s">
        <v>58</v>
      </c>
      <c r="I76" s="363" t="s">
        <v>58</v>
      </c>
      <c r="J76" s="363" t="s">
        <v>58</v>
      </c>
      <c r="K76" s="363" t="s">
        <v>58</v>
      </c>
      <c r="L76" s="360" t="s">
        <v>58</v>
      </c>
      <c r="M76" s="360" t="s">
        <v>58</v>
      </c>
      <c r="N76" s="363" t="s">
        <v>58</v>
      </c>
      <c r="O76" s="363" t="s">
        <v>58</v>
      </c>
      <c r="P76" s="360" t="s">
        <v>58</v>
      </c>
      <c r="Q76" s="363" t="s">
        <v>58</v>
      </c>
      <c r="R76" s="363" t="s">
        <v>58</v>
      </c>
      <c r="S76" s="363" t="s">
        <v>58</v>
      </c>
      <c r="T76" s="363" t="s">
        <v>58</v>
      </c>
      <c r="U76" s="360" t="s">
        <v>58</v>
      </c>
      <c r="V76" s="360" t="s">
        <v>58</v>
      </c>
      <c r="W76" s="481" t="s">
        <v>58</v>
      </c>
      <c r="X76" s="363" t="s">
        <v>58</v>
      </c>
      <c r="Y76" s="363" t="s">
        <v>58</v>
      </c>
      <c r="Z76" s="363" t="s">
        <v>58</v>
      </c>
      <c r="AA76" s="363" t="s">
        <v>58</v>
      </c>
      <c r="AB76" s="363" t="s">
        <v>58</v>
      </c>
      <c r="AC76" s="363" t="s">
        <v>58</v>
      </c>
      <c r="AD76" s="363" t="s">
        <v>58</v>
      </c>
      <c r="AE76" s="363" t="s">
        <v>58</v>
      </c>
      <c r="AF76" s="363" t="s">
        <v>58</v>
      </c>
      <c r="AG76" s="363" t="s">
        <v>58</v>
      </c>
      <c r="AH76" s="363" t="s">
        <v>58</v>
      </c>
      <c r="AI76" s="363" t="s">
        <v>58</v>
      </c>
      <c r="AJ76" s="363" t="s">
        <v>58</v>
      </c>
      <c r="AK76" s="363" t="s">
        <v>58</v>
      </c>
      <c r="AL76" s="363" t="s">
        <v>58</v>
      </c>
      <c r="AM76" s="363" t="s">
        <v>58</v>
      </c>
      <c r="AN76" s="363" t="s">
        <v>58</v>
      </c>
      <c r="AO76" s="363" t="s">
        <v>58</v>
      </c>
      <c r="AP76" s="360" t="s">
        <v>58</v>
      </c>
      <c r="AQ76" s="360" t="s">
        <v>58</v>
      </c>
      <c r="AR76" s="363" t="s">
        <v>58</v>
      </c>
      <c r="AS76" s="360" t="s">
        <v>58</v>
      </c>
      <c r="AT76" s="360" t="s">
        <v>58</v>
      </c>
      <c r="AU76" s="363" t="s">
        <v>58</v>
      </c>
      <c r="AV76" s="363" t="s">
        <v>58</v>
      </c>
      <c r="AW76" s="363" t="s">
        <v>58</v>
      </c>
      <c r="AX76" s="363" t="s">
        <v>58</v>
      </c>
      <c r="AY76" s="363" t="s">
        <v>58</v>
      </c>
      <c r="AZ76" s="363" t="s">
        <v>58</v>
      </c>
      <c r="BA76" s="363" t="s">
        <v>58</v>
      </c>
      <c r="BB76" s="363" t="s">
        <v>58</v>
      </c>
      <c r="BC76" s="363" t="s">
        <v>58</v>
      </c>
      <c r="BD76" s="363" t="s">
        <v>58</v>
      </c>
      <c r="BE76" s="363" t="s">
        <v>58</v>
      </c>
      <c r="BF76" s="363" t="s">
        <v>58</v>
      </c>
      <c r="BG76" s="363" t="s">
        <v>58</v>
      </c>
      <c r="BH76" s="363" t="s">
        <v>58</v>
      </c>
      <c r="BI76" s="837" t="s">
        <v>58</v>
      </c>
      <c r="BJ76" s="363" t="s">
        <v>58</v>
      </c>
      <c r="BK76" s="1043"/>
    </row>
    <row r="77" spans="1:63">
      <c r="A77" s="552" t="s">
        <v>757</v>
      </c>
      <c r="B77" s="124"/>
      <c r="C77" s="490" t="s">
        <v>548</v>
      </c>
      <c r="D77" s="360" t="s">
        <v>58</v>
      </c>
      <c r="E77" s="363" t="s">
        <v>58</v>
      </c>
      <c r="F77" s="363" t="s">
        <v>58</v>
      </c>
      <c r="G77" s="363" t="s">
        <v>58</v>
      </c>
      <c r="H77" s="363" t="s">
        <v>58</v>
      </c>
      <c r="I77" s="363" t="s">
        <v>58</v>
      </c>
      <c r="J77" s="363" t="s">
        <v>58</v>
      </c>
      <c r="K77" s="363" t="s">
        <v>58</v>
      </c>
      <c r="L77" s="360" t="s">
        <v>58</v>
      </c>
      <c r="M77" s="360" t="s">
        <v>58</v>
      </c>
      <c r="N77" s="363" t="s">
        <v>58</v>
      </c>
      <c r="O77" s="363" t="s">
        <v>58</v>
      </c>
      <c r="P77" s="360" t="s">
        <v>58</v>
      </c>
      <c r="Q77" s="363" t="s">
        <v>58</v>
      </c>
      <c r="R77" s="363" t="s">
        <v>58</v>
      </c>
      <c r="S77" s="363" t="s">
        <v>58</v>
      </c>
      <c r="T77" s="363" t="s">
        <v>58</v>
      </c>
      <c r="U77" s="360" t="s">
        <v>58</v>
      </c>
      <c r="V77" s="360" t="s">
        <v>58</v>
      </c>
      <c r="W77" s="481" t="s">
        <v>58</v>
      </c>
      <c r="X77" s="363" t="s">
        <v>58</v>
      </c>
      <c r="Y77" s="363" t="s">
        <v>58</v>
      </c>
      <c r="Z77" s="363" t="s">
        <v>58</v>
      </c>
      <c r="AA77" s="363" t="s">
        <v>58</v>
      </c>
      <c r="AB77" s="363" t="s">
        <v>58</v>
      </c>
      <c r="AC77" s="363" t="s">
        <v>58</v>
      </c>
      <c r="AD77" s="363" t="s">
        <v>58</v>
      </c>
      <c r="AE77" s="363" t="s">
        <v>58</v>
      </c>
      <c r="AF77" s="363" t="s">
        <v>58</v>
      </c>
      <c r="AG77" s="363" t="s">
        <v>58</v>
      </c>
      <c r="AH77" s="363" t="s">
        <v>58</v>
      </c>
      <c r="AI77" s="363" t="s">
        <v>58</v>
      </c>
      <c r="AJ77" s="363" t="s">
        <v>58</v>
      </c>
      <c r="AK77" s="363" t="s">
        <v>58</v>
      </c>
      <c r="AL77" s="363" t="s">
        <v>58</v>
      </c>
      <c r="AM77" s="363" t="s">
        <v>58</v>
      </c>
      <c r="AN77" s="363" t="s">
        <v>58</v>
      </c>
      <c r="AO77" s="363" t="s">
        <v>58</v>
      </c>
      <c r="AP77" s="360" t="s">
        <v>58</v>
      </c>
      <c r="AQ77" s="360" t="s">
        <v>58</v>
      </c>
      <c r="AR77" s="363" t="s">
        <v>58</v>
      </c>
      <c r="AS77" s="360" t="s">
        <v>58</v>
      </c>
      <c r="AT77" s="360" t="s">
        <v>58</v>
      </c>
      <c r="AU77" s="363" t="s">
        <v>58</v>
      </c>
      <c r="AV77" s="363" t="s">
        <v>58</v>
      </c>
      <c r="AW77" s="363" t="s">
        <v>58</v>
      </c>
      <c r="AX77" s="363" t="s">
        <v>58</v>
      </c>
      <c r="AY77" s="363" t="s">
        <v>58</v>
      </c>
      <c r="AZ77" s="363" t="s">
        <v>58</v>
      </c>
      <c r="BA77" s="363" t="s">
        <v>58</v>
      </c>
      <c r="BB77" s="363" t="s">
        <v>58</v>
      </c>
      <c r="BC77" s="363" t="s">
        <v>58</v>
      </c>
      <c r="BD77" s="363" t="s">
        <v>58</v>
      </c>
      <c r="BE77" s="363" t="s">
        <v>58</v>
      </c>
      <c r="BF77" s="363" t="s">
        <v>58</v>
      </c>
      <c r="BG77" s="363" t="s">
        <v>58</v>
      </c>
      <c r="BH77" s="363" t="s">
        <v>58</v>
      </c>
      <c r="BI77" s="837" t="s">
        <v>58</v>
      </c>
      <c r="BJ77" s="363" t="s">
        <v>58</v>
      </c>
      <c r="BK77" s="1043"/>
    </row>
    <row r="78" spans="1:63">
      <c r="A78" s="552" t="s">
        <v>758</v>
      </c>
      <c r="B78" s="124"/>
      <c r="C78" s="490" t="s">
        <v>548</v>
      </c>
      <c r="D78" s="360" t="s">
        <v>58</v>
      </c>
      <c r="E78" s="363" t="s">
        <v>58</v>
      </c>
      <c r="F78" s="363" t="s">
        <v>58</v>
      </c>
      <c r="G78" s="363" t="s">
        <v>58</v>
      </c>
      <c r="H78" s="363" t="s">
        <v>58</v>
      </c>
      <c r="I78" s="363" t="s">
        <v>58</v>
      </c>
      <c r="J78" s="363" t="s">
        <v>58</v>
      </c>
      <c r="K78" s="363" t="s">
        <v>58</v>
      </c>
      <c r="L78" s="360" t="s">
        <v>58</v>
      </c>
      <c r="M78" s="360" t="s">
        <v>58</v>
      </c>
      <c r="N78" s="363" t="s">
        <v>58</v>
      </c>
      <c r="O78" s="363" t="s">
        <v>58</v>
      </c>
      <c r="P78" s="360" t="s">
        <v>58</v>
      </c>
      <c r="Q78" s="363" t="s">
        <v>58</v>
      </c>
      <c r="R78" s="363" t="s">
        <v>58</v>
      </c>
      <c r="S78" s="363" t="s">
        <v>58</v>
      </c>
      <c r="T78" s="363" t="s">
        <v>58</v>
      </c>
      <c r="U78" s="360" t="s">
        <v>58</v>
      </c>
      <c r="V78" s="360" t="s">
        <v>58</v>
      </c>
      <c r="W78" s="481" t="s">
        <v>58</v>
      </c>
      <c r="X78" s="363" t="s">
        <v>58</v>
      </c>
      <c r="Y78" s="363" t="s">
        <v>58</v>
      </c>
      <c r="Z78" s="363" t="s">
        <v>58</v>
      </c>
      <c r="AA78" s="363" t="s">
        <v>58</v>
      </c>
      <c r="AB78" s="363" t="s">
        <v>58</v>
      </c>
      <c r="AC78" s="363" t="s">
        <v>58</v>
      </c>
      <c r="AD78" s="363" t="s">
        <v>58</v>
      </c>
      <c r="AE78" s="363" t="s">
        <v>58</v>
      </c>
      <c r="AF78" s="363" t="s">
        <v>58</v>
      </c>
      <c r="AG78" s="363" t="s">
        <v>58</v>
      </c>
      <c r="AH78" s="363" t="s">
        <v>58</v>
      </c>
      <c r="AI78" s="363" t="s">
        <v>58</v>
      </c>
      <c r="AJ78" s="363" t="s">
        <v>58</v>
      </c>
      <c r="AK78" s="363" t="s">
        <v>58</v>
      </c>
      <c r="AL78" s="363" t="s">
        <v>58</v>
      </c>
      <c r="AM78" s="363" t="s">
        <v>58</v>
      </c>
      <c r="AN78" s="363" t="s">
        <v>58</v>
      </c>
      <c r="AO78" s="363" t="s">
        <v>58</v>
      </c>
      <c r="AP78" s="360" t="s">
        <v>58</v>
      </c>
      <c r="AQ78" s="360" t="s">
        <v>58</v>
      </c>
      <c r="AR78" s="363" t="s">
        <v>58</v>
      </c>
      <c r="AS78" s="360" t="s">
        <v>58</v>
      </c>
      <c r="AT78" s="360" t="s">
        <v>58</v>
      </c>
      <c r="AU78" s="363" t="s">
        <v>58</v>
      </c>
      <c r="AV78" s="363" t="s">
        <v>58</v>
      </c>
      <c r="AW78" s="363" t="s">
        <v>58</v>
      </c>
      <c r="AX78" s="363" t="s">
        <v>58</v>
      </c>
      <c r="AY78" s="363" t="s">
        <v>58</v>
      </c>
      <c r="AZ78" s="363" t="s">
        <v>58</v>
      </c>
      <c r="BA78" s="363" t="s">
        <v>58</v>
      </c>
      <c r="BB78" s="363" t="s">
        <v>58</v>
      </c>
      <c r="BC78" s="363" t="s">
        <v>58</v>
      </c>
      <c r="BD78" s="363" t="s">
        <v>58</v>
      </c>
      <c r="BE78" s="363" t="s">
        <v>58</v>
      </c>
      <c r="BF78" s="363" t="s">
        <v>58</v>
      </c>
      <c r="BG78" s="363" t="s">
        <v>58</v>
      </c>
      <c r="BH78" s="363" t="s">
        <v>58</v>
      </c>
      <c r="BI78" s="837" t="s">
        <v>58</v>
      </c>
      <c r="BJ78" s="363" t="s">
        <v>58</v>
      </c>
      <c r="BK78" s="1043"/>
    </row>
    <row r="79" spans="1:63">
      <c r="A79" s="552" t="s">
        <v>759</v>
      </c>
      <c r="B79" s="124"/>
      <c r="C79" s="490" t="s">
        <v>548</v>
      </c>
      <c r="D79" s="360" t="s">
        <v>58</v>
      </c>
      <c r="E79" s="363" t="s">
        <v>58</v>
      </c>
      <c r="F79" s="363" t="s">
        <v>58</v>
      </c>
      <c r="G79" s="363" t="s">
        <v>58</v>
      </c>
      <c r="H79" s="363" t="s">
        <v>58</v>
      </c>
      <c r="I79" s="363" t="s">
        <v>58</v>
      </c>
      <c r="J79" s="363" t="s">
        <v>58</v>
      </c>
      <c r="K79" s="363" t="s">
        <v>58</v>
      </c>
      <c r="L79" s="360" t="s">
        <v>58</v>
      </c>
      <c r="M79" s="360" t="s">
        <v>58</v>
      </c>
      <c r="N79" s="363" t="s">
        <v>58</v>
      </c>
      <c r="O79" s="363" t="s">
        <v>58</v>
      </c>
      <c r="P79" s="360" t="s">
        <v>58</v>
      </c>
      <c r="Q79" s="363" t="s">
        <v>58</v>
      </c>
      <c r="R79" s="363" t="s">
        <v>58</v>
      </c>
      <c r="S79" s="363" t="s">
        <v>58</v>
      </c>
      <c r="T79" s="363" t="s">
        <v>58</v>
      </c>
      <c r="U79" s="360" t="s">
        <v>58</v>
      </c>
      <c r="V79" s="360" t="s">
        <v>58</v>
      </c>
      <c r="W79" s="481" t="s">
        <v>58</v>
      </c>
      <c r="X79" s="363" t="s">
        <v>58</v>
      </c>
      <c r="Y79" s="363" t="s">
        <v>58</v>
      </c>
      <c r="Z79" s="363" t="s">
        <v>58</v>
      </c>
      <c r="AA79" s="363" t="s">
        <v>58</v>
      </c>
      <c r="AB79" s="363" t="s">
        <v>58</v>
      </c>
      <c r="AC79" s="363" t="s">
        <v>58</v>
      </c>
      <c r="AD79" s="363" t="s">
        <v>58</v>
      </c>
      <c r="AE79" s="363" t="s">
        <v>58</v>
      </c>
      <c r="AF79" s="363" t="s">
        <v>58</v>
      </c>
      <c r="AG79" s="363" t="s">
        <v>58</v>
      </c>
      <c r="AH79" s="363" t="s">
        <v>58</v>
      </c>
      <c r="AI79" s="363" t="s">
        <v>58</v>
      </c>
      <c r="AJ79" s="363" t="s">
        <v>58</v>
      </c>
      <c r="AK79" s="363" t="s">
        <v>58</v>
      </c>
      <c r="AL79" s="363" t="s">
        <v>58</v>
      </c>
      <c r="AM79" s="363" t="s">
        <v>58</v>
      </c>
      <c r="AN79" s="363" t="s">
        <v>58</v>
      </c>
      <c r="AO79" s="363" t="s">
        <v>58</v>
      </c>
      <c r="AP79" s="360" t="s">
        <v>58</v>
      </c>
      <c r="AQ79" s="360" t="s">
        <v>58</v>
      </c>
      <c r="AR79" s="363" t="s">
        <v>58</v>
      </c>
      <c r="AS79" s="360" t="s">
        <v>58</v>
      </c>
      <c r="AT79" s="360" t="s">
        <v>58</v>
      </c>
      <c r="AU79" s="363" t="s">
        <v>58</v>
      </c>
      <c r="AV79" s="363" t="s">
        <v>58</v>
      </c>
      <c r="AW79" s="363" t="s">
        <v>58</v>
      </c>
      <c r="AX79" s="363" t="s">
        <v>58</v>
      </c>
      <c r="AY79" s="363" t="s">
        <v>58</v>
      </c>
      <c r="AZ79" s="363" t="s">
        <v>58</v>
      </c>
      <c r="BA79" s="363" t="s">
        <v>58</v>
      </c>
      <c r="BB79" s="363" t="s">
        <v>58</v>
      </c>
      <c r="BC79" s="363" t="s">
        <v>58</v>
      </c>
      <c r="BD79" s="363" t="s">
        <v>58</v>
      </c>
      <c r="BE79" s="363" t="s">
        <v>58</v>
      </c>
      <c r="BF79" s="363" t="s">
        <v>58</v>
      </c>
      <c r="BG79" s="363" t="s">
        <v>58</v>
      </c>
      <c r="BH79" s="363" t="s">
        <v>58</v>
      </c>
      <c r="BI79" s="837" t="s">
        <v>58</v>
      </c>
      <c r="BJ79" s="363" t="s">
        <v>58</v>
      </c>
      <c r="BK79" s="1043"/>
    </row>
    <row r="80" spans="1:63">
      <c r="A80" s="551" t="s">
        <v>760</v>
      </c>
      <c r="B80" s="123"/>
      <c r="C80" s="350" t="s">
        <v>548</v>
      </c>
      <c r="D80" s="34" t="s">
        <v>58</v>
      </c>
      <c r="E80" s="36" t="s">
        <v>58</v>
      </c>
      <c r="F80" s="363" t="s">
        <v>58</v>
      </c>
      <c r="G80" s="363" t="s">
        <v>58</v>
      </c>
      <c r="H80" s="363" t="s">
        <v>58</v>
      </c>
      <c r="I80" s="363" t="s">
        <v>58</v>
      </c>
      <c r="J80" s="363" t="s">
        <v>58</v>
      </c>
      <c r="K80" s="36" t="s">
        <v>58</v>
      </c>
      <c r="L80" s="34" t="s">
        <v>58</v>
      </c>
      <c r="M80" s="34" t="s">
        <v>58</v>
      </c>
      <c r="N80" s="363" t="s">
        <v>58</v>
      </c>
      <c r="O80" s="363" t="s">
        <v>58</v>
      </c>
      <c r="P80" s="34" t="s">
        <v>58</v>
      </c>
      <c r="Q80" s="36" t="s">
        <v>58</v>
      </c>
      <c r="R80" s="36" t="s">
        <v>58</v>
      </c>
      <c r="S80" s="36" t="s">
        <v>58</v>
      </c>
      <c r="T80" s="36" t="s">
        <v>58</v>
      </c>
      <c r="U80" s="34" t="s">
        <v>58</v>
      </c>
      <c r="V80" s="34" t="s">
        <v>58</v>
      </c>
      <c r="W80" s="222" t="s">
        <v>58</v>
      </c>
      <c r="X80" s="36" t="s">
        <v>58</v>
      </c>
      <c r="Y80" s="36" t="s">
        <v>58</v>
      </c>
      <c r="Z80" s="36" t="s">
        <v>58</v>
      </c>
      <c r="AA80" s="36" t="s">
        <v>58</v>
      </c>
      <c r="AB80" s="34" t="s">
        <v>649</v>
      </c>
      <c r="AC80" s="36" t="s">
        <v>58</v>
      </c>
      <c r="AD80" s="36" t="s">
        <v>58</v>
      </c>
      <c r="AE80" s="36" t="s">
        <v>58</v>
      </c>
      <c r="AF80" s="36" t="s">
        <v>58</v>
      </c>
      <c r="AG80" s="363" t="s">
        <v>58</v>
      </c>
      <c r="AH80" s="363" t="s">
        <v>58</v>
      </c>
      <c r="AI80" s="363" t="s">
        <v>58</v>
      </c>
      <c r="AJ80" s="36" t="s">
        <v>58</v>
      </c>
      <c r="AK80" s="36" t="s">
        <v>58</v>
      </c>
      <c r="AL80" s="363" t="s">
        <v>58</v>
      </c>
      <c r="AM80" s="363" t="s">
        <v>58</v>
      </c>
      <c r="AN80" s="363" t="s">
        <v>58</v>
      </c>
      <c r="AO80" s="36" t="s">
        <v>58</v>
      </c>
      <c r="AP80" s="34" t="s">
        <v>58</v>
      </c>
      <c r="AQ80" s="34" t="s">
        <v>58</v>
      </c>
      <c r="AR80" s="36" t="s">
        <v>58</v>
      </c>
      <c r="AS80" s="34" t="s">
        <v>58</v>
      </c>
      <c r="AT80" s="34" t="s">
        <v>58</v>
      </c>
      <c r="AU80" s="36" t="s">
        <v>58</v>
      </c>
      <c r="AV80" s="36" t="s">
        <v>58</v>
      </c>
      <c r="AW80" s="36" t="s">
        <v>58</v>
      </c>
      <c r="AX80" s="36" t="s">
        <v>58</v>
      </c>
      <c r="AY80" s="36" t="s">
        <v>58</v>
      </c>
      <c r="AZ80" s="36" t="s">
        <v>58</v>
      </c>
      <c r="BA80" s="36" t="s">
        <v>58</v>
      </c>
      <c r="BB80" s="36" t="s">
        <v>58</v>
      </c>
      <c r="BC80" s="36" t="s">
        <v>58</v>
      </c>
      <c r="BD80" s="36" t="s">
        <v>58</v>
      </c>
      <c r="BE80" s="36" t="s">
        <v>58</v>
      </c>
      <c r="BF80" s="36" t="s">
        <v>58</v>
      </c>
      <c r="BG80" s="36" t="s">
        <v>58</v>
      </c>
      <c r="BH80" s="36" t="s">
        <v>58</v>
      </c>
      <c r="BI80" s="36" t="s">
        <v>58</v>
      </c>
      <c r="BJ80" s="36" t="s">
        <v>58</v>
      </c>
      <c r="BK80" s="1043"/>
    </row>
    <row r="81" spans="1:63">
      <c r="A81" s="551" t="s">
        <v>761</v>
      </c>
      <c r="B81" s="123"/>
      <c r="C81" s="350" t="s">
        <v>548</v>
      </c>
      <c r="D81" s="34" t="s">
        <v>58</v>
      </c>
      <c r="E81" s="36" t="s">
        <v>58</v>
      </c>
      <c r="F81" s="363" t="s">
        <v>58</v>
      </c>
      <c r="G81" s="363" t="s">
        <v>58</v>
      </c>
      <c r="H81" s="363" t="s">
        <v>58</v>
      </c>
      <c r="I81" s="363" t="s">
        <v>58</v>
      </c>
      <c r="J81" s="363" t="s">
        <v>58</v>
      </c>
      <c r="K81" s="36" t="s">
        <v>58</v>
      </c>
      <c r="L81" s="34" t="s">
        <v>58</v>
      </c>
      <c r="M81" s="34" t="s">
        <v>58</v>
      </c>
      <c r="N81" s="363" t="s">
        <v>58</v>
      </c>
      <c r="O81" s="363" t="s">
        <v>58</v>
      </c>
      <c r="P81" s="34" t="s">
        <v>58</v>
      </c>
      <c r="Q81" s="36" t="s">
        <v>58</v>
      </c>
      <c r="R81" s="36" t="s">
        <v>58</v>
      </c>
      <c r="S81" s="36" t="s">
        <v>58</v>
      </c>
      <c r="T81" s="36" t="s">
        <v>58</v>
      </c>
      <c r="U81" s="34" t="s">
        <v>58</v>
      </c>
      <c r="V81" s="34" t="s">
        <v>58</v>
      </c>
      <c r="W81" s="222" t="s">
        <v>58</v>
      </c>
      <c r="X81" s="36" t="s">
        <v>58</v>
      </c>
      <c r="Y81" s="36" t="s">
        <v>58</v>
      </c>
      <c r="Z81" s="36" t="s">
        <v>58</v>
      </c>
      <c r="AA81" s="36" t="s">
        <v>58</v>
      </c>
      <c r="AB81" s="36" t="s">
        <v>58</v>
      </c>
      <c r="AC81" s="34" t="s">
        <v>649</v>
      </c>
      <c r="AD81" s="36" t="s">
        <v>58</v>
      </c>
      <c r="AE81" s="36" t="s">
        <v>58</v>
      </c>
      <c r="AF81" s="36" t="s">
        <v>58</v>
      </c>
      <c r="AG81" s="363" t="s">
        <v>58</v>
      </c>
      <c r="AH81" s="363" t="s">
        <v>58</v>
      </c>
      <c r="AI81" s="363" t="s">
        <v>58</v>
      </c>
      <c r="AJ81" s="36" t="s">
        <v>58</v>
      </c>
      <c r="AK81" s="36" t="s">
        <v>58</v>
      </c>
      <c r="AL81" s="363" t="s">
        <v>58</v>
      </c>
      <c r="AM81" s="363" t="s">
        <v>58</v>
      </c>
      <c r="AN81" s="363" t="s">
        <v>58</v>
      </c>
      <c r="AO81" s="36" t="s">
        <v>58</v>
      </c>
      <c r="AP81" s="34" t="s">
        <v>58</v>
      </c>
      <c r="AQ81" s="34" t="s">
        <v>58</v>
      </c>
      <c r="AR81" s="36" t="s">
        <v>58</v>
      </c>
      <c r="AS81" s="34" t="s">
        <v>58</v>
      </c>
      <c r="AT81" s="34" t="s">
        <v>58</v>
      </c>
      <c r="AU81" s="36" t="s">
        <v>58</v>
      </c>
      <c r="AV81" s="36" t="s">
        <v>58</v>
      </c>
      <c r="AW81" s="36" t="s">
        <v>58</v>
      </c>
      <c r="AX81" s="36" t="s">
        <v>58</v>
      </c>
      <c r="AY81" s="36" t="s">
        <v>58</v>
      </c>
      <c r="AZ81" s="36" t="s">
        <v>58</v>
      </c>
      <c r="BA81" s="36" t="s">
        <v>58</v>
      </c>
      <c r="BB81" s="36" t="s">
        <v>58</v>
      </c>
      <c r="BC81" s="36" t="s">
        <v>58</v>
      </c>
      <c r="BD81" s="36" t="s">
        <v>58</v>
      </c>
      <c r="BE81" s="36" t="s">
        <v>58</v>
      </c>
      <c r="BF81" s="36" t="s">
        <v>58</v>
      </c>
      <c r="BG81" s="36" t="s">
        <v>58</v>
      </c>
      <c r="BH81" s="36" t="s">
        <v>58</v>
      </c>
      <c r="BI81" s="36" t="s">
        <v>58</v>
      </c>
      <c r="BJ81" s="36" t="s">
        <v>58</v>
      </c>
      <c r="BK81" s="1043"/>
    </row>
    <row r="82" spans="1:63">
      <c r="A82" s="551" t="s">
        <v>762</v>
      </c>
      <c r="B82" s="123"/>
      <c r="C82" s="350" t="s">
        <v>548</v>
      </c>
      <c r="D82" s="34" t="s">
        <v>58</v>
      </c>
      <c r="E82" s="36" t="s">
        <v>58</v>
      </c>
      <c r="F82" s="363" t="s">
        <v>58</v>
      </c>
      <c r="G82" s="363" t="s">
        <v>58</v>
      </c>
      <c r="H82" s="363" t="s">
        <v>58</v>
      </c>
      <c r="I82" s="363" t="s">
        <v>58</v>
      </c>
      <c r="J82" s="363" t="s">
        <v>58</v>
      </c>
      <c r="K82" s="36" t="s">
        <v>58</v>
      </c>
      <c r="L82" s="34" t="s">
        <v>58</v>
      </c>
      <c r="M82" s="34" t="s">
        <v>58</v>
      </c>
      <c r="N82" s="363" t="s">
        <v>58</v>
      </c>
      <c r="O82" s="363" t="s">
        <v>58</v>
      </c>
      <c r="P82" s="34" t="s">
        <v>58</v>
      </c>
      <c r="Q82" s="36" t="s">
        <v>58</v>
      </c>
      <c r="R82" s="36" t="s">
        <v>58</v>
      </c>
      <c r="S82" s="36" t="s">
        <v>58</v>
      </c>
      <c r="T82" s="36" t="s">
        <v>58</v>
      </c>
      <c r="U82" s="34" t="s">
        <v>58</v>
      </c>
      <c r="V82" s="34" t="s">
        <v>58</v>
      </c>
      <c r="W82" s="222" t="s">
        <v>58</v>
      </c>
      <c r="X82" s="36" t="s">
        <v>58</v>
      </c>
      <c r="Y82" s="36" t="s">
        <v>58</v>
      </c>
      <c r="Z82" s="36" t="s">
        <v>58</v>
      </c>
      <c r="AA82" s="36" t="s">
        <v>58</v>
      </c>
      <c r="AB82" s="36" t="s">
        <v>58</v>
      </c>
      <c r="AC82" s="36" t="s">
        <v>58</v>
      </c>
      <c r="AD82" s="34" t="s">
        <v>649</v>
      </c>
      <c r="AE82" s="36" t="s">
        <v>58</v>
      </c>
      <c r="AF82" s="36" t="s">
        <v>58</v>
      </c>
      <c r="AG82" s="363" t="s">
        <v>58</v>
      </c>
      <c r="AH82" s="363" t="s">
        <v>58</v>
      </c>
      <c r="AI82" s="363" t="s">
        <v>58</v>
      </c>
      <c r="AJ82" s="36" t="s">
        <v>58</v>
      </c>
      <c r="AK82" s="36" t="s">
        <v>58</v>
      </c>
      <c r="AL82" s="363" t="s">
        <v>58</v>
      </c>
      <c r="AM82" s="363" t="s">
        <v>58</v>
      </c>
      <c r="AN82" s="363" t="s">
        <v>58</v>
      </c>
      <c r="AO82" s="36" t="s">
        <v>58</v>
      </c>
      <c r="AP82" s="34" t="s">
        <v>58</v>
      </c>
      <c r="AQ82" s="34" t="s">
        <v>58</v>
      </c>
      <c r="AR82" s="36" t="s">
        <v>58</v>
      </c>
      <c r="AS82" s="34" t="s">
        <v>58</v>
      </c>
      <c r="AT82" s="34" t="s">
        <v>58</v>
      </c>
      <c r="AU82" s="36" t="s">
        <v>58</v>
      </c>
      <c r="AV82" s="36" t="s">
        <v>58</v>
      </c>
      <c r="AW82" s="36" t="s">
        <v>58</v>
      </c>
      <c r="AX82" s="36" t="s">
        <v>58</v>
      </c>
      <c r="AY82" s="36" t="s">
        <v>58</v>
      </c>
      <c r="AZ82" s="36" t="s">
        <v>58</v>
      </c>
      <c r="BA82" s="36" t="s">
        <v>58</v>
      </c>
      <c r="BB82" s="36" t="s">
        <v>58</v>
      </c>
      <c r="BC82" s="36" t="s">
        <v>58</v>
      </c>
      <c r="BD82" s="36" t="s">
        <v>58</v>
      </c>
      <c r="BE82" s="36" t="s">
        <v>58</v>
      </c>
      <c r="BF82" s="36" t="s">
        <v>58</v>
      </c>
      <c r="BG82" s="36" t="s">
        <v>58</v>
      </c>
      <c r="BH82" s="36" t="s">
        <v>58</v>
      </c>
      <c r="BI82" s="36" t="s">
        <v>58</v>
      </c>
      <c r="BJ82" s="36" t="s">
        <v>58</v>
      </c>
      <c r="BK82" s="1043"/>
    </row>
    <row r="83" spans="1:63">
      <c r="A83" s="551" t="s">
        <v>763</v>
      </c>
      <c r="B83" s="123"/>
      <c r="C83" s="350" t="s">
        <v>548</v>
      </c>
      <c r="D83" s="34" t="s">
        <v>58</v>
      </c>
      <c r="E83" s="36" t="s">
        <v>58</v>
      </c>
      <c r="F83" s="363" t="s">
        <v>58</v>
      </c>
      <c r="G83" s="363" t="s">
        <v>58</v>
      </c>
      <c r="H83" s="363" t="s">
        <v>58</v>
      </c>
      <c r="I83" s="363" t="s">
        <v>58</v>
      </c>
      <c r="J83" s="363" t="s">
        <v>58</v>
      </c>
      <c r="K83" s="36" t="s">
        <v>58</v>
      </c>
      <c r="L83" s="34" t="s">
        <v>58</v>
      </c>
      <c r="M83" s="34" t="s">
        <v>58</v>
      </c>
      <c r="N83" s="363" t="s">
        <v>58</v>
      </c>
      <c r="O83" s="363" t="s">
        <v>58</v>
      </c>
      <c r="P83" s="34" t="s">
        <v>58</v>
      </c>
      <c r="Q83" s="36" t="s">
        <v>58</v>
      </c>
      <c r="R83" s="36" t="s">
        <v>58</v>
      </c>
      <c r="S83" s="36" t="s">
        <v>58</v>
      </c>
      <c r="T83" s="36" t="s">
        <v>58</v>
      </c>
      <c r="U83" s="34" t="s">
        <v>58</v>
      </c>
      <c r="V83" s="34" t="s">
        <v>58</v>
      </c>
      <c r="W83" s="222" t="s">
        <v>58</v>
      </c>
      <c r="X83" s="36" t="s">
        <v>58</v>
      </c>
      <c r="Y83" s="36" t="s">
        <v>58</v>
      </c>
      <c r="Z83" s="36" t="s">
        <v>58</v>
      </c>
      <c r="AA83" s="36" t="s">
        <v>58</v>
      </c>
      <c r="AB83" s="36" t="s">
        <v>58</v>
      </c>
      <c r="AC83" s="36" t="s">
        <v>58</v>
      </c>
      <c r="AD83" s="36" t="s">
        <v>58</v>
      </c>
      <c r="AE83" s="34" t="s">
        <v>649</v>
      </c>
      <c r="AF83" s="36" t="s">
        <v>58</v>
      </c>
      <c r="AG83" s="363" t="s">
        <v>58</v>
      </c>
      <c r="AH83" s="363" t="s">
        <v>58</v>
      </c>
      <c r="AI83" s="363" t="s">
        <v>58</v>
      </c>
      <c r="AJ83" s="36" t="s">
        <v>58</v>
      </c>
      <c r="AK83" s="36" t="s">
        <v>58</v>
      </c>
      <c r="AL83" s="363" t="s">
        <v>58</v>
      </c>
      <c r="AM83" s="363" t="s">
        <v>58</v>
      </c>
      <c r="AN83" s="363" t="s">
        <v>58</v>
      </c>
      <c r="AO83" s="36" t="s">
        <v>58</v>
      </c>
      <c r="AP83" s="34" t="s">
        <v>58</v>
      </c>
      <c r="AQ83" s="34" t="s">
        <v>58</v>
      </c>
      <c r="AR83" s="36" t="s">
        <v>58</v>
      </c>
      <c r="AS83" s="34" t="s">
        <v>58</v>
      </c>
      <c r="AT83" s="34" t="s">
        <v>58</v>
      </c>
      <c r="AU83" s="36" t="s">
        <v>58</v>
      </c>
      <c r="AV83" s="36" t="s">
        <v>58</v>
      </c>
      <c r="AW83" s="36" t="s">
        <v>58</v>
      </c>
      <c r="AX83" s="36" t="s">
        <v>58</v>
      </c>
      <c r="AY83" s="36" t="s">
        <v>58</v>
      </c>
      <c r="AZ83" s="36" t="s">
        <v>58</v>
      </c>
      <c r="BA83" s="36" t="s">
        <v>58</v>
      </c>
      <c r="BB83" s="36" t="s">
        <v>58</v>
      </c>
      <c r="BC83" s="36" t="s">
        <v>58</v>
      </c>
      <c r="BD83" s="36" t="s">
        <v>58</v>
      </c>
      <c r="BE83" s="36" t="s">
        <v>58</v>
      </c>
      <c r="BF83" s="36" t="s">
        <v>58</v>
      </c>
      <c r="BG83" s="36" t="s">
        <v>58</v>
      </c>
      <c r="BH83" s="36" t="s">
        <v>58</v>
      </c>
      <c r="BI83" s="36" t="s">
        <v>58</v>
      </c>
      <c r="BJ83" s="36" t="s">
        <v>58</v>
      </c>
      <c r="BK83" s="1043"/>
    </row>
    <row r="84" spans="1:63">
      <c r="A84" s="551" t="s">
        <v>764</v>
      </c>
      <c r="B84" s="123"/>
      <c r="C84" s="350" t="s">
        <v>548</v>
      </c>
      <c r="D84" s="34" t="s">
        <v>58</v>
      </c>
      <c r="E84" s="36" t="s">
        <v>58</v>
      </c>
      <c r="F84" s="363" t="s">
        <v>58</v>
      </c>
      <c r="G84" s="363" t="s">
        <v>58</v>
      </c>
      <c r="H84" s="363" t="s">
        <v>58</v>
      </c>
      <c r="I84" s="363" t="s">
        <v>58</v>
      </c>
      <c r="J84" s="363" t="s">
        <v>58</v>
      </c>
      <c r="K84" s="36" t="s">
        <v>58</v>
      </c>
      <c r="L84" s="34" t="s">
        <v>58</v>
      </c>
      <c r="M84" s="34" t="s">
        <v>58</v>
      </c>
      <c r="N84" s="363" t="s">
        <v>58</v>
      </c>
      <c r="O84" s="363" t="s">
        <v>58</v>
      </c>
      <c r="P84" s="34" t="s">
        <v>58</v>
      </c>
      <c r="Q84" s="36" t="s">
        <v>58</v>
      </c>
      <c r="R84" s="36" t="s">
        <v>58</v>
      </c>
      <c r="S84" s="36" t="s">
        <v>58</v>
      </c>
      <c r="T84" s="36" t="s">
        <v>58</v>
      </c>
      <c r="U84" s="34" t="s">
        <v>58</v>
      </c>
      <c r="V84" s="34" t="s">
        <v>58</v>
      </c>
      <c r="W84" s="222" t="s">
        <v>58</v>
      </c>
      <c r="X84" s="36" t="s">
        <v>58</v>
      </c>
      <c r="Y84" s="36" t="s">
        <v>58</v>
      </c>
      <c r="Z84" s="36" t="s">
        <v>58</v>
      </c>
      <c r="AA84" s="36" t="s">
        <v>58</v>
      </c>
      <c r="AB84" s="36" t="s">
        <v>58</v>
      </c>
      <c r="AC84" s="36" t="s">
        <v>58</v>
      </c>
      <c r="AD84" s="36" t="s">
        <v>58</v>
      </c>
      <c r="AE84" s="36" t="s">
        <v>58</v>
      </c>
      <c r="AF84" s="34" t="s">
        <v>649</v>
      </c>
      <c r="AG84" s="363" t="s">
        <v>58</v>
      </c>
      <c r="AH84" s="363" t="s">
        <v>58</v>
      </c>
      <c r="AI84" s="363" t="s">
        <v>58</v>
      </c>
      <c r="AJ84" s="36" t="s">
        <v>58</v>
      </c>
      <c r="AK84" s="36" t="s">
        <v>58</v>
      </c>
      <c r="AL84" s="363" t="s">
        <v>58</v>
      </c>
      <c r="AM84" s="363" t="s">
        <v>58</v>
      </c>
      <c r="AN84" s="363" t="s">
        <v>58</v>
      </c>
      <c r="AO84" s="36" t="s">
        <v>58</v>
      </c>
      <c r="AP84" s="36" t="s">
        <v>58</v>
      </c>
      <c r="AQ84" s="36" t="s">
        <v>58</v>
      </c>
      <c r="AR84" s="36" t="s">
        <v>58</v>
      </c>
      <c r="AS84" s="36" t="s">
        <v>58</v>
      </c>
      <c r="AT84" s="36" t="s">
        <v>58</v>
      </c>
      <c r="AU84" s="36" t="s">
        <v>58</v>
      </c>
      <c r="AV84" s="36" t="s">
        <v>58</v>
      </c>
      <c r="AW84" s="36" t="s">
        <v>58</v>
      </c>
      <c r="AX84" s="36" t="s">
        <v>58</v>
      </c>
      <c r="AY84" s="36" t="s">
        <v>58</v>
      </c>
      <c r="AZ84" s="36" t="s">
        <v>58</v>
      </c>
      <c r="BA84" s="36" t="s">
        <v>58</v>
      </c>
      <c r="BB84" s="36" t="s">
        <v>58</v>
      </c>
      <c r="BC84" s="36" t="s">
        <v>58</v>
      </c>
      <c r="BD84" s="36" t="s">
        <v>58</v>
      </c>
      <c r="BE84" s="36" t="s">
        <v>58</v>
      </c>
      <c r="BF84" s="36" t="s">
        <v>58</v>
      </c>
      <c r="BG84" s="36" t="s">
        <v>58</v>
      </c>
      <c r="BH84" s="36" t="s">
        <v>58</v>
      </c>
      <c r="BI84" s="36" t="s">
        <v>58</v>
      </c>
      <c r="BJ84" s="36" t="s">
        <v>58</v>
      </c>
      <c r="BK84" s="1043"/>
    </row>
    <row r="85" spans="1:63">
      <c r="A85" s="553" t="s">
        <v>765</v>
      </c>
      <c r="B85" s="490"/>
      <c r="C85" s="490" t="s">
        <v>548</v>
      </c>
      <c r="D85" s="360" t="s">
        <v>58</v>
      </c>
      <c r="E85" s="363" t="s">
        <v>58</v>
      </c>
      <c r="F85" s="363" t="s">
        <v>58</v>
      </c>
      <c r="G85" s="363" t="s">
        <v>58</v>
      </c>
      <c r="H85" s="363" t="s">
        <v>58</v>
      </c>
      <c r="I85" s="363" t="s">
        <v>58</v>
      </c>
      <c r="J85" s="363" t="s">
        <v>58</v>
      </c>
      <c r="K85" s="363" t="s">
        <v>58</v>
      </c>
      <c r="L85" s="360" t="s">
        <v>58</v>
      </c>
      <c r="M85" s="360" t="s">
        <v>58</v>
      </c>
      <c r="N85" s="363" t="s">
        <v>58</v>
      </c>
      <c r="O85" s="363" t="s">
        <v>58</v>
      </c>
      <c r="P85" s="360" t="s">
        <v>58</v>
      </c>
      <c r="Q85" s="363" t="s">
        <v>58</v>
      </c>
      <c r="R85" s="363" t="s">
        <v>58</v>
      </c>
      <c r="S85" s="363" t="s">
        <v>58</v>
      </c>
      <c r="T85" s="363" t="s">
        <v>58</v>
      </c>
      <c r="U85" s="360" t="s">
        <v>58</v>
      </c>
      <c r="V85" s="360" t="s">
        <v>58</v>
      </c>
      <c r="W85" s="481" t="s">
        <v>58</v>
      </c>
      <c r="X85" s="363" t="s">
        <v>58</v>
      </c>
      <c r="Y85" s="363" t="s">
        <v>58</v>
      </c>
      <c r="Z85" s="363" t="s">
        <v>58</v>
      </c>
      <c r="AA85" s="363" t="s">
        <v>58</v>
      </c>
      <c r="AB85" s="363" t="s">
        <v>58</v>
      </c>
      <c r="AC85" s="363" t="s">
        <v>58</v>
      </c>
      <c r="AD85" s="363" t="s">
        <v>58</v>
      </c>
      <c r="AE85" s="363" t="s">
        <v>58</v>
      </c>
      <c r="AF85" s="363" t="s">
        <v>58</v>
      </c>
      <c r="AG85" s="363" t="s">
        <v>58</v>
      </c>
      <c r="AH85" s="363" t="s">
        <v>58</v>
      </c>
      <c r="AI85" s="363" t="s">
        <v>58</v>
      </c>
      <c r="AJ85" s="363" t="s">
        <v>58</v>
      </c>
      <c r="AK85" s="363" t="s">
        <v>58</v>
      </c>
      <c r="AL85" s="363" t="s">
        <v>58</v>
      </c>
      <c r="AM85" s="363" t="s">
        <v>58</v>
      </c>
      <c r="AN85" s="363" t="s">
        <v>58</v>
      </c>
      <c r="AO85" s="363" t="s">
        <v>58</v>
      </c>
      <c r="AP85" s="363" t="s">
        <v>58</v>
      </c>
      <c r="AQ85" s="363" t="s">
        <v>58</v>
      </c>
      <c r="AR85" s="363" t="s">
        <v>58</v>
      </c>
      <c r="AS85" s="363" t="s">
        <v>58</v>
      </c>
      <c r="AT85" s="363" t="s">
        <v>58</v>
      </c>
      <c r="AU85" s="363" t="s">
        <v>58</v>
      </c>
      <c r="AV85" s="363" t="s">
        <v>58</v>
      </c>
      <c r="AW85" s="363" t="s">
        <v>58</v>
      </c>
      <c r="AX85" s="363" t="s">
        <v>58</v>
      </c>
      <c r="AY85" s="363" t="s">
        <v>58</v>
      </c>
      <c r="AZ85" s="363" t="s">
        <v>58</v>
      </c>
      <c r="BA85" s="363" t="s">
        <v>58</v>
      </c>
      <c r="BB85" s="363" t="s">
        <v>58</v>
      </c>
      <c r="BC85" s="363" t="s">
        <v>58</v>
      </c>
      <c r="BD85" s="363" t="s">
        <v>58</v>
      </c>
      <c r="BE85" s="363" t="s">
        <v>58</v>
      </c>
      <c r="BF85" s="363" t="s">
        <v>58</v>
      </c>
      <c r="BG85" s="363" t="s">
        <v>58</v>
      </c>
      <c r="BH85" s="363" t="s">
        <v>58</v>
      </c>
      <c r="BI85" s="837" t="s">
        <v>58</v>
      </c>
      <c r="BJ85" s="363" t="s">
        <v>58</v>
      </c>
      <c r="BK85" s="1043"/>
    </row>
    <row r="86" spans="1:63">
      <c r="A86" s="553" t="s">
        <v>766</v>
      </c>
      <c r="B86" s="490"/>
      <c r="C86" s="490" t="s">
        <v>548</v>
      </c>
      <c r="D86" s="360" t="s">
        <v>58</v>
      </c>
      <c r="E86" s="363" t="s">
        <v>58</v>
      </c>
      <c r="F86" s="363" t="s">
        <v>58</v>
      </c>
      <c r="G86" s="363" t="s">
        <v>58</v>
      </c>
      <c r="H86" s="363" t="s">
        <v>58</v>
      </c>
      <c r="I86" s="363" t="s">
        <v>58</v>
      </c>
      <c r="J86" s="363" t="s">
        <v>58</v>
      </c>
      <c r="K86" s="363" t="s">
        <v>58</v>
      </c>
      <c r="L86" s="360" t="s">
        <v>58</v>
      </c>
      <c r="M86" s="360" t="s">
        <v>58</v>
      </c>
      <c r="N86" s="363" t="s">
        <v>58</v>
      </c>
      <c r="O86" s="363" t="s">
        <v>58</v>
      </c>
      <c r="P86" s="360" t="s">
        <v>58</v>
      </c>
      <c r="Q86" s="363" t="s">
        <v>58</v>
      </c>
      <c r="R86" s="363" t="s">
        <v>58</v>
      </c>
      <c r="S86" s="363" t="s">
        <v>58</v>
      </c>
      <c r="T86" s="363" t="s">
        <v>58</v>
      </c>
      <c r="U86" s="360" t="s">
        <v>58</v>
      </c>
      <c r="V86" s="360" t="s">
        <v>58</v>
      </c>
      <c r="W86" s="481" t="s">
        <v>58</v>
      </c>
      <c r="X86" s="363" t="s">
        <v>58</v>
      </c>
      <c r="Y86" s="363" t="s">
        <v>58</v>
      </c>
      <c r="Z86" s="363" t="s">
        <v>58</v>
      </c>
      <c r="AA86" s="363" t="s">
        <v>58</v>
      </c>
      <c r="AB86" s="363" t="s">
        <v>58</v>
      </c>
      <c r="AC86" s="363" t="s">
        <v>58</v>
      </c>
      <c r="AD86" s="363" t="s">
        <v>58</v>
      </c>
      <c r="AE86" s="363" t="s">
        <v>58</v>
      </c>
      <c r="AF86" s="363" t="s">
        <v>58</v>
      </c>
      <c r="AG86" s="363" t="s">
        <v>58</v>
      </c>
      <c r="AH86" s="363" t="s">
        <v>58</v>
      </c>
      <c r="AI86" s="363" t="s">
        <v>58</v>
      </c>
      <c r="AJ86" s="363" t="s">
        <v>58</v>
      </c>
      <c r="AK86" s="363" t="s">
        <v>58</v>
      </c>
      <c r="AL86" s="363" t="s">
        <v>58</v>
      </c>
      <c r="AM86" s="363" t="s">
        <v>58</v>
      </c>
      <c r="AN86" s="363" t="s">
        <v>58</v>
      </c>
      <c r="AO86" s="363" t="s">
        <v>58</v>
      </c>
      <c r="AP86" s="363" t="s">
        <v>58</v>
      </c>
      <c r="AQ86" s="363" t="s">
        <v>58</v>
      </c>
      <c r="AR86" s="363" t="s">
        <v>58</v>
      </c>
      <c r="AS86" s="363" t="s">
        <v>58</v>
      </c>
      <c r="AT86" s="363" t="s">
        <v>58</v>
      </c>
      <c r="AU86" s="363" t="s">
        <v>58</v>
      </c>
      <c r="AV86" s="363" t="s">
        <v>58</v>
      </c>
      <c r="AW86" s="363" t="s">
        <v>58</v>
      </c>
      <c r="AX86" s="363" t="s">
        <v>58</v>
      </c>
      <c r="AY86" s="363" t="s">
        <v>58</v>
      </c>
      <c r="AZ86" s="363" t="s">
        <v>58</v>
      </c>
      <c r="BA86" s="363" t="s">
        <v>58</v>
      </c>
      <c r="BB86" s="363" t="s">
        <v>58</v>
      </c>
      <c r="BC86" s="363" t="s">
        <v>58</v>
      </c>
      <c r="BD86" s="363" t="s">
        <v>58</v>
      </c>
      <c r="BE86" s="363" t="s">
        <v>58</v>
      </c>
      <c r="BF86" s="363" t="s">
        <v>58</v>
      </c>
      <c r="BG86" s="363" t="s">
        <v>58</v>
      </c>
      <c r="BH86" s="363" t="s">
        <v>58</v>
      </c>
      <c r="BI86" s="837" t="s">
        <v>58</v>
      </c>
      <c r="BJ86" s="363" t="s">
        <v>58</v>
      </c>
      <c r="BK86" s="1043"/>
    </row>
    <row r="87" spans="1:63">
      <c r="A87" s="553" t="s">
        <v>767</v>
      </c>
      <c r="B87" s="490"/>
      <c r="C87" s="490" t="s">
        <v>548</v>
      </c>
      <c r="D87" s="360" t="s">
        <v>58</v>
      </c>
      <c r="E87" s="363" t="s">
        <v>58</v>
      </c>
      <c r="F87" s="363" t="s">
        <v>58</v>
      </c>
      <c r="G87" s="363" t="s">
        <v>58</v>
      </c>
      <c r="H87" s="363" t="s">
        <v>58</v>
      </c>
      <c r="I87" s="363" t="s">
        <v>58</v>
      </c>
      <c r="J87" s="363" t="s">
        <v>58</v>
      </c>
      <c r="K87" s="363" t="s">
        <v>58</v>
      </c>
      <c r="L87" s="360" t="s">
        <v>58</v>
      </c>
      <c r="M87" s="360" t="s">
        <v>58</v>
      </c>
      <c r="N87" s="363" t="s">
        <v>58</v>
      </c>
      <c r="O87" s="363" t="s">
        <v>58</v>
      </c>
      <c r="P87" s="360" t="s">
        <v>58</v>
      </c>
      <c r="Q87" s="363" t="s">
        <v>58</v>
      </c>
      <c r="R87" s="363" t="s">
        <v>58</v>
      </c>
      <c r="S87" s="363" t="s">
        <v>58</v>
      </c>
      <c r="T87" s="363" t="s">
        <v>58</v>
      </c>
      <c r="U87" s="360" t="s">
        <v>58</v>
      </c>
      <c r="V87" s="360" t="s">
        <v>58</v>
      </c>
      <c r="W87" s="481" t="s">
        <v>58</v>
      </c>
      <c r="X87" s="363" t="s">
        <v>58</v>
      </c>
      <c r="Y87" s="363" t="s">
        <v>58</v>
      </c>
      <c r="Z87" s="363" t="s">
        <v>58</v>
      </c>
      <c r="AA87" s="363" t="s">
        <v>58</v>
      </c>
      <c r="AB87" s="363" t="s">
        <v>58</v>
      </c>
      <c r="AC87" s="363" t="s">
        <v>58</v>
      </c>
      <c r="AD87" s="363" t="s">
        <v>58</v>
      </c>
      <c r="AE87" s="363" t="s">
        <v>58</v>
      </c>
      <c r="AF87" s="363" t="s">
        <v>58</v>
      </c>
      <c r="AG87" s="363" t="s">
        <v>58</v>
      </c>
      <c r="AH87" s="363" t="s">
        <v>58</v>
      </c>
      <c r="AI87" s="363" t="s">
        <v>58</v>
      </c>
      <c r="AJ87" s="363" t="s">
        <v>58</v>
      </c>
      <c r="AK87" s="363" t="s">
        <v>58</v>
      </c>
      <c r="AL87" s="363" t="s">
        <v>58</v>
      </c>
      <c r="AM87" s="363" t="s">
        <v>58</v>
      </c>
      <c r="AN87" s="363" t="s">
        <v>58</v>
      </c>
      <c r="AO87" s="363" t="s">
        <v>58</v>
      </c>
      <c r="AP87" s="363" t="s">
        <v>58</v>
      </c>
      <c r="AQ87" s="363" t="s">
        <v>58</v>
      </c>
      <c r="AR87" s="363" t="s">
        <v>58</v>
      </c>
      <c r="AS87" s="363" t="s">
        <v>58</v>
      </c>
      <c r="AT87" s="363" t="s">
        <v>58</v>
      </c>
      <c r="AU87" s="363" t="s">
        <v>58</v>
      </c>
      <c r="AV87" s="363" t="s">
        <v>58</v>
      </c>
      <c r="AW87" s="363" t="s">
        <v>58</v>
      </c>
      <c r="AX87" s="363" t="s">
        <v>58</v>
      </c>
      <c r="AY87" s="363" t="s">
        <v>58</v>
      </c>
      <c r="AZ87" s="363" t="s">
        <v>58</v>
      </c>
      <c r="BA87" s="363" t="s">
        <v>58</v>
      </c>
      <c r="BB87" s="363" t="s">
        <v>58</v>
      </c>
      <c r="BC87" s="363" t="s">
        <v>58</v>
      </c>
      <c r="BD87" s="363" t="s">
        <v>58</v>
      </c>
      <c r="BE87" s="363" t="s">
        <v>58</v>
      </c>
      <c r="BF87" s="363" t="s">
        <v>58</v>
      </c>
      <c r="BG87" s="363" t="s">
        <v>58</v>
      </c>
      <c r="BH87" s="363" t="s">
        <v>58</v>
      </c>
      <c r="BI87" s="837" t="s">
        <v>58</v>
      </c>
      <c r="BJ87" s="363" t="s">
        <v>58</v>
      </c>
      <c r="BK87" s="1043"/>
    </row>
    <row r="88" spans="1:63">
      <c r="A88" s="553" t="s">
        <v>768</v>
      </c>
      <c r="B88" s="124"/>
      <c r="C88" s="490" t="s">
        <v>548</v>
      </c>
      <c r="D88" s="360" t="s">
        <v>58</v>
      </c>
      <c r="E88" s="360" t="s">
        <v>58</v>
      </c>
      <c r="F88" s="360" t="s">
        <v>58</v>
      </c>
      <c r="G88" s="360" t="s">
        <v>58</v>
      </c>
      <c r="H88" s="360" t="s">
        <v>58</v>
      </c>
      <c r="I88" s="360" t="s">
        <v>58</v>
      </c>
      <c r="J88" s="360" t="s">
        <v>58</v>
      </c>
      <c r="K88" s="363" t="s">
        <v>58</v>
      </c>
      <c r="L88" s="360" t="s">
        <v>58</v>
      </c>
      <c r="M88" s="360" t="s">
        <v>58</v>
      </c>
      <c r="N88" s="360" t="s">
        <v>58</v>
      </c>
      <c r="O88" s="360" t="s">
        <v>58</v>
      </c>
      <c r="P88" s="360" t="s">
        <v>58</v>
      </c>
      <c r="Q88" s="363" t="s">
        <v>58</v>
      </c>
      <c r="R88" s="363" t="s">
        <v>58</v>
      </c>
      <c r="S88" s="363" t="s">
        <v>58</v>
      </c>
      <c r="T88" s="363" t="s">
        <v>58</v>
      </c>
      <c r="U88" s="360" t="s">
        <v>58</v>
      </c>
      <c r="V88" s="360" t="s">
        <v>58</v>
      </c>
      <c r="W88" s="493" t="s">
        <v>58</v>
      </c>
      <c r="X88" s="360" t="s">
        <v>58</v>
      </c>
      <c r="Y88" s="360" t="s">
        <v>58</v>
      </c>
      <c r="Z88" s="360" t="s">
        <v>58</v>
      </c>
      <c r="AA88" s="363" t="s">
        <v>58</v>
      </c>
      <c r="AB88" s="360" t="s">
        <v>58</v>
      </c>
      <c r="AC88" s="360" t="s">
        <v>58</v>
      </c>
      <c r="AD88" s="360" t="s">
        <v>58</v>
      </c>
      <c r="AE88" s="363" t="s">
        <v>58</v>
      </c>
      <c r="AF88" s="360" t="s">
        <v>58</v>
      </c>
      <c r="AG88" s="363" t="s">
        <v>58</v>
      </c>
      <c r="AH88" s="363" t="s">
        <v>58</v>
      </c>
      <c r="AI88" s="363" t="s">
        <v>58</v>
      </c>
      <c r="AJ88" s="363" t="s">
        <v>58</v>
      </c>
      <c r="AK88" s="360" t="s">
        <v>58</v>
      </c>
      <c r="AL88" s="363" t="s">
        <v>58</v>
      </c>
      <c r="AM88" s="363" t="s">
        <v>58</v>
      </c>
      <c r="AN88" s="363" t="s">
        <v>58</v>
      </c>
      <c r="AO88" s="363" t="s">
        <v>58</v>
      </c>
      <c r="AP88" s="360" t="s">
        <v>58</v>
      </c>
      <c r="AQ88" s="360" t="s">
        <v>58</v>
      </c>
      <c r="AR88" s="363" t="s">
        <v>58</v>
      </c>
      <c r="AS88" s="360" t="s">
        <v>58</v>
      </c>
      <c r="AT88" s="360" t="s">
        <v>58</v>
      </c>
      <c r="AU88" s="363" t="s">
        <v>58</v>
      </c>
      <c r="AV88" s="363" t="s">
        <v>58</v>
      </c>
      <c r="AW88" s="363" t="s">
        <v>58</v>
      </c>
      <c r="AX88" s="363" t="s">
        <v>58</v>
      </c>
      <c r="AY88" s="363" t="s">
        <v>58</v>
      </c>
      <c r="AZ88" s="363" t="s">
        <v>58</v>
      </c>
      <c r="BA88" s="363" t="s">
        <v>58</v>
      </c>
      <c r="BB88" s="363" t="s">
        <v>58</v>
      </c>
      <c r="BC88" s="363" t="s">
        <v>58</v>
      </c>
      <c r="BD88" s="363" t="s">
        <v>58</v>
      </c>
      <c r="BE88" s="363" t="s">
        <v>58</v>
      </c>
      <c r="BF88" s="363" t="s">
        <v>58</v>
      </c>
      <c r="BG88" s="363" t="s">
        <v>58</v>
      </c>
      <c r="BH88" s="363" t="s">
        <v>58</v>
      </c>
      <c r="BI88" s="837" t="s">
        <v>58</v>
      </c>
      <c r="BJ88" s="363" t="s">
        <v>58</v>
      </c>
      <c r="BK88" s="1043"/>
    </row>
    <row r="89" spans="1:63">
      <c r="A89" s="551" t="s">
        <v>769</v>
      </c>
      <c r="B89" s="123"/>
      <c r="C89" s="350" t="s">
        <v>548</v>
      </c>
      <c r="D89" s="34" t="s">
        <v>58</v>
      </c>
      <c r="E89" s="36" t="s">
        <v>58</v>
      </c>
      <c r="F89" s="363" t="s">
        <v>58</v>
      </c>
      <c r="G89" s="363" t="s">
        <v>58</v>
      </c>
      <c r="H89" s="363" t="s">
        <v>58</v>
      </c>
      <c r="I89" s="363" t="s">
        <v>58</v>
      </c>
      <c r="J89" s="363" t="s">
        <v>58</v>
      </c>
      <c r="K89" s="36" t="s">
        <v>58</v>
      </c>
      <c r="L89" s="34" t="s">
        <v>58</v>
      </c>
      <c r="M89" s="34" t="s">
        <v>58</v>
      </c>
      <c r="N89" s="363" t="s">
        <v>58</v>
      </c>
      <c r="O89" s="363" t="s">
        <v>58</v>
      </c>
      <c r="P89" s="34" t="s">
        <v>58</v>
      </c>
      <c r="Q89" s="36" t="s">
        <v>58</v>
      </c>
      <c r="R89" s="36" t="s">
        <v>58</v>
      </c>
      <c r="S89" s="36" t="s">
        <v>58</v>
      </c>
      <c r="T89" s="36" t="s">
        <v>58</v>
      </c>
      <c r="U89" s="34" t="s">
        <v>58</v>
      </c>
      <c r="V89" s="34" t="s">
        <v>58</v>
      </c>
      <c r="W89" s="222" t="s">
        <v>58</v>
      </c>
      <c r="X89" s="36" t="s">
        <v>58</v>
      </c>
      <c r="Y89" s="36" t="s">
        <v>58</v>
      </c>
      <c r="Z89" s="36" t="s">
        <v>58</v>
      </c>
      <c r="AA89" s="36" t="s">
        <v>58</v>
      </c>
      <c r="AB89" s="36" t="s">
        <v>58</v>
      </c>
      <c r="AC89" s="36" t="s">
        <v>58</v>
      </c>
      <c r="AD89" s="36" t="s">
        <v>58</v>
      </c>
      <c r="AE89" s="36" t="s">
        <v>58</v>
      </c>
      <c r="AF89" s="36" t="s">
        <v>58</v>
      </c>
      <c r="AG89" s="363" t="s">
        <v>58</v>
      </c>
      <c r="AH89" s="363" t="s">
        <v>58</v>
      </c>
      <c r="AI89" s="363" t="s">
        <v>58</v>
      </c>
      <c r="AJ89" s="34" t="s">
        <v>649</v>
      </c>
      <c r="AK89" s="36" t="s">
        <v>58</v>
      </c>
      <c r="AL89" s="363" t="s">
        <v>58</v>
      </c>
      <c r="AM89" s="363" t="s">
        <v>58</v>
      </c>
      <c r="AN89" s="363" t="s">
        <v>58</v>
      </c>
      <c r="AO89" s="36" t="s">
        <v>58</v>
      </c>
      <c r="AP89" s="36" t="s">
        <v>58</v>
      </c>
      <c r="AQ89" s="36" t="s">
        <v>58</v>
      </c>
      <c r="AR89" s="36" t="s">
        <v>58</v>
      </c>
      <c r="AS89" s="36" t="s">
        <v>58</v>
      </c>
      <c r="AT89" s="36" t="s">
        <v>58</v>
      </c>
      <c r="AU89" s="36" t="s">
        <v>58</v>
      </c>
      <c r="AV89" s="36" t="s">
        <v>58</v>
      </c>
      <c r="AW89" s="36" t="s">
        <v>58</v>
      </c>
      <c r="AX89" s="36" t="s">
        <v>58</v>
      </c>
      <c r="AY89" s="36" t="s">
        <v>58</v>
      </c>
      <c r="AZ89" s="36" t="s">
        <v>58</v>
      </c>
      <c r="BA89" s="36" t="s">
        <v>58</v>
      </c>
      <c r="BB89" s="36" t="s">
        <v>58</v>
      </c>
      <c r="BC89" s="36" t="s">
        <v>58</v>
      </c>
      <c r="BD89" s="36" t="s">
        <v>58</v>
      </c>
      <c r="BE89" s="36" t="s">
        <v>58</v>
      </c>
      <c r="BF89" s="36" t="s">
        <v>58</v>
      </c>
      <c r="BG89" s="36" t="s">
        <v>58</v>
      </c>
      <c r="BH89" s="36" t="s">
        <v>58</v>
      </c>
      <c r="BI89" s="36" t="s">
        <v>58</v>
      </c>
      <c r="BJ89" s="36" t="s">
        <v>58</v>
      </c>
      <c r="BK89" s="1043"/>
    </row>
    <row r="90" spans="1:63">
      <c r="A90" s="552" t="s">
        <v>770</v>
      </c>
      <c r="B90" s="124"/>
      <c r="C90" s="490" t="s">
        <v>548</v>
      </c>
      <c r="D90" s="360" t="s">
        <v>58</v>
      </c>
      <c r="E90" s="360" t="s">
        <v>58</v>
      </c>
      <c r="F90" s="360" t="s">
        <v>58</v>
      </c>
      <c r="G90" s="360" t="s">
        <v>58</v>
      </c>
      <c r="H90" s="360" t="s">
        <v>58</v>
      </c>
      <c r="I90" s="360" t="s">
        <v>58</v>
      </c>
      <c r="J90" s="360" t="s">
        <v>58</v>
      </c>
      <c r="K90" s="363" t="s">
        <v>58</v>
      </c>
      <c r="L90" s="360" t="s">
        <v>58</v>
      </c>
      <c r="M90" s="360" t="s">
        <v>58</v>
      </c>
      <c r="N90" s="360" t="s">
        <v>58</v>
      </c>
      <c r="O90" s="360" t="s">
        <v>58</v>
      </c>
      <c r="P90" s="360" t="s">
        <v>58</v>
      </c>
      <c r="Q90" s="363" t="s">
        <v>58</v>
      </c>
      <c r="R90" s="363" t="s">
        <v>58</v>
      </c>
      <c r="S90" s="363" t="s">
        <v>58</v>
      </c>
      <c r="T90" s="363" t="s">
        <v>58</v>
      </c>
      <c r="U90" s="360" t="s">
        <v>58</v>
      </c>
      <c r="V90" s="360" t="s">
        <v>58</v>
      </c>
      <c r="W90" s="493" t="s">
        <v>58</v>
      </c>
      <c r="X90" s="360" t="s">
        <v>58</v>
      </c>
      <c r="Y90" s="360" t="s">
        <v>58</v>
      </c>
      <c r="Z90" s="360" t="s">
        <v>58</v>
      </c>
      <c r="AA90" s="363" t="s">
        <v>58</v>
      </c>
      <c r="AB90" s="360" t="s">
        <v>58</v>
      </c>
      <c r="AC90" s="360" t="s">
        <v>58</v>
      </c>
      <c r="AD90" s="360" t="s">
        <v>58</v>
      </c>
      <c r="AE90" s="363" t="s">
        <v>58</v>
      </c>
      <c r="AF90" s="360" t="s">
        <v>58</v>
      </c>
      <c r="AG90" s="363" t="s">
        <v>58</v>
      </c>
      <c r="AH90" s="363" t="s">
        <v>58</v>
      </c>
      <c r="AI90" s="363" t="s">
        <v>58</v>
      </c>
      <c r="AJ90" s="363" t="s">
        <v>58</v>
      </c>
      <c r="AK90" s="360" t="s">
        <v>58</v>
      </c>
      <c r="AL90" s="363" t="s">
        <v>58</v>
      </c>
      <c r="AM90" s="363" t="s">
        <v>58</v>
      </c>
      <c r="AN90" s="363" t="s">
        <v>58</v>
      </c>
      <c r="AO90" s="363" t="s">
        <v>58</v>
      </c>
      <c r="AP90" s="360" t="s">
        <v>58</v>
      </c>
      <c r="AQ90" s="360" t="s">
        <v>58</v>
      </c>
      <c r="AR90" s="363" t="s">
        <v>58</v>
      </c>
      <c r="AS90" s="360" t="s">
        <v>58</v>
      </c>
      <c r="AT90" s="360" t="s">
        <v>58</v>
      </c>
      <c r="AU90" s="363" t="s">
        <v>58</v>
      </c>
      <c r="AV90" s="363" t="s">
        <v>58</v>
      </c>
      <c r="AW90" s="363" t="s">
        <v>58</v>
      </c>
      <c r="AX90" s="363" t="s">
        <v>58</v>
      </c>
      <c r="AY90" s="363" t="s">
        <v>58</v>
      </c>
      <c r="AZ90" s="363" t="s">
        <v>58</v>
      </c>
      <c r="BA90" s="363" t="s">
        <v>58</v>
      </c>
      <c r="BB90" s="363" t="s">
        <v>58</v>
      </c>
      <c r="BC90" s="363" t="s">
        <v>58</v>
      </c>
      <c r="BD90" s="363" t="s">
        <v>58</v>
      </c>
      <c r="BE90" s="363" t="s">
        <v>58</v>
      </c>
      <c r="BF90" s="363" t="s">
        <v>58</v>
      </c>
      <c r="BG90" s="363" t="s">
        <v>58</v>
      </c>
      <c r="BH90" s="363" t="s">
        <v>58</v>
      </c>
      <c r="BI90" s="837" t="s">
        <v>58</v>
      </c>
      <c r="BJ90" s="363" t="s">
        <v>58</v>
      </c>
      <c r="BK90" s="1043"/>
    </row>
    <row r="91" spans="1:63">
      <c r="A91" s="552" t="s">
        <v>771</v>
      </c>
      <c r="B91" s="124"/>
      <c r="C91" s="490" t="s">
        <v>548</v>
      </c>
      <c r="D91" s="360" t="s">
        <v>58</v>
      </c>
      <c r="E91" s="360" t="s">
        <v>58</v>
      </c>
      <c r="F91" s="360" t="s">
        <v>58</v>
      </c>
      <c r="G91" s="360" t="s">
        <v>58</v>
      </c>
      <c r="H91" s="360" t="s">
        <v>58</v>
      </c>
      <c r="I91" s="360" t="s">
        <v>58</v>
      </c>
      <c r="J91" s="360" t="s">
        <v>58</v>
      </c>
      <c r="K91" s="363" t="s">
        <v>58</v>
      </c>
      <c r="L91" s="360" t="s">
        <v>58</v>
      </c>
      <c r="M91" s="360" t="s">
        <v>58</v>
      </c>
      <c r="N91" s="360" t="s">
        <v>58</v>
      </c>
      <c r="O91" s="360" t="s">
        <v>58</v>
      </c>
      <c r="P91" s="360" t="s">
        <v>58</v>
      </c>
      <c r="Q91" s="363" t="s">
        <v>58</v>
      </c>
      <c r="R91" s="363" t="s">
        <v>58</v>
      </c>
      <c r="S91" s="363" t="s">
        <v>58</v>
      </c>
      <c r="T91" s="363" t="s">
        <v>58</v>
      </c>
      <c r="U91" s="360" t="s">
        <v>58</v>
      </c>
      <c r="V91" s="360" t="s">
        <v>58</v>
      </c>
      <c r="W91" s="493" t="s">
        <v>58</v>
      </c>
      <c r="X91" s="360" t="s">
        <v>58</v>
      </c>
      <c r="Y91" s="360" t="s">
        <v>58</v>
      </c>
      <c r="Z91" s="360" t="s">
        <v>58</v>
      </c>
      <c r="AA91" s="363" t="s">
        <v>58</v>
      </c>
      <c r="AB91" s="360" t="s">
        <v>58</v>
      </c>
      <c r="AC91" s="360" t="s">
        <v>58</v>
      </c>
      <c r="AD91" s="360" t="s">
        <v>58</v>
      </c>
      <c r="AE91" s="363" t="s">
        <v>58</v>
      </c>
      <c r="AF91" s="360" t="s">
        <v>58</v>
      </c>
      <c r="AG91" s="363" t="s">
        <v>58</v>
      </c>
      <c r="AH91" s="363" t="s">
        <v>58</v>
      </c>
      <c r="AI91" s="363" t="s">
        <v>58</v>
      </c>
      <c r="AJ91" s="363" t="s">
        <v>58</v>
      </c>
      <c r="AK91" s="360" t="s">
        <v>58</v>
      </c>
      <c r="AL91" s="363" t="s">
        <v>58</v>
      </c>
      <c r="AM91" s="363" t="s">
        <v>58</v>
      </c>
      <c r="AN91" s="363" t="s">
        <v>58</v>
      </c>
      <c r="AO91" s="363" t="s">
        <v>58</v>
      </c>
      <c r="AP91" s="360" t="s">
        <v>58</v>
      </c>
      <c r="AQ91" s="360" t="s">
        <v>58</v>
      </c>
      <c r="AR91" s="363" t="s">
        <v>58</v>
      </c>
      <c r="AS91" s="360" t="s">
        <v>58</v>
      </c>
      <c r="AT91" s="360" t="s">
        <v>58</v>
      </c>
      <c r="AU91" s="363" t="s">
        <v>58</v>
      </c>
      <c r="AV91" s="363" t="s">
        <v>58</v>
      </c>
      <c r="AW91" s="363" t="s">
        <v>58</v>
      </c>
      <c r="AX91" s="363" t="s">
        <v>58</v>
      </c>
      <c r="AY91" s="363" t="s">
        <v>58</v>
      </c>
      <c r="AZ91" s="363" t="s">
        <v>58</v>
      </c>
      <c r="BA91" s="363" t="s">
        <v>58</v>
      </c>
      <c r="BB91" s="363" t="s">
        <v>58</v>
      </c>
      <c r="BC91" s="363" t="s">
        <v>58</v>
      </c>
      <c r="BD91" s="363" t="s">
        <v>58</v>
      </c>
      <c r="BE91" s="363" t="s">
        <v>58</v>
      </c>
      <c r="BF91" s="363" t="s">
        <v>58</v>
      </c>
      <c r="BG91" s="363" t="s">
        <v>58</v>
      </c>
      <c r="BH91" s="363" t="s">
        <v>58</v>
      </c>
      <c r="BI91" s="837" t="s">
        <v>58</v>
      </c>
      <c r="BJ91" s="363" t="s">
        <v>58</v>
      </c>
      <c r="BK91" s="1043"/>
    </row>
    <row r="92" spans="1:63">
      <c r="A92" s="551" t="s">
        <v>772</v>
      </c>
      <c r="B92" s="123"/>
      <c r="C92" s="350" t="s">
        <v>548</v>
      </c>
      <c r="D92" s="34" t="s">
        <v>58</v>
      </c>
      <c r="E92" s="36" t="s">
        <v>58</v>
      </c>
      <c r="F92" s="363" t="s">
        <v>58</v>
      </c>
      <c r="G92" s="363" t="s">
        <v>58</v>
      </c>
      <c r="H92" s="363" t="s">
        <v>58</v>
      </c>
      <c r="I92" s="363" t="s">
        <v>58</v>
      </c>
      <c r="J92" s="363" t="s">
        <v>58</v>
      </c>
      <c r="K92" s="36" t="s">
        <v>58</v>
      </c>
      <c r="L92" s="34" t="s">
        <v>58</v>
      </c>
      <c r="M92" s="34" t="s">
        <v>58</v>
      </c>
      <c r="N92" s="363" t="s">
        <v>58</v>
      </c>
      <c r="O92" s="363" t="s">
        <v>58</v>
      </c>
      <c r="P92" s="34" t="s">
        <v>58</v>
      </c>
      <c r="Q92" s="36" t="s">
        <v>58</v>
      </c>
      <c r="R92" s="36" t="s">
        <v>58</v>
      </c>
      <c r="S92" s="36" t="s">
        <v>58</v>
      </c>
      <c r="T92" s="36" t="s">
        <v>58</v>
      </c>
      <c r="U92" s="34" t="s">
        <v>58</v>
      </c>
      <c r="V92" s="34" t="s">
        <v>58</v>
      </c>
      <c r="W92" s="36" t="s">
        <v>58</v>
      </c>
      <c r="X92" s="36" t="s">
        <v>58</v>
      </c>
      <c r="Y92" s="36" t="s">
        <v>58</v>
      </c>
      <c r="Z92" s="36" t="s">
        <v>58</v>
      </c>
      <c r="AA92" s="36" t="s">
        <v>58</v>
      </c>
      <c r="AB92" s="36" t="s">
        <v>58</v>
      </c>
      <c r="AC92" s="36" t="s">
        <v>58</v>
      </c>
      <c r="AD92" s="36" t="s">
        <v>58</v>
      </c>
      <c r="AE92" s="36" t="s">
        <v>58</v>
      </c>
      <c r="AF92" s="36" t="s">
        <v>58</v>
      </c>
      <c r="AG92" s="363" t="s">
        <v>58</v>
      </c>
      <c r="AH92" s="363" t="s">
        <v>58</v>
      </c>
      <c r="AI92" s="363" t="s">
        <v>58</v>
      </c>
      <c r="AJ92" s="36" t="s">
        <v>58</v>
      </c>
      <c r="AK92" s="34" t="s">
        <v>649</v>
      </c>
      <c r="AL92" s="363" t="s">
        <v>58</v>
      </c>
      <c r="AM92" s="363" t="s">
        <v>58</v>
      </c>
      <c r="AN92" s="363" t="s">
        <v>58</v>
      </c>
      <c r="AO92" s="36" t="s">
        <v>58</v>
      </c>
      <c r="AP92" s="36" t="s">
        <v>58</v>
      </c>
      <c r="AQ92" s="36" t="s">
        <v>58</v>
      </c>
      <c r="AR92" s="36" t="s">
        <v>58</v>
      </c>
      <c r="AS92" s="36" t="s">
        <v>58</v>
      </c>
      <c r="AT92" s="36" t="s">
        <v>58</v>
      </c>
      <c r="AU92" s="36" t="s">
        <v>58</v>
      </c>
      <c r="AV92" s="36" t="s">
        <v>58</v>
      </c>
      <c r="AW92" s="36" t="s">
        <v>58</v>
      </c>
      <c r="AX92" s="36" t="s">
        <v>58</v>
      </c>
      <c r="AY92" s="36" t="s">
        <v>58</v>
      </c>
      <c r="AZ92" s="36" t="s">
        <v>58</v>
      </c>
      <c r="BA92" s="36" t="s">
        <v>58</v>
      </c>
      <c r="BB92" s="36" t="s">
        <v>58</v>
      </c>
      <c r="BC92" s="36" t="s">
        <v>58</v>
      </c>
      <c r="BD92" s="36" t="s">
        <v>58</v>
      </c>
      <c r="BE92" s="36" t="s">
        <v>58</v>
      </c>
      <c r="BF92" s="36" t="s">
        <v>58</v>
      </c>
      <c r="BG92" s="36" t="s">
        <v>58</v>
      </c>
      <c r="BH92" s="36" t="s">
        <v>58</v>
      </c>
      <c r="BI92" s="36" t="s">
        <v>58</v>
      </c>
      <c r="BJ92" s="36" t="s">
        <v>58</v>
      </c>
      <c r="BK92" s="1043"/>
    </row>
    <row r="93" spans="1:63">
      <c r="A93" s="553" t="s">
        <v>773</v>
      </c>
      <c r="B93" s="490"/>
      <c r="C93" s="490" t="s">
        <v>548</v>
      </c>
      <c r="D93" s="360" t="s">
        <v>58</v>
      </c>
      <c r="E93" s="363" t="s">
        <v>58</v>
      </c>
      <c r="F93" s="363" t="s">
        <v>58</v>
      </c>
      <c r="G93" s="363" t="s">
        <v>58</v>
      </c>
      <c r="H93" s="363" t="s">
        <v>58</v>
      </c>
      <c r="I93" s="363" t="s">
        <v>58</v>
      </c>
      <c r="J93" s="363" t="s">
        <v>58</v>
      </c>
      <c r="K93" s="363" t="s">
        <v>58</v>
      </c>
      <c r="L93" s="360" t="s">
        <v>58</v>
      </c>
      <c r="M93" s="360" t="s">
        <v>58</v>
      </c>
      <c r="N93" s="363" t="s">
        <v>58</v>
      </c>
      <c r="O93" s="363" t="s">
        <v>58</v>
      </c>
      <c r="P93" s="360" t="s">
        <v>58</v>
      </c>
      <c r="Q93" s="363" t="s">
        <v>58</v>
      </c>
      <c r="R93" s="363" t="s">
        <v>58</v>
      </c>
      <c r="S93" s="363" t="s">
        <v>58</v>
      </c>
      <c r="T93" s="363" t="s">
        <v>58</v>
      </c>
      <c r="U93" s="360" t="s">
        <v>58</v>
      </c>
      <c r="V93" s="360" t="s">
        <v>58</v>
      </c>
      <c r="W93" s="363" t="s">
        <v>58</v>
      </c>
      <c r="X93" s="363" t="s">
        <v>58</v>
      </c>
      <c r="Y93" s="363" t="s">
        <v>58</v>
      </c>
      <c r="Z93" s="363" t="s">
        <v>58</v>
      </c>
      <c r="AA93" s="363" t="s">
        <v>58</v>
      </c>
      <c r="AB93" s="363" t="s">
        <v>58</v>
      </c>
      <c r="AC93" s="363" t="s">
        <v>58</v>
      </c>
      <c r="AD93" s="363" t="s">
        <v>58</v>
      </c>
      <c r="AE93" s="363" t="s">
        <v>58</v>
      </c>
      <c r="AF93" s="363" t="s">
        <v>58</v>
      </c>
      <c r="AG93" s="363" t="s">
        <v>58</v>
      </c>
      <c r="AH93" s="363" t="s">
        <v>58</v>
      </c>
      <c r="AI93" s="363" t="s">
        <v>58</v>
      </c>
      <c r="AJ93" s="363" t="s">
        <v>58</v>
      </c>
      <c r="AK93" s="363" t="s">
        <v>58</v>
      </c>
      <c r="AL93" s="363" t="s">
        <v>58</v>
      </c>
      <c r="AM93" s="363" t="s">
        <v>58</v>
      </c>
      <c r="AN93" s="363" t="s">
        <v>58</v>
      </c>
      <c r="AO93" s="363" t="s">
        <v>58</v>
      </c>
      <c r="AP93" s="363" t="s">
        <v>58</v>
      </c>
      <c r="AQ93" s="363" t="s">
        <v>58</v>
      </c>
      <c r="AR93" s="363" t="s">
        <v>58</v>
      </c>
      <c r="AS93" s="363" t="s">
        <v>58</v>
      </c>
      <c r="AT93" s="363" t="s">
        <v>58</v>
      </c>
      <c r="AU93" s="363" t="s">
        <v>58</v>
      </c>
      <c r="AV93" s="363" t="s">
        <v>58</v>
      </c>
      <c r="AW93" s="363" t="s">
        <v>58</v>
      </c>
      <c r="AX93" s="363" t="s">
        <v>58</v>
      </c>
      <c r="AY93" s="363" t="s">
        <v>58</v>
      </c>
      <c r="AZ93" s="363" t="s">
        <v>58</v>
      </c>
      <c r="BA93" s="363" t="s">
        <v>58</v>
      </c>
      <c r="BB93" s="363" t="s">
        <v>58</v>
      </c>
      <c r="BC93" s="363" t="s">
        <v>58</v>
      </c>
      <c r="BD93" s="363" t="s">
        <v>58</v>
      </c>
      <c r="BE93" s="363" t="s">
        <v>58</v>
      </c>
      <c r="BF93" s="363" t="s">
        <v>58</v>
      </c>
      <c r="BG93" s="363" t="s">
        <v>58</v>
      </c>
      <c r="BH93" s="363" t="s">
        <v>58</v>
      </c>
      <c r="BI93" s="837" t="s">
        <v>58</v>
      </c>
      <c r="BJ93" s="363" t="s">
        <v>58</v>
      </c>
      <c r="BK93" s="1043"/>
    </row>
    <row r="94" spans="1:63">
      <c r="A94" s="553" t="s">
        <v>774</v>
      </c>
      <c r="B94" s="490"/>
      <c r="C94" s="490" t="s">
        <v>548</v>
      </c>
      <c r="D94" s="360" t="s">
        <v>58</v>
      </c>
      <c r="E94" s="363" t="s">
        <v>58</v>
      </c>
      <c r="F94" s="363" t="s">
        <v>58</v>
      </c>
      <c r="G94" s="363" t="s">
        <v>58</v>
      </c>
      <c r="H94" s="363" t="s">
        <v>58</v>
      </c>
      <c r="I94" s="363" t="s">
        <v>58</v>
      </c>
      <c r="J94" s="363" t="s">
        <v>58</v>
      </c>
      <c r="K94" s="363" t="s">
        <v>58</v>
      </c>
      <c r="L94" s="360" t="s">
        <v>58</v>
      </c>
      <c r="M94" s="360" t="s">
        <v>58</v>
      </c>
      <c r="N94" s="363" t="s">
        <v>58</v>
      </c>
      <c r="O94" s="363" t="s">
        <v>58</v>
      </c>
      <c r="P94" s="360" t="s">
        <v>58</v>
      </c>
      <c r="Q94" s="363" t="s">
        <v>58</v>
      </c>
      <c r="R94" s="363" t="s">
        <v>58</v>
      </c>
      <c r="S94" s="363" t="s">
        <v>58</v>
      </c>
      <c r="T94" s="363" t="s">
        <v>58</v>
      </c>
      <c r="U94" s="360" t="s">
        <v>58</v>
      </c>
      <c r="V94" s="360" t="s">
        <v>58</v>
      </c>
      <c r="W94" s="363" t="s">
        <v>58</v>
      </c>
      <c r="X94" s="363" t="s">
        <v>58</v>
      </c>
      <c r="Y94" s="363" t="s">
        <v>58</v>
      </c>
      <c r="Z94" s="363" t="s">
        <v>58</v>
      </c>
      <c r="AA94" s="363" t="s">
        <v>58</v>
      </c>
      <c r="AB94" s="363" t="s">
        <v>58</v>
      </c>
      <c r="AC94" s="363" t="s">
        <v>58</v>
      </c>
      <c r="AD94" s="363" t="s">
        <v>58</v>
      </c>
      <c r="AE94" s="363" t="s">
        <v>58</v>
      </c>
      <c r="AF94" s="363" t="s">
        <v>58</v>
      </c>
      <c r="AG94" s="363" t="s">
        <v>58</v>
      </c>
      <c r="AH94" s="363" t="s">
        <v>58</v>
      </c>
      <c r="AI94" s="363" t="s">
        <v>58</v>
      </c>
      <c r="AJ94" s="363" t="s">
        <v>58</v>
      </c>
      <c r="AK94" s="363" t="s">
        <v>58</v>
      </c>
      <c r="AL94" s="363" t="s">
        <v>58</v>
      </c>
      <c r="AM94" s="363" t="s">
        <v>58</v>
      </c>
      <c r="AN94" s="363" t="s">
        <v>58</v>
      </c>
      <c r="AO94" s="363" t="s">
        <v>58</v>
      </c>
      <c r="AP94" s="363" t="s">
        <v>58</v>
      </c>
      <c r="AQ94" s="363" t="s">
        <v>58</v>
      </c>
      <c r="AR94" s="363" t="s">
        <v>58</v>
      </c>
      <c r="AS94" s="363" t="s">
        <v>58</v>
      </c>
      <c r="AT94" s="363" t="s">
        <v>58</v>
      </c>
      <c r="AU94" s="363" t="s">
        <v>58</v>
      </c>
      <c r="AV94" s="363" t="s">
        <v>58</v>
      </c>
      <c r="AW94" s="363" t="s">
        <v>58</v>
      </c>
      <c r="AX94" s="363" t="s">
        <v>58</v>
      </c>
      <c r="AY94" s="363" t="s">
        <v>58</v>
      </c>
      <c r="AZ94" s="363" t="s">
        <v>58</v>
      </c>
      <c r="BA94" s="363" t="s">
        <v>58</v>
      </c>
      <c r="BB94" s="363" t="s">
        <v>58</v>
      </c>
      <c r="BC94" s="363" t="s">
        <v>58</v>
      </c>
      <c r="BD94" s="363" t="s">
        <v>58</v>
      </c>
      <c r="BE94" s="363" t="s">
        <v>58</v>
      </c>
      <c r="BF94" s="363" t="s">
        <v>58</v>
      </c>
      <c r="BG94" s="363" t="s">
        <v>58</v>
      </c>
      <c r="BH94" s="363" t="s">
        <v>58</v>
      </c>
      <c r="BI94" s="837" t="s">
        <v>58</v>
      </c>
      <c r="BJ94" s="363" t="s">
        <v>58</v>
      </c>
      <c r="BK94" s="1043"/>
    </row>
    <row r="95" spans="1:63">
      <c r="A95" s="553" t="s">
        <v>775</v>
      </c>
      <c r="B95" s="490"/>
      <c r="C95" s="490" t="s">
        <v>548</v>
      </c>
      <c r="D95" s="360" t="s">
        <v>58</v>
      </c>
      <c r="E95" s="363" t="s">
        <v>58</v>
      </c>
      <c r="F95" s="363" t="s">
        <v>58</v>
      </c>
      <c r="G95" s="363" t="s">
        <v>58</v>
      </c>
      <c r="H95" s="363" t="s">
        <v>58</v>
      </c>
      <c r="I95" s="363" t="s">
        <v>58</v>
      </c>
      <c r="J95" s="363" t="s">
        <v>58</v>
      </c>
      <c r="K95" s="363" t="s">
        <v>58</v>
      </c>
      <c r="L95" s="360" t="s">
        <v>58</v>
      </c>
      <c r="M95" s="360" t="s">
        <v>58</v>
      </c>
      <c r="N95" s="363" t="s">
        <v>58</v>
      </c>
      <c r="O95" s="363" t="s">
        <v>58</v>
      </c>
      <c r="P95" s="360" t="s">
        <v>58</v>
      </c>
      <c r="Q95" s="363" t="s">
        <v>58</v>
      </c>
      <c r="R95" s="363" t="s">
        <v>58</v>
      </c>
      <c r="S95" s="363" t="s">
        <v>58</v>
      </c>
      <c r="T95" s="363" t="s">
        <v>58</v>
      </c>
      <c r="U95" s="360" t="s">
        <v>58</v>
      </c>
      <c r="V95" s="360" t="s">
        <v>58</v>
      </c>
      <c r="W95" s="363" t="s">
        <v>58</v>
      </c>
      <c r="X95" s="363" t="s">
        <v>58</v>
      </c>
      <c r="Y95" s="363" t="s">
        <v>58</v>
      </c>
      <c r="Z95" s="363" t="s">
        <v>58</v>
      </c>
      <c r="AA95" s="363" t="s">
        <v>58</v>
      </c>
      <c r="AB95" s="363" t="s">
        <v>58</v>
      </c>
      <c r="AC95" s="363" t="s">
        <v>58</v>
      </c>
      <c r="AD95" s="363" t="s">
        <v>58</v>
      </c>
      <c r="AE95" s="363" t="s">
        <v>58</v>
      </c>
      <c r="AF95" s="363" t="s">
        <v>58</v>
      </c>
      <c r="AG95" s="363" t="s">
        <v>58</v>
      </c>
      <c r="AH95" s="363" t="s">
        <v>58</v>
      </c>
      <c r="AI95" s="363" t="s">
        <v>58</v>
      </c>
      <c r="AJ95" s="363" t="s">
        <v>58</v>
      </c>
      <c r="AK95" s="363" t="s">
        <v>58</v>
      </c>
      <c r="AL95" s="363" t="s">
        <v>58</v>
      </c>
      <c r="AM95" s="363" t="s">
        <v>58</v>
      </c>
      <c r="AN95" s="363" t="s">
        <v>58</v>
      </c>
      <c r="AO95" s="363" t="s">
        <v>58</v>
      </c>
      <c r="AP95" s="363" t="s">
        <v>58</v>
      </c>
      <c r="AQ95" s="363" t="s">
        <v>58</v>
      </c>
      <c r="AR95" s="363" t="s">
        <v>58</v>
      </c>
      <c r="AS95" s="363" t="s">
        <v>58</v>
      </c>
      <c r="AT95" s="363" t="s">
        <v>58</v>
      </c>
      <c r="AU95" s="363" t="s">
        <v>58</v>
      </c>
      <c r="AV95" s="363" t="s">
        <v>58</v>
      </c>
      <c r="AW95" s="363" t="s">
        <v>58</v>
      </c>
      <c r="AX95" s="363" t="s">
        <v>58</v>
      </c>
      <c r="AY95" s="363" t="s">
        <v>58</v>
      </c>
      <c r="AZ95" s="363" t="s">
        <v>58</v>
      </c>
      <c r="BA95" s="363" t="s">
        <v>58</v>
      </c>
      <c r="BB95" s="363" t="s">
        <v>58</v>
      </c>
      <c r="BC95" s="363" t="s">
        <v>58</v>
      </c>
      <c r="BD95" s="363" t="s">
        <v>58</v>
      </c>
      <c r="BE95" s="363" t="s">
        <v>58</v>
      </c>
      <c r="BF95" s="363" t="s">
        <v>58</v>
      </c>
      <c r="BG95" s="363" t="s">
        <v>58</v>
      </c>
      <c r="BH95" s="363" t="s">
        <v>58</v>
      </c>
      <c r="BI95" s="837" t="s">
        <v>58</v>
      </c>
      <c r="BJ95" s="363" t="s">
        <v>58</v>
      </c>
      <c r="BK95" s="1043"/>
    </row>
    <row r="96" spans="1:63">
      <c r="A96" s="551" t="s">
        <v>776</v>
      </c>
      <c r="B96" s="123"/>
      <c r="C96" s="350" t="s">
        <v>548</v>
      </c>
      <c r="D96" s="43" t="s">
        <v>58</v>
      </c>
      <c r="E96" s="36" t="s">
        <v>58</v>
      </c>
      <c r="F96" s="363" t="s">
        <v>58</v>
      </c>
      <c r="G96" s="363" t="s">
        <v>58</v>
      </c>
      <c r="H96" s="363" t="s">
        <v>58</v>
      </c>
      <c r="I96" s="363" t="s">
        <v>58</v>
      </c>
      <c r="J96" s="363" t="s">
        <v>58</v>
      </c>
      <c r="K96" s="36" t="s">
        <v>58</v>
      </c>
      <c r="L96" s="43" t="s">
        <v>58</v>
      </c>
      <c r="M96" s="43" t="s">
        <v>58</v>
      </c>
      <c r="N96" s="363" t="s">
        <v>58</v>
      </c>
      <c r="O96" s="363" t="s">
        <v>58</v>
      </c>
      <c r="P96" s="43" t="s">
        <v>58</v>
      </c>
      <c r="Q96" s="36" t="s">
        <v>58</v>
      </c>
      <c r="R96" s="36" t="s">
        <v>58</v>
      </c>
      <c r="S96" s="36" t="s">
        <v>58</v>
      </c>
      <c r="T96" s="36" t="s">
        <v>58</v>
      </c>
      <c r="U96" s="43" t="s">
        <v>58</v>
      </c>
      <c r="V96" s="43" t="s">
        <v>58</v>
      </c>
      <c r="W96" s="36" t="s">
        <v>58</v>
      </c>
      <c r="X96" s="36" t="s">
        <v>58</v>
      </c>
      <c r="Y96" s="36" t="s">
        <v>58</v>
      </c>
      <c r="Z96" s="36" t="s">
        <v>58</v>
      </c>
      <c r="AA96" s="36" t="s">
        <v>58</v>
      </c>
      <c r="AB96" s="36" t="s">
        <v>58</v>
      </c>
      <c r="AC96" s="36" t="s">
        <v>58</v>
      </c>
      <c r="AD96" s="36" t="s">
        <v>58</v>
      </c>
      <c r="AE96" s="36" t="s">
        <v>58</v>
      </c>
      <c r="AF96" s="36" t="s">
        <v>58</v>
      </c>
      <c r="AG96" s="363" t="s">
        <v>58</v>
      </c>
      <c r="AH96" s="363" t="s">
        <v>58</v>
      </c>
      <c r="AI96" s="363" t="s">
        <v>58</v>
      </c>
      <c r="AJ96" s="36" t="s">
        <v>58</v>
      </c>
      <c r="AK96" s="36" t="s">
        <v>58</v>
      </c>
      <c r="AL96" s="363" t="s">
        <v>58</v>
      </c>
      <c r="AM96" s="363" t="s">
        <v>58</v>
      </c>
      <c r="AN96" s="363" t="s">
        <v>58</v>
      </c>
      <c r="AO96" s="34" t="s">
        <v>649</v>
      </c>
      <c r="AP96" s="36" t="s">
        <v>58</v>
      </c>
      <c r="AQ96" s="36" t="s">
        <v>58</v>
      </c>
      <c r="AR96" s="36" t="s">
        <v>58</v>
      </c>
      <c r="AS96" s="36" t="s">
        <v>58</v>
      </c>
      <c r="AT96" s="36" t="s">
        <v>58</v>
      </c>
      <c r="AU96" s="36" t="s">
        <v>58</v>
      </c>
      <c r="AV96" s="36" t="s">
        <v>58</v>
      </c>
      <c r="AW96" s="36" t="s">
        <v>58</v>
      </c>
      <c r="AX96" s="36" t="s">
        <v>58</v>
      </c>
      <c r="AY96" s="36" t="s">
        <v>58</v>
      </c>
      <c r="AZ96" s="36" t="s">
        <v>58</v>
      </c>
      <c r="BA96" s="36" t="s">
        <v>58</v>
      </c>
      <c r="BB96" s="36" t="s">
        <v>58</v>
      </c>
      <c r="BC96" s="36" t="s">
        <v>58</v>
      </c>
      <c r="BD96" s="36" t="s">
        <v>58</v>
      </c>
      <c r="BE96" s="36" t="s">
        <v>58</v>
      </c>
      <c r="BF96" s="36" t="s">
        <v>58</v>
      </c>
      <c r="BG96" s="36" t="s">
        <v>58</v>
      </c>
      <c r="BH96" s="36" t="s">
        <v>58</v>
      </c>
      <c r="BI96" s="36" t="s">
        <v>58</v>
      </c>
      <c r="BJ96" s="36" t="s">
        <v>58</v>
      </c>
      <c r="BK96" s="1043"/>
    </row>
    <row r="97" spans="1:63">
      <c r="A97" s="551" t="s">
        <v>594</v>
      </c>
      <c r="B97" s="123"/>
      <c r="C97" s="350" t="s">
        <v>58</v>
      </c>
      <c r="D97" s="34" t="s">
        <v>58</v>
      </c>
      <c r="E97" s="36" t="s">
        <v>58</v>
      </c>
      <c r="F97" s="363" t="s">
        <v>58</v>
      </c>
      <c r="G97" s="363" t="s">
        <v>58</v>
      </c>
      <c r="H97" s="363" t="s">
        <v>58</v>
      </c>
      <c r="I97" s="363" t="s">
        <v>58</v>
      </c>
      <c r="J97" s="363" t="s">
        <v>58</v>
      </c>
      <c r="K97" s="36" t="s">
        <v>58</v>
      </c>
      <c r="L97" s="34" t="s">
        <v>58</v>
      </c>
      <c r="M97" s="34" t="s">
        <v>58</v>
      </c>
      <c r="N97" s="363" t="s">
        <v>58</v>
      </c>
      <c r="O97" s="363" t="s">
        <v>58</v>
      </c>
      <c r="P97" s="34" t="s">
        <v>58</v>
      </c>
      <c r="Q97" s="36" t="s">
        <v>58</v>
      </c>
      <c r="R97" s="36" t="s">
        <v>58</v>
      </c>
      <c r="S97" s="36" t="s">
        <v>58</v>
      </c>
      <c r="T97" s="36" t="s">
        <v>58</v>
      </c>
      <c r="U97" s="34" t="s">
        <v>58</v>
      </c>
      <c r="V97" s="34" t="s">
        <v>58</v>
      </c>
      <c r="W97" s="222" t="s">
        <v>58</v>
      </c>
      <c r="X97" s="36" t="s">
        <v>58</v>
      </c>
      <c r="Y97" s="36" t="s">
        <v>58</v>
      </c>
      <c r="Z97" s="36" t="s">
        <v>58</v>
      </c>
      <c r="AA97" s="36" t="s">
        <v>58</v>
      </c>
      <c r="AB97" s="36" t="s">
        <v>58</v>
      </c>
      <c r="AC97" s="36" t="s">
        <v>58</v>
      </c>
      <c r="AD97" s="36" t="s">
        <v>58</v>
      </c>
      <c r="AE97" s="36" t="s">
        <v>58</v>
      </c>
      <c r="AF97" s="36" t="s">
        <v>58</v>
      </c>
      <c r="AG97" s="363" t="s">
        <v>58</v>
      </c>
      <c r="AH97" s="363" t="s">
        <v>58</v>
      </c>
      <c r="AI97" s="363" t="s">
        <v>58</v>
      </c>
      <c r="AJ97" s="36" t="s">
        <v>58</v>
      </c>
      <c r="AK97" s="36" t="s">
        <v>58</v>
      </c>
      <c r="AL97" s="363" t="s">
        <v>58</v>
      </c>
      <c r="AM97" s="363" t="s">
        <v>58</v>
      </c>
      <c r="AN97" s="363" t="s">
        <v>58</v>
      </c>
      <c r="AO97" s="36" t="s">
        <v>58</v>
      </c>
      <c r="AP97" s="34" t="s">
        <v>647</v>
      </c>
      <c r="AQ97" s="34" t="s">
        <v>58</v>
      </c>
      <c r="AR97" s="36" t="s">
        <v>58</v>
      </c>
      <c r="AS97" s="34" t="s">
        <v>58</v>
      </c>
      <c r="AT97" s="34" t="s">
        <v>58</v>
      </c>
      <c r="AU97" s="36" t="s">
        <v>58</v>
      </c>
      <c r="AV97" s="36" t="s">
        <v>58</v>
      </c>
      <c r="AW97" s="36" t="s">
        <v>58</v>
      </c>
      <c r="AX97" s="36" t="s">
        <v>58</v>
      </c>
      <c r="AY97" s="36" t="s">
        <v>58</v>
      </c>
      <c r="AZ97" s="36" t="s">
        <v>58</v>
      </c>
      <c r="BA97" s="36" t="s">
        <v>58</v>
      </c>
      <c r="BB97" s="36" t="s">
        <v>58</v>
      </c>
      <c r="BC97" s="36" t="s">
        <v>58</v>
      </c>
      <c r="BD97" s="36" t="s">
        <v>58</v>
      </c>
      <c r="BE97" s="36" t="s">
        <v>58</v>
      </c>
      <c r="BF97" s="36" t="s">
        <v>58</v>
      </c>
      <c r="BG97" s="36" t="s">
        <v>58</v>
      </c>
      <c r="BH97" s="36" t="s">
        <v>58</v>
      </c>
      <c r="BI97" s="36" t="s">
        <v>58</v>
      </c>
      <c r="BJ97" s="36" t="s">
        <v>58</v>
      </c>
      <c r="BK97" s="1043"/>
    </row>
    <row r="98" spans="1:63">
      <c r="A98" s="551" t="s">
        <v>595</v>
      </c>
      <c r="B98" s="191"/>
      <c r="C98" s="484" t="s">
        <v>58</v>
      </c>
      <c r="D98" s="34" t="s">
        <v>58</v>
      </c>
      <c r="E98" s="36" t="s">
        <v>58</v>
      </c>
      <c r="F98" s="363" t="s">
        <v>58</v>
      </c>
      <c r="G98" s="363" t="s">
        <v>58</v>
      </c>
      <c r="H98" s="363" t="s">
        <v>58</v>
      </c>
      <c r="I98" s="363" t="s">
        <v>58</v>
      </c>
      <c r="J98" s="363" t="s">
        <v>58</v>
      </c>
      <c r="K98" s="36" t="s">
        <v>58</v>
      </c>
      <c r="L98" s="34" t="s">
        <v>58</v>
      </c>
      <c r="M98" s="34" t="s">
        <v>58</v>
      </c>
      <c r="N98" s="363" t="s">
        <v>58</v>
      </c>
      <c r="O98" s="363" t="s">
        <v>58</v>
      </c>
      <c r="P98" s="34" t="s">
        <v>58</v>
      </c>
      <c r="Q98" s="36" t="s">
        <v>58</v>
      </c>
      <c r="R98" s="36" t="s">
        <v>58</v>
      </c>
      <c r="S98" s="36" t="s">
        <v>58</v>
      </c>
      <c r="T98" s="36" t="s">
        <v>58</v>
      </c>
      <c r="U98" s="34" t="s">
        <v>58</v>
      </c>
      <c r="V98" s="34" t="s">
        <v>58</v>
      </c>
      <c r="W98" s="222" t="s">
        <v>58</v>
      </c>
      <c r="X98" s="36" t="s">
        <v>58</v>
      </c>
      <c r="Y98" s="36" t="s">
        <v>58</v>
      </c>
      <c r="Z98" s="36" t="s">
        <v>58</v>
      </c>
      <c r="AA98" s="36" t="s">
        <v>58</v>
      </c>
      <c r="AB98" s="36" t="s">
        <v>58</v>
      </c>
      <c r="AC98" s="36" t="s">
        <v>58</v>
      </c>
      <c r="AD98" s="36" t="s">
        <v>58</v>
      </c>
      <c r="AE98" s="36" t="s">
        <v>58</v>
      </c>
      <c r="AF98" s="36" t="s">
        <v>58</v>
      </c>
      <c r="AG98" s="363" t="s">
        <v>58</v>
      </c>
      <c r="AH98" s="363" t="s">
        <v>58</v>
      </c>
      <c r="AI98" s="363" t="s">
        <v>58</v>
      </c>
      <c r="AJ98" s="36" t="s">
        <v>58</v>
      </c>
      <c r="AK98" s="36" t="s">
        <v>58</v>
      </c>
      <c r="AL98" s="363" t="s">
        <v>58</v>
      </c>
      <c r="AM98" s="363" t="s">
        <v>58</v>
      </c>
      <c r="AN98" s="363" t="s">
        <v>58</v>
      </c>
      <c r="AO98" s="36" t="s">
        <v>58</v>
      </c>
      <c r="AP98" s="34" t="s">
        <v>58</v>
      </c>
      <c r="AQ98" s="34" t="s">
        <v>647</v>
      </c>
      <c r="AR98" s="36" t="s">
        <v>58</v>
      </c>
      <c r="AS98" s="34" t="s">
        <v>58</v>
      </c>
      <c r="AT98" s="34" t="s">
        <v>58</v>
      </c>
      <c r="AU98" s="36" t="s">
        <v>58</v>
      </c>
      <c r="AV98" s="36" t="s">
        <v>58</v>
      </c>
      <c r="AW98" s="36" t="s">
        <v>58</v>
      </c>
      <c r="AX98" s="36" t="s">
        <v>58</v>
      </c>
      <c r="AY98" s="36" t="s">
        <v>58</v>
      </c>
      <c r="AZ98" s="36" t="s">
        <v>58</v>
      </c>
      <c r="BA98" s="36" t="s">
        <v>58</v>
      </c>
      <c r="BB98" s="36" t="s">
        <v>58</v>
      </c>
      <c r="BC98" s="36" t="s">
        <v>58</v>
      </c>
      <c r="BD98" s="36" t="s">
        <v>58</v>
      </c>
      <c r="BE98" s="36" t="s">
        <v>58</v>
      </c>
      <c r="BF98" s="36" t="s">
        <v>58</v>
      </c>
      <c r="BG98" s="36" t="s">
        <v>58</v>
      </c>
      <c r="BH98" s="36" t="s">
        <v>58</v>
      </c>
      <c r="BI98" s="36" t="s">
        <v>58</v>
      </c>
      <c r="BJ98" s="36" t="s">
        <v>58</v>
      </c>
      <c r="BK98" s="1043"/>
    </row>
    <row r="99" spans="1:63">
      <c r="A99" s="551" t="s">
        <v>596</v>
      </c>
      <c r="B99" s="123"/>
      <c r="C99" s="350" t="s">
        <v>58</v>
      </c>
      <c r="D99" s="34" t="s">
        <v>58</v>
      </c>
      <c r="E99" s="36" t="s">
        <v>58</v>
      </c>
      <c r="F99" s="363" t="s">
        <v>58</v>
      </c>
      <c r="G99" s="363" t="s">
        <v>58</v>
      </c>
      <c r="H99" s="363" t="s">
        <v>58</v>
      </c>
      <c r="I99" s="363" t="s">
        <v>58</v>
      </c>
      <c r="J99" s="363" t="s">
        <v>58</v>
      </c>
      <c r="K99" s="36" t="s">
        <v>58</v>
      </c>
      <c r="L99" s="34" t="s">
        <v>58</v>
      </c>
      <c r="M99" s="34" t="s">
        <v>58</v>
      </c>
      <c r="N99" s="363" t="s">
        <v>58</v>
      </c>
      <c r="O99" s="363" t="s">
        <v>58</v>
      </c>
      <c r="P99" s="34" t="s">
        <v>58</v>
      </c>
      <c r="Q99" s="36" t="s">
        <v>58</v>
      </c>
      <c r="R99" s="36" t="s">
        <v>58</v>
      </c>
      <c r="S99" s="36" t="s">
        <v>58</v>
      </c>
      <c r="T99" s="36" t="s">
        <v>58</v>
      </c>
      <c r="U99" s="34" t="s">
        <v>58</v>
      </c>
      <c r="V99" s="34" t="s">
        <v>58</v>
      </c>
      <c r="W99" s="222" t="s">
        <v>58</v>
      </c>
      <c r="X99" s="36" t="s">
        <v>58</v>
      </c>
      <c r="Y99" s="36" t="s">
        <v>58</v>
      </c>
      <c r="Z99" s="36" t="s">
        <v>58</v>
      </c>
      <c r="AA99" s="36" t="s">
        <v>58</v>
      </c>
      <c r="AB99" s="36" t="s">
        <v>58</v>
      </c>
      <c r="AC99" s="36" t="s">
        <v>58</v>
      </c>
      <c r="AD99" s="36" t="s">
        <v>58</v>
      </c>
      <c r="AE99" s="36" t="s">
        <v>58</v>
      </c>
      <c r="AF99" s="36" t="s">
        <v>58</v>
      </c>
      <c r="AG99" s="363" t="s">
        <v>58</v>
      </c>
      <c r="AH99" s="363" t="s">
        <v>58</v>
      </c>
      <c r="AI99" s="363" t="s">
        <v>58</v>
      </c>
      <c r="AJ99" s="36" t="s">
        <v>58</v>
      </c>
      <c r="AK99" s="36" t="s">
        <v>58</v>
      </c>
      <c r="AL99" s="363" t="s">
        <v>58</v>
      </c>
      <c r="AM99" s="363" t="s">
        <v>58</v>
      </c>
      <c r="AN99" s="363" t="s">
        <v>58</v>
      </c>
      <c r="AO99" s="36" t="s">
        <v>58</v>
      </c>
      <c r="AP99" s="34" t="s">
        <v>58</v>
      </c>
      <c r="AQ99" s="34" t="s">
        <v>58</v>
      </c>
      <c r="AR99" s="34" t="s">
        <v>647</v>
      </c>
      <c r="AS99" s="34" t="s">
        <v>58</v>
      </c>
      <c r="AT99" s="34" t="s">
        <v>58</v>
      </c>
      <c r="AU99" s="36" t="s">
        <v>58</v>
      </c>
      <c r="AV99" s="36" t="s">
        <v>58</v>
      </c>
      <c r="AW99" s="36" t="s">
        <v>58</v>
      </c>
      <c r="AX99" s="36" t="s">
        <v>58</v>
      </c>
      <c r="AY99" s="36" t="s">
        <v>58</v>
      </c>
      <c r="AZ99" s="36" t="s">
        <v>58</v>
      </c>
      <c r="BA99" s="36" t="s">
        <v>58</v>
      </c>
      <c r="BB99" s="36" t="s">
        <v>58</v>
      </c>
      <c r="BC99" s="36" t="s">
        <v>58</v>
      </c>
      <c r="BD99" s="36" t="s">
        <v>58</v>
      </c>
      <c r="BE99" s="36" t="s">
        <v>58</v>
      </c>
      <c r="BF99" s="36" t="s">
        <v>58</v>
      </c>
      <c r="BG99" s="36" t="s">
        <v>58</v>
      </c>
      <c r="BH99" s="36" t="s">
        <v>58</v>
      </c>
      <c r="BI99" s="36" t="s">
        <v>58</v>
      </c>
      <c r="BJ99" s="36" t="s">
        <v>58</v>
      </c>
      <c r="BK99" s="1043"/>
    </row>
    <row r="100" spans="1:63">
      <c r="A100" s="551" t="s">
        <v>600</v>
      </c>
      <c r="B100" s="123"/>
      <c r="C100" s="350" t="s">
        <v>58</v>
      </c>
      <c r="D100" s="34" t="s">
        <v>58</v>
      </c>
      <c r="E100" s="36" t="s">
        <v>58</v>
      </c>
      <c r="F100" s="363" t="s">
        <v>58</v>
      </c>
      <c r="G100" s="363" t="s">
        <v>58</v>
      </c>
      <c r="H100" s="363" t="s">
        <v>58</v>
      </c>
      <c r="I100" s="363" t="s">
        <v>58</v>
      </c>
      <c r="J100" s="363" t="s">
        <v>58</v>
      </c>
      <c r="K100" s="36" t="s">
        <v>58</v>
      </c>
      <c r="L100" s="34" t="s">
        <v>58</v>
      </c>
      <c r="M100" s="34" t="s">
        <v>58</v>
      </c>
      <c r="N100" s="363" t="s">
        <v>58</v>
      </c>
      <c r="O100" s="363" t="s">
        <v>58</v>
      </c>
      <c r="P100" s="34" t="s">
        <v>58</v>
      </c>
      <c r="Q100" s="36" t="s">
        <v>58</v>
      </c>
      <c r="R100" s="36" t="s">
        <v>58</v>
      </c>
      <c r="S100" s="36" t="s">
        <v>58</v>
      </c>
      <c r="T100" s="36" t="s">
        <v>58</v>
      </c>
      <c r="U100" s="34" t="s">
        <v>58</v>
      </c>
      <c r="V100" s="34" t="s">
        <v>58</v>
      </c>
      <c r="W100" s="222" t="s">
        <v>58</v>
      </c>
      <c r="X100" s="36" t="s">
        <v>58</v>
      </c>
      <c r="Y100" s="36" t="s">
        <v>58</v>
      </c>
      <c r="Z100" s="36" t="s">
        <v>58</v>
      </c>
      <c r="AA100" s="36" t="s">
        <v>58</v>
      </c>
      <c r="AB100" s="36" t="s">
        <v>58</v>
      </c>
      <c r="AC100" s="36" t="s">
        <v>58</v>
      </c>
      <c r="AD100" s="36" t="s">
        <v>58</v>
      </c>
      <c r="AE100" s="36" t="s">
        <v>58</v>
      </c>
      <c r="AF100" s="36" t="s">
        <v>58</v>
      </c>
      <c r="AG100" s="363" t="s">
        <v>58</v>
      </c>
      <c r="AH100" s="363" t="s">
        <v>58</v>
      </c>
      <c r="AI100" s="363" t="s">
        <v>58</v>
      </c>
      <c r="AJ100" s="36" t="s">
        <v>58</v>
      </c>
      <c r="AK100" s="36" t="s">
        <v>58</v>
      </c>
      <c r="AL100" s="363" t="s">
        <v>58</v>
      </c>
      <c r="AM100" s="363" t="s">
        <v>58</v>
      </c>
      <c r="AN100" s="363" t="s">
        <v>58</v>
      </c>
      <c r="AO100" s="36" t="s">
        <v>58</v>
      </c>
      <c r="AP100" s="34" t="s">
        <v>58</v>
      </c>
      <c r="AQ100" s="34" t="s">
        <v>58</v>
      </c>
      <c r="AR100" s="36" t="s">
        <v>58</v>
      </c>
      <c r="AS100" s="34" t="s">
        <v>647</v>
      </c>
      <c r="AT100" s="34" t="s">
        <v>58</v>
      </c>
      <c r="AU100" s="36" t="s">
        <v>58</v>
      </c>
      <c r="AV100" s="36" t="s">
        <v>58</v>
      </c>
      <c r="AW100" s="36" t="s">
        <v>58</v>
      </c>
      <c r="AX100" s="36" t="s">
        <v>58</v>
      </c>
      <c r="AY100" s="36" t="s">
        <v>58</v>
      </c>
      <c r="AZ100" s="36" t="s">
        <v>58</v>
      </c>
      <c r="BA100" s="36" t="s">
        <v>58</v>
      </c>
      <c r="BB100" s="36" t="s">
        <v>58</v>
      </c>
      <c r="BC100" s="36" t="s">
        <v>58</v>
      </c>
      <c r="BD100" s="36" t="s">
        <v>58</v>
      </c>
      <c r="BE100" s="36" t="s">
        <v>58</v>
      </c>
      <c r="BF100" s="36" t="s">
        <v>58</v>
      </c>
      <c r="BG100" s="36" t="s">
        <v>58</v>
      </c>
      <c r="BH100" s="36" t="s">
        <v>58</v>
      </c>
      <c r="BI100" s="36" t="s">
        <v>58</v>
      </c>
      <c r="BJ100" s="36" t="s">
        <v>58</v>
      </c>
      <c r="BK100" s="1043"/>
    </row>
    <row r="101" spans="1:63">
      <c r="A101" s="551" t="s">
        <v>601</v>
      </c>
      <c r="B101" s="123"/>
      <c r="C101" s="350" t="s">
        <v>58</v>
      </c>
      <c r="D101" s="34" t="s">
        <v>58</v>
      </c>
      <c r="E101" s="36" t="s">
        <v>58</v>
      </c>
      <c r="F101" s="363" t="s">
        <v>58</v>
      </c>
      <c r="G101" s="363" t="s">
        <v>58</v>
      </c>
      <c r="H101" s="363" t="s">
        <v>58</v>
      </c>
      <c r="I101" s="363" t="s">
        <v>58</v>
      </c>
      <c r="J101" s="363" t="s">
        <v>58</v>
      </c>
      <c r="K101" s="36" t="s">
        <v>58</v>
      </c>
      <c r="L101" s="34" t="s">
        <v>58</v>
      </c>
      <c r="M101" s="34" t="s">
        <v>58</v>
      </c>
      <c r="N101" s="363" t="s">
        <v>58</v>
      </c>
      <c r="O101" s="363" t="s">
        <v>58</v>
      </c>
      <c r="P101" s="34" t="s">
        <v>58</v>
      </c>
      <c r="Q101" s="36" t="s">
        <v>58</v>
      </c>
      <c r="R101" s="36" t="s">
        <v>58</v>
      </c>
      <c r="S101" s="36" t="s">
        <v>58</v>
      </c>
      <c r="T101" s="36" t="s">
        <v>58</v>
      </c>
      <c r="U101" s="34" t="s">
        <v>58</v>
      </c>
      <c r="V101" s="34" t="s">
        <v>58</v>
      </c>
      <c r="W101" s="222" t="s">
        <v>58</v>
      </c>
      <c r="X101" s="36" t="s">
        <v>58</v>
      </c>
      <c r="Y101" s="36" t="s">
        <v>58</v>
      </c>
      <c r="Z101" s="36" t="s">
        <v>58</v>
      </c>
      <c r="AA101" s="36" t="s">
        <v>58</v>
      </c>
      <c r="AB101" s="36" t="s">
        <v>58</v>
      </c>
      <c r="AC101" s="36" t="s">
        <v>58</v>
      </c>
      <c r="AD101" s="36" t="s">
        <v>58</v>
      </c>
      <c r="AE101" s="36" t="s">
        <v>58</v>
      </c>
      <c r="AF101" s="36" t="s">
        <v>58</v>
      </c>
      <c r="AG101" s="363" t="s">
        <v>58</v>
      </c>
      <c r="AH101" s="363" t="s">
        <v>58</v>
      </c>
      <c r="AI101" s="363" t="s">
        <v>58</v>
      </c>
      <c r="AJ101" s="36" t="s">
        <v>58</v>
      </c>
      <c r="AK101" s="36" t="s">
        <v>58</v>
      </c>
      <c r="AL101" s="363" t="s">
        <v>58</v>
      </c>
      <c r="AM101" s="363" t="s">
        <v>58</v>
      </c>
      <c r="AN101" s="363" t="s">
        <v>58</v>
      </c>
      <c r="AO101" s="36" t="s">
        <v>58</v>
      </c>
      <c r="AP101" s="34" t="s">
        <v>58</v>
      </c>
      <c r="AQ101" s="34" t="s">
        <v>58</v>
      </c>
      <c r="AR101" s="36" t="s">
        <v>58</v>
      </c>
      <c r="AS101" s="34" t="s">
        <v>58</v>
      </c>
      <c r="AT101" s="34" t="s">
        <v>647</v>
      </c>
      <c r="AU101" s="36" t="s">
        <v>58</v>
      </c>
      <c r="AV101" s="36" t="s">
        <v>58</v>
      </c>
      <c r="AW101" s="36" t="s">
        <v>58</v>
      </c>
      <c r="AX101" s="36" t="s">
        <v>58</v>
      </c>
      <c r="AY101" s="36" t="s">
        <v>58</v>
      </c>
      <c r="AZ101" s="36" t="s">
        <v>58</v>
      </c>
      <c r="BA101" s="36" t="s">
        <v>58</v>
      </c>
      <c r="BB101" s="36" t="s">
        <v>58</v>
      </c>
      <c r="BC101" s="36" t="s">
        <v>58</v>
      </c>
      <c r="BD101" s="36" t="s">
        <v>58</v>
      </c>
      <c r="BE101" s="36" t="s">
        <v>58</v>
      </c>
      <c r="BF101" s="36" t="s">
        <v>58</v>
      </c>
      <c r="BG101" s="36" t="s">
        <v>58</v>
      </c>
      <c r="BH101" s="36" t="s">
        <v>58</v>
      </c>
      <c r="BI101" s="36" t="s">
        <v>58</v>
      </c>
      <c r="BJ101" s="36" t="s">
        <v>58</v>
      </c>
      <c r="BK101" s="1043"/>
    </row>
    <row r="102" spans="1:63">
      <c r="A102" s="551" t="s">
        <v>602</v>
      </c>
      <c r="B102" s="123"/>
      <c r="C102" s="350" t="s">
        <v>58</v>
      </c>
      <c r="D102" s="34" t="s">
        <v>58</v>
      </c>
      <c r="E102" s="36" t="s">
        <v>58</v>
      </c>
      <c r="F102" s="363" t="s">
        <v>58</v>
      </c>
      <c r="G102" s="363" t="s">
        <v>58</v>
      </c>
      <c r="H102" s="363" t="s">
        <v>58</v>
      </c>
      <c r="I102" s="363" t="s">
        <v>58</v>
      </c>
      <c r="J102" s="363" t="s">
        <v>58</v>
      </c>
      <c r="K102" s="36" t="s">
        <v>58</v>
      </c>
      <c r="L102" s="34" t="s">
        <v>58</v>
      </c>
      <c r="M102" s="34" t="s">
        <v>58</v>
      </c>
      <c r="N102" s="363" t="s">
        <v>58</v>
      </c>
      <c r="O102" s="363" t="s">
        <v>58</v>
      </c>
      <c r="P102" s="34" t="s">
        <v>58</v>
      </c>
      <c r="Q102" s="36" t="s">
        <v>58</v>
      </c>
      <c r="R102" s="36" t="s">
        <v>58</v>
      </c>
      <c r="S102" s="36" t="s">
        <v>58</v>
      </c>
      <c r="T102" s="36" t="s">
        <v>58</v>
      </c>
      <c r="U102" s="34" t="s">
        <v>58</v>
      </c>
      <c r="V102" s="34" t="s">
        <v>58</v>
      </c>
      <c r="W102" s="222" t="s">
        <v>58</v>
      </c>
      <c r="X102" s="36" t="s">
        <v>58</v>
      </c>
      <c r="Y102" s="36" t="s">
        <v>58</v>
      </c>
      <c r="Z102" s="36" t="s">
        <v>58</v>
      </c>
      <c r="AA102" s="36" t="s">
        <v>58</v>
      </c>
      <c r="AB102" s="36" t="s">
        <v>58</v>
      </c>
      <c r="AC102" s="36" t="s">
        <v>58</v>
      </c>
      <c r="AD102" s="36" t="s">
        <v>58</v>
      </c>
      <c r="AE102" s="36" t="s">
        <v>58</v>
      </c>
      <c r="AF102" s="36" t="s">
        <v>58</v>
      </c>
      <c r="AG102" s="363" t="s">
        <v>58</v>
      </c>
      <c r="AH102" s="363" t="s">
        <v>58</v>
      </c>
      <c r="AI102" s="363" t="s">
        <v>58</v>
      </c>
      <c r="AJ102" s="36" t="s">
        <v>58</v>
      </c>
      <c r="AK102" s="36" t="s">
        <v>58</v>
      </c>
      <c r="AL102" s="363" t="s">
        <v>58</v>
      </c>
      <c r="AM102" s="363" t="s">
        <v>58</v>
      </c>
      <c r="AN102" s="363" t="s">
        <v>58</v>
      </c>
      <c r="AO102" s="36" t="s">
        <v>58</v>
      </c>
      <c r="AP102" s="34" t="s">
        <v>58</v>
      </c>
      <c r="AQ102" s="34" t="s">
        <v>58</v>
      </c>
      <c r="AR102" s="36" t="s">
        <v>58</v>
      </c>
      <c r="AS102" s="34" t="s">
        <v>58</v>
      </c>
      <c r="AT102" s="34" t="s">
        <v>58</v>
      </c>
      <c r="AU102" s="34" t="s">
        <v>647</v>
      </c>
      <c r="AV102" s="36" t="s">
        <v>58</v>
      </c>
      <c r="AW102" s="36" t="s">
        <v>58</v>
      </c>
      <c r="AX102" s="36" t="s">
        <v>58</v>
      </c>
      <c r="AY102" s="36" t="s">
        <v>58</v>
      </c>
      <c r="AZ102" s="36" t="s">
        <v>58</v>
      </c>
      <c r="BA102" s="36" t="s">
        <v>58</v>
      </c>
      <c r="BB102" s="36" t="s">
        <v>58</v>
      </c>
      <c r="BC102" s="36" t="s">
        <v>58</v>
      </c>
      <c r="BD102" s="36" t="s">
        <v>58</v>
      </c>
      <c r="BE102" s="36" t="s">
        <v>58</v>
      </c>
      <c r="BF102" s="36" t="s">
        <v>58</v>
      </c>
      <c r="BG102" s="36" t="s">
        <v>58</v>
      </c>
      <c r="BH102" s="36" t="s">
        <v>58</v>
      </c>
      <c r="BI102" s="36" t="s">
        <v>58</v>
      </c>
      <c r="BJ102" s="36" t="s">
        <v>58</v>
      </c>
      <c r="BK102" s="1043"/>
    </row>
    <row r="103" spans="1:63">
      <c r="A103" s="551" t="s">
        <v>777</v>
      </c>
      <c r="B103" s="497"/>
      <c r="C103" s="350" t="s">
        <v>548</v>
      </c>
      <c r="D103" s="34" t="s">
        <v>58</v>
      </c>
      <c r="E103" s="34" t="s">
        <v>58</v>
      </c>
      <c r="F103" s="360" t="s">
        <v>58</v>
      </c>
      <c r="G103" s="360" t="s">
        <v>58</v>
      </c>
      <c r="H103" s="360" t="s">
        <v>58</v>
      </c>
      <c r="I103" s="360" t="s">
        <v>58</v>
      </c>
      <c r="J103" s="360" t="s">
        <v>58</v>
      </c>
      <c r="K103" s="36" t="s">
        <v>58</v>
      </c>
      <c r="L103" s="43" t="s">
        <v>58</v>
      </c>
      <c r="M103" s="43" t="s">
        <v>58</v>
      </c>
      <c r="N103" s="360" t="s">
        <v>58</v>
      </c>
      <c r="O103" s="360" t="s">
        <v>58</v>
      </c>
      <c r="P103" s="43" t="s">
        <v>58</v>
      </c>
      <c r="Q103" s="36" t="s">
        <v>58</v>
      </c>
      <c r="R103" s="36" t="s">
        <v>58</v>
      </c>
      <c r="S103" s="36" t="s">
        <v>58</v>
      </c>
      <c r="T103" s="36" t="s">
        <v>58</v>
      </c>
      <c r="U103" s="43" t="s">
        <v>58</v>
      </c>
      <c r="V103" s="43" t="s">
        <v>58</v>
      </c>
      <c r="W103" s="221" t="s">
        <v>58</v>
      </c>
      <c r="X103" s="34" t="s">
        <v>58</v>
      </c>
      <c r="Y103" s="34" t="s">
        <v>58</v>
      </c>
      <c r="Z103" s="34" t="s">
        <v>58</v>
      </c>
      <c r="AA103" s="36" t="s">
        <v>58</v>
      </c>
      <c r="AB103" s="34" t="s">
        <v>58</v>
      </c>
      <c r="AC103" s="34" t="s">
        <v>58</v>
      </c>
      <c r="AD103" s="34" t="s">
        <v>58</v>
      </c>
      <c r="AE103" s="36" t="s">
        <v>58</v>
      </c>
      <c r="AF103" s="34" t="s">
        <v>58</v>
      </c>
      <c r="AG103" s="360" t="s">
        <v>58</v>
      </c>
      <c r="AH103" s="360" t="s">
        <v>58</v>
      </c>
      <c r="AI103" s="363" t="s">
        <v>58</v>
      </c>
      <c r="AJ103" s="36" t="s">
        <v>58</v>
      </c>
      <c r="AK103" s="36" t="s">
        <v>58</v>
      </c>
      <c r="AL103" s="360" t="s">
        <v>58</v>
      </c>
      <c r="AM103" s="360" t="s">
        <v>58</v>
      </c>
      <c r="AN103" s="363" t="s">
        <v>58</v>
      </c>
      <c r="AO103" s="36" t="s">
        <v>58</v>
      </c>
      <c r="AP103" s="36" t="s">
        <v>58</v>
      </c>
      <c r="AQ103" s="36" t="s">
        <v>58</v>
      </c>
      <c r="AR103" s="36" t="s">
        <v>58</v>
      </c>
      <c r="AS103" s="36" t="s">
        <v>58</v>
      </c>
      <c r="AT103" s="36" t="s">
        <v>58</v>
      </c>
      <c r="AU103" s="36" t="s">
        <v>58</v>
      </c>
      <c r="AV103" s="36" t="s">
        <v>649</v>
      </c>
      <c r="AW103" s="36" t="s">
        <v>58</v>
      </c>
      <c r="AX103" s="36" t="s">
        <v>58</v>
      </c>
      <c r="AY103" s="36" t="s">
        <v>58</v>
      </c>
      <c r="AZ103" s="36" t="s">
        <v>58</v>
      </c>
      <c r="BA103" s="36" t="s">
        <v>58</v>
      </c>
      <c r="BB103" s="36" t="s">
        <v>58</v>
      </c>
      <c r="BC103" s="36" t="s">
        <v>58</v>
      </c>
      <c r="BD103" s="36" t="s">
        <v>58</v>
      </c>
      <c r="BE103" s="36" t="s">
        <v>58</v>
      </c>
      <c r="BF103" s="36" t="s">
        <v>58</v>
      </c>
      <c r="BG103" s="36" t="s">
        <v>58</v>
      </c>
      <c r="BH103" s="36" t="s">
        <v>58</v>
      </c>
      <c r="BI103" s="36" t="s">
        <v>58</v>
      </c>
      <c r="BJ103" s="36" t="s">
        <v>58</v>
      </c>
      <c r="BK103" s="1043"/>
    </row>
    <row r="104" spans="1:63">
      <c r="A104" s="551" t="s">
        <v>778</v>
      </c>
      <c r="B104" s="497"/>
      <c r="C104" s="572" t="s">
        <v>548</v>
      </c>
      <c r="D104" s="34" t="s">
        <v>58</v>
      </c>
      <c r="E104" s="34" t="s">
        <v>58</v>
      </c>
      <c r="F104" s="360" t="s">
        <v>58</v>
      </c>
      <c r="G104" s="360" t="s">
        <v>58</v>
      </c>
      <c r="H104" s="360" t="s">
        <v>58</v>
      </c>
      <c r="I104" s="360" t="s">
        <v>58</v>
      </c>
      <c r="J104" s="360" t="s">
        <v>58</v>
      </c>
      <c r="K104" s="36" t="s">
        <v>58</v>
      </c>
      <c r="L104" s="43" t="s">
        <v>58</v>
      </c>
      <c r="M104" s="43" t="s">
        <v>58</v>
      </c>
      <c r="N104" s="360" t="s">
        <v>58</v>
      </c>
      <c r="O104" s="360" t="s">
        <v>58</v>
      </c>
      <c r="P104" s="43" t="s">
        <v>58</v>
      </c>
      <c r="Q104" s="36" t="s">
        <v>58</v>
      </c>
      <c r="R104" s="36" t="s">
        <v>58</v>
      </c>
      <c r="S104" s="36" t="s">
        <v>58</v>
      </c>
      <c r="T104" s="36" t="s">
        <v>58</v>
      </c>
      <c r="U104" s="43" t="s">
        <v>58</v>
      </c>
      <c r="V104" s="43" t="s">
        <v>58</v>
      </c>
      <c r="W104" s="221" t="s">
        <v>58</v>
      </c>
      <c r="X104" s="34" t="s">
        <v>58</v>
      </c>
      <c r="Y104" s="34" t="s">
        <v>58</v>
      </c>
      <c r="Z104" s="34" t="s">
        <v>58</v>
      </c>
      <c r="AA104" s="36" t="s">
        <v>58</v>
      </c>
      <c r="AB104" s="34" t="s">
        <v>58</v>
      </c>
      <c r="AC104" s="34" t="s">
        <v>58</v>
      </c>
      <c r="AD104" s="34" t="s">
        <v>58</v>
      </c>
      <c r="AE104" s="36" t="s">
        <v>58</v>
      </c>
      <c r="AF104" s="34" t="s">
        <v>58</v>
      </c>
      <c r="AG104" s="360" t="s">
        <v>58</v>
      </c>
      <c r="AH104" s="360" t="s">
        <v>58</v>
      </c>
      <c r="AI104" s="363" t="s">
        <v>58</v>
      </c>
      <c r="AJ104" s="36" t="s">
        <v>58</v>
      </c>
      <c r="AK104" s="36" t="s">
        <v>58</v>
      </c>
      <c r="AL104" s="360" t="s">
        <v>58</v>
      </c>
      <c r="AM104" s="360" t="s">
        <v>58</v>
      </c>
      <c r="AN104" s="363" t="s">
        <v>58</v>
      </c>
      <c r="AO104" s="36" t="s">
        <v>58</v>
      </c>
      <c r="AP104" s="36" t="s">
        <v>58</v>
      </c>
      <c r="AQ104" s="36" t="s">
        <v>58</v>
      </c>
      <c r="AR104" s="36" t="s">
        <v>58</v>
      </c>
      <c r="AS104" s="36" t="s">
        <v>58</v>
      </c>
      <c r="AT104" s="36" t="s">
        <v>58</v>
      </c>
      <c r="AU104" s="36" t="s">
        <v>58</v>
      </c>
      <c r="AV104" s="36" t="s">
        <v>58</v>
      </c>
      <c r="AW104" s="36" t="s">
        <v>649</v>
      </c>
      <c r="AX104" s="36" t="s">
        <v>58</v>
      </c>
      <c r="AY104" s="36" t="s">
        <v>58</v>
      </c>
      <c r="AZ104" s="36" t="s">
        <v>58</v>
      </c>
      <c r="BA104" s="36" t="s">
        <v>58</v>
      </c>
      <c r="BB104" s="36" t="s">
        <v>58</v>
      </c>
      <c r="BC104" s="36" t="s">
        <v>58</v>
      </c>
      <c r="BD104" s="36" t="s">
        <v>58</v>
      </c>
      <c r="BE104" s="36" t="s">
        <v>58</v>
      </c>
      <c r="BF104" s="36" t="s">
        <v>58</v>
      </c>
      <c r="BG104" s="36" t="s">
        <v>58</v>
      </c>
      <c r="BH104" s="36" t="s">
        <v>58</v>
      </c>
      <c r="BI104" s="36" t="s">
        <v>58</v>
      </c>
      <c r="BJ104" s="36" t="s">
        <v>58</v>
      </c>
      <c r="BK104" s="1043"/>
    </row>
    <row r="105" spans="1:63">
      <c r="A105" s="551" t="s">
        <v>779</v>
      </c>
      <c r="B105" s="496"/>
      <c r="C105" s="572" t="s">
        <v>58</v>
      </c>
      <c r="D105" s="43" t="s">
        <v>58</v>
      </c>
      <c r="E105" s="43" t="s">
        <v>58</v>
      </c>
      <c r="F105" s="360" t="s">
        <v>58</v>
      </c>
      <c r="G105" s="360" t="s">
        <v>58</v>
      </c>
      <c r="H105" s="360" t="s">
        <v>58</v>
      </c>
      <c r="I105" s="360" t="s">
        <v>58</v>
      </c>
      <c r="J105" s="360" t="s">
        <v>58</v>
      </c>
      <c r="K105" s="43" t="s">
        <v>58</v>
      </c>
      <c r="L105" s="43" t="s">
        <v>58</v>
      </c>
      <c r="M105" s="43" t="s">
        <v>58</v>
      </c>
      <c r="N105" s="360" t="s">
        <v>58</v>
      </c>
      <c r="O105" s="360" t="s">
        <v>58</v>
      </c>
      <c r="P105" s="43" t="s">
        <v>58</v>
      </c>
      <c r="Q105" s="36" t="s">
        <v>58</v>
      </c>
      <c r="R105" s="36" t="s">
        <v>58</v>
      </c>
      <c r="S105" s="36" t="s">
        <v>58</v>
      </c>
      <c r="T105" s="36" t="s">
        <v>58</v>
      </c>
      <c r="U105" s="43" t="s">
        <v>58</v>
      </c>
      <c r="V105" s="43" t="s">
        <v>58</v>
      </c>
      <c r="W105" s="43" t="s">
        <v>58</v>
      </c>
      <c r="X105" s="43" t="s">
        <v>58</v>
      </c>
      <c r="Y105" s="43" t="s">
        <v>58</v>
      </c>
      <c r="Z105" s="43" t="s">
        <v>58</v>
      </c>
      <c r="AA105" s="36" t="s">
        <v>58</v>
      </c>
      <c r="AB105" s="36" t="s">
        <v>58</v>
      </c>
      <c r="AC105" s="36" t="s">
        <v>58</v>
      </c>
      <c r="AD105" s="36" t="s">
        <v>58</v>
      </c>
      <c r="AE105" s="36" t="s">
        <v>58</v>
      </c>
      <c r="AF105" s="36" t="s">
        <v>58</v>
      </c>
      <c r="AG105" s="360" t="s">
        <v>58</v>
      </c>
      <c r="AH105" s="360" t="s">
        <v>58</v>
      </c>
      <c r="AI105" s="363" t="s">
        <v>58</v>
      </c>
      <c r="AJ105" s="36" t="s">
        <v>58</v>
      </c>
      <c r="AK105" s="36" t="s">
        <v>58</v>
      </c>
      <c r="AL105" s="360" t="s">
        <v>58</v>
      </c>
      <c r="AM105" s="360" t="s">
        <v>58</v>
      </c>
      <c r="AN105" s="363" t="s">
        <v>58</v>
      </c>
      <c r="AO105" s="36" t="s">
        <v>58</v>
      </c>
      <c r="AP105" s="36" t="s">
        <v>58</v>
      </c>
      <c r="AQ105" s="36" t="s">
        <v>58</v>
      </c>
      <c r="AR105" s="36" t="s">
        <v>58</v>
      </c>
      <c r="AS105" s="36" t="s">
        <v>58</v>
      </c>
      <c r="AT105" s="36" t="s">
        <v>58</v>
      </c>
      <c r="AU105" s="36" t="s">
        <v>58</v>
      </c>
      <c r="AV105" s="36" t="s">
        <v>58</v>
      </c>
      <c r="AW105" s="36" t="s">
        <v>58</v>
      </c>
      <c r="AX105" s="36" t="s">
        <v>649</v>
      </c>
      <c r="AY105" s="36" t="s">
        <v>58</v>
      </c>
      <c r="AZ105" s="36" t="s">
        <v>58</v>
      </c>
      <c r="BA105" s="36" t="s">
        <v>58</v>
      </c>
      <c r="BB105" s="36" t="s">
        <v>58</v>
      </c>
      <c r="BC105" s="36" t="s">
        <v>58</v>
      </c>
      <c r="BD105" s="36" t="s">
        <v>58</v>
      </c>
      <c r="BE105" s="36" t="s">
        <v>58</v>
      </c>
      <c r="BF105" s="36" t="s">
        <v>58</v>
      </c>
      <c r="BG105" s="36" t="s">
        <v>58</v>
      </c>
      <c r="BH105" s="36" t="s">
        <v>58</v>
      </c>
      <c r="BI105" s="36" t="s">
        <v>58</v>
      </c>
      <c r="BJ105" s="36" t="s">
        <v>58</v>
      </c>
      <c r="BK105" s="1043"/>
    </row>
    <row r="106" spans="1:63">
      <c r="A106" s="551" t="s">
        <v>780</v>
      </c>
      <c r="B106" s="123"/>
      <c r="C106" s="572" t="s">
        <v>58</v>
      </c>
      <c r="D106" s="43" t="s">
        <v>58</v>
      </c>
      <c r="E106" s="43" t="s">
        <v>58</v>
      </c>
      <c r="F106" s="360" t="s">
        <v>58</v>
      </c>
      <c r="G106" s="360" t="s">
        <v>58</v>
      </c>
      <c r="H106" s="360" t="s">
        <v>58</v>
      </c>
      <c r="I106" s="360" t="s">
        <v>58</v>
      </c>
      <c r="J106" s="360" t="s">
        <v>58</v>
      </c>
      <c r="K106" s="43" t="s">
        <v>58</v>
      </c>
      <c r="L106" s="43" t="s">
        <v>58</v>
      </c>
      <c r="M106" s="43" t="s">
        <v>58</v>
      </c>
      <c r="N106" s="360" t="s">
        <v>58</v>
      </c>
      <c r="O106" s="360" t="s">
        <v>58</v>
      </c>
      <c r="P106" s="36" t="s">
        <v>58</v>
      </c>
      <c r="Q106" s="36" t="s">
        <v>58</v>
      </c>
      <c r="R106" s="36" t="s">
        <v>58</v>
      </c>
      <c r="S106" s="36" t="s">
        <v>58</v>
      </c>
      <c r="T106" s="42" t="s">
        <v>58</v>
      </c>
      <c r="U106" s="43" t="s">
        <v>58</v>
      </c>
      <c r="V106" s="43" t="s">
        <v>58</v>
      </c>
      <c r="W106" s="43" t="s">
        <v>58</v>
      </c>
      <c r="X106" s="43" t="s">
        <v>58</v>
      </c>
      <c r="Y106" s="43" t="s">
        <v>58</v>
      </c>
      <c r="Z106" s="43" t="s">
        <v>58</v>
      </c>
      <c r="AA106" s="36" t="s">
        <v>58</v>
      </c>
      <c r="AB106" s="36" t="s">
        <v>58</v>
      </c>
      <c r="AC106" s="36" t="s">
        <v>58</v>
      </c>
      <c r="AD106" s="36" t="s">
        <v>58</v>
      </c>
      <c r="AE106" s="36" t="s">
        <v>58</v>
      </c>
      <c r="AF106" s="36" t="s">
        <v>58</v>
      </c>
      <c r="AG106" s="360" t="s">
        <v>58</v>
      </c>
      <c r="AH106" s="360" t="s">
        <v>58</v>
      </c>
      <c r="AI106" s="363" t="s">
        <v>58</v>
      </c>
      <c r="AJ106" s="36" t="s">
        <v>58</v>
      </c>
      <c r="AK106" s="43" t="s">
        <v>58</v>
      </c>
      <c r="AL106" s="360" t="s">
        <v>58</v>
      </c>
      <c r="AM106" s="360" t="s">
        <v>58</v>
      </c>
      <c r="AN106" s="363" t="s">
        <v>58</v>
      </c>
      <c r="AO106" s="36" t="s">
        <v>58</v>
      </c>
      <c r="AP106" s="36" t="s">
        <v>58</v>
      </c>
      <c r="AQ106" s="36" t="s">
        <v>58</v>
      </c>
      <c r="AR106" s="36" t="s">
        <v>58</v>
      </c>
      <c r="AS106" s="36" t="s">
        <v>58</v>
      </c>
      <c r="AT106" s="36" t="s">
        <v>58</v>
      </c>
      <c r="AU106" s="36" t="s">
        <v>58</v>
      </c>
      <c r="AV106" s="36" t="s">
        <v>58</v>
      </c>
      <c r="AW106" s="36" t="s">
        <v>58</v>
      </c>
      <c r="AX106" s="36" t="s">
        <v>58</v>
      </c>
      <c r="AY106" s="36" t="s">
        <v>649</v>
      </c>
      <c r="AZ106" s="36" t="s">
        <v>58</v>
      </c>
      <c r="BA106" s="36" t="s">
        <v>58</v>
      </c>
      <c r="BB106" s="36" t="s">
        <v>58</v>
      </c>
      <c r="BC106" s="36" t="s">
        <v>58</v>
      </c>
      <c r="BD106" s="36" t="s">
        <v>58</v>
      </c>
      <c r="BE106" s="36" t="s">
        <v>58</v>
      </c>
      <c r="BF106" s="36" t="s">
        <v>58</v>
      </c>
      <c r="BG106" s="36" t="s">
        <v>58</v>
      </c>
      <c r="BH106" s="36" t="s">
        <v>58</v>
      </c>
      <c r="BI106" s="36" t="s">
        <v>58</v>
      </c>
      <c r="BJ106" s="36" t="s">
        <v>58</v>
      </c>
      <c r="BK106" s="1043"/>
    </row>
    <row r="107" spans="1:63">
      <c r="A107" s="551" t="s">
        <v>781</v>
      </c>
      <c r="B107" s="123"/>
      <c r="C107" s="572" t="s">
        <v>58</v>
      </c>
      <c r="D107" s="43" t="s">
        <v>58</v>
      </c>
      <c r="E107" s="43" t="s">
        <v>58</v>
      </c>
      <c r="F107" s="360" t="s">
        <v>58</v>
      </c>
      <c r="G107" s="360" t="s">
        <v>58</v>
      </c>
      <c r="H107" s="360" t="s">
        <v>58</v>
      </c>
      <c r="I107" s="360" t="s">
        <v>58</v>
      </c>
      <c r="J107" s="360" t="s">
        <v>58</v>
      </c>
      <c r="K107" s="43" t="s">
        <v>58</v>
      </c>
      <c r="L107" s="43" t="s">
        <v>58</v>
      </c>
      <c r="M107" s="43" t="s">
        <v>58</v>
      </c>
      <c r="N107" s="360" t="s">
        <v>58</v>
      </c>
      <c r="O107" s="360" t="s">
        <v>58</v>
      </c>
      <c r="P107" s="36" t="s">
        <v>58</v>
      </c>
      <c r="Q107" s="36" t="s">
        <v>58</v>
      </c>
      <c r="R107" s="36" t="s">
        <v>58</v>
      </c>
      <c r="S107" s="36" t="s">
        <v>58</v>
      </c>
      <c r="T107" s="42" t="s">
        <v>58</v>
      </c>
      <c r="U107" s="43" t="s">
        <v>58</v>
      </c>
      <c r="V107" s="43" t="s">
        <v>58</v>
      </c>
      <c r="W107" s="43" t="s">
        <v>58</v>
      </c>
      <c r="X107" s="43" t="s">
        <v>58</v>
      </c>
      <c r="Y107" s="43" t="s">
        <v>58</v>
      </c>
      <c r="Z107" s="43" t="s">
        <v>58</v>
      </c>
      <c r="AA107" s="36" t="s">
        <v>58</v>
      </c>
      <c r="AB107" s="36" t="s">
        <v>58</v>
      </c>
      <c r="AC107" s="36" t="s">
        <v>58</v>
      </c>
      <c r="AD107" s="36" t="s">
        <v>58</v>
      </c>
      <c r="AE107" s="36" t="s">
        <v>58</v>
      </c>
      <c r="AF107" s="36" t="s">
        <v>58</v>
      </c>
      <c r="AG107" s="360" t="s">
        <v>58</v>
      </c>
      <c r="AH107" s="360" t="s">
        <v>58</v>
      </c>
      <c r="AI107" s="363" t="s">
        <v>58</v>
      </c>
      <c r="AJ107" s="36" t="s">
        <v>58</v>
      </c>
      <c r="AK107" s="43" t="s">
        <v>58</v>
      </c>
      <c r="AL107" s="360" t="s">
        <v>58</v>
      </c>
      <c r="AM107" s="360" t="s">
        <v>58</v>
      </c>
      <c r="AN107" s="363" t="s">
        <v>58</v>
      </c>
      <c r="AO107" s="36" t="s">
        <v>58</v>
      </c>
      <c r="AP107" s="36" t="s">
        <v>58</v>
      </c>
      <c r="AQ107" s="36" t="s">
        <v>58</v>
      </c>
      <c r="AR107" s="36" t="s">
        <v>58</v>
      </c>
      <c r="AS107" s="36" t="s">
        <v>58</v>
      </c>
      <c r="AT107" s="36" t="s">
        <v>58</v>
      </c>
      <c r="AU107" s="36" t="s">
        <v>58</v>
      </c>
      <c r="AV107" s="36" t="s">
        <v>58</v>
      </c>
      <c r="AW107" s="36" t="s">
        <v>58</v>
      </c>
      <c r="AX107" s="36" t="s">
        <v>58</v>
      </c>
      <c r="AY107" s="36" t="s">
        <v>58</v>
      </c>
      <c r="AZ107" s="36" t="s">
        <v>649</v>
      </c>
      <c r="BA107" s="36" t="s">
        <v>58</v>
      </c>
      <c r="BB107" s="36" t="s">
        <v>58</v>
      </c>
      <c r="BC107" s="36" t="s">
        <v>58</v>
      </c>
      <c r="BD107" s="36" t="s">
        <v>58</v>
      </c>
      <c r="BE107" s="36" t="s">
        <v>58</v>
      </c>
      <c r="BF107" s="36" t="s">
        <v>58</v>
      </c>
      <c r="BG107" s="36" t="s">
        <v>58</v>
      </c>
      <c r="BH107" s="36" t="s">
        <v>58</v>
      </c>
      <c r="BI107" s="36" t="s">
        <v>58</v>
      </c>
      <c r="BJ107" s="36" t="s">
        <v>58</v>
      </c>
      <c r="BK107" s="1043"/>
    </row>
    <row r="108" spans="1:63">
      <c r="A108" s="551" t="s">
        <v>782</v>
      </c>
      <c r="B108" s="123"/>
      <c r="C108" s="572" t="s">
        <v>58</v>
      </c>
      <c r="D108" s="43" t="s">
        <v>58</v>
      </c>
      <c r="E108" s="43" t="s">
        <v>58</v>
      </c>
      <c r="F108" s="360" t="s">
        <v>58</v>
      </c>
      <c r="G108" s="360" t="s">
        <v>58</v>
      </c>
      <c r="H108" s="360" t="s">
        <v>58</v>
      </c>
      <c r="I108" s="360" t="s">
        <v>58</v>
      </c>
      <c r="J108" s="360" t="s">
        <v>58</v>
      </c>
      <c r="K108" s="43" t="s">
        <v>58</v>
      </c>
      <c r="L108" s="43" t="s">
        <v>58</v>
      </c>
      <c r="M108" s="43" t="s">
        <v>58</v>
      </c>
      <c r="N108" s="360" t="s">
        <v>58</v>
      </c>
      <c r="O108" s="360" t="s">
        <v>58</v>
      </c>
      <c r="P108" s="36" t="s">
        <v>58</v>
      </c>
      <c r="Q108" s="36" t="s">
        <v>58</v>
      </c>
      <c r="R108" s="36" t="s">
        <v>58</v>
      </c>
      <c r="S108" s="36" t="s">
        <v>58</v>
      </c>
      <c r="T108" s="42" t="s">
        <v>58</v>
      </c>
      <c r="U108" s="43" t="s">
        <v>58</v>
      </c>
      <c r="V108" s="43" t="s">
        <v>58</v>
      </c>
      <c r="W108" s="43" t="s">
        <v>58</v>
      </c>
      <c r="X108" s="43" t="s">
        <v>58</v>
      </c>
      <c r="Y108" s="43" t="s">
        <v>58</v>
      </c>
      <c r="Z108" s="43" t="s">
        <v>58</v>
      </c>
      <c r="AA108" s="36" t="s">
        <v>58</v>
      </c>
      <c r="AB108" s="36" t="s">
        <v>58</v>
      </c>
      <c r="AC108" s="36" t="s">
        <v>58</v>
      </c>
      <c r="AD108" s="36" t="s">
        <v>58</v>
      </c>
      <c r="AE108" s="36" t="s">
        <v>58</v>
      </c>
      <c r="AF108" s="36" t="s">
        <v>58</v>
      </c>
      <c r="AG108" s="360" t="s">
        <v>58</v>
      </c>
      <c r="AH108" s="360" t="s">
        <v>58</v>
      </c>
      <c r="AI108" s="363" t="s">
        <v>58</v>
      </c>
      <c r="AJ108" s="36" t="s">
        <v>58</v>
      </c>
      <c r="AK108" s="43" t="s">
        <v>58</v>
      </c>
      <c r="AL108" s="360" t="s">
        <v>58</v>
      </c>
      <c r="AM108" s="360" t="s">
        <v>58</v>
      </c>
      <c r="AN108" s="363" t="s">
        <v>58</v>
      </c>
      <c r="AO108" s="36" t="s">
        <v>58</v>
      </c>
      <c r="AP108" s="36" t="s">
        <v>58</v>
      </c>
      <c r="AQ108" s="36" t="s">
        <v>58</v>
      </c>
      <c r="AR108" s="36" t="s">
        <v>58</v>
      </c>
      <c r="AS108" s="36" t="s">
        <v>58</v>
      </c>
      <c r="AT108" s="36" t="s">
        <v>58</v>
      </c>
      <c r="AU108" s="36" t="s">
        <v>58</v>
      </c>
      <c r="AV108" s="36" t="s">
        <v>58</v>
      </c>
      <c r="AW108" s="36" t="s">
        <v>58</v>
      </c>
      <c r="AX108" s="36" t="s">
        <v>58</v>
      </c>
      <c r="AY108" s="36" t="s">
        <v>58</v>
      </c>
      <c r="AZ108" s="36" t="s">
        <v>58</v>
      </c>
      <c r="BA108" s="36" t="s">
        <v>649</v>
      </c>
      <c r="BB108" s="36" t="s">
        <v>58</v>
      </c>
      <c r="BC108" s="36" t="s">
        <v>58</v>
      </c>
      <c r="BD108" s="36" t="s">
        <v>58</v>
      </c>
      <c r="BE108" s="36" t="s">
        <v>58</v>
      </c>
      <c r="BF108" s="36" t="s">
        <v>58</v>
      </c>
      <c r="BG108" s="36" t="s">
        <v>58</v>
      </c>
      <c r="BH108" s="36" t="s">
        <v>58</v>
      </c>
      <c r="BI108" s="36" t="s">
        <v>58</v>
      </c>
      <c r="BJ108" s="36" t="s">
        <v>58</v>
      </c>
      <c r="BK108" s="1043"/>
    </row>
    <row r="109" spans="1:63">
      <c r="A109" s="551" t="s">
        <v>830</v>
      </c>
      <c r="B109" s="496"/>
      <c r="C109" s="572" t="s">
        <v>58</v>
      </c>
      <c r="D109" s="43" t="s">
        <v>58</v>
      </c>
      <c r="E109" s="43" t="s">
        <v>58</v>
      </c>
      <c r="F109" s="360" t="s">
        <v>58</v>
      </c>
      <c r="G109" s="360" t="s">
        <v>58</v>
      </c>
      <c r="H109" s="360" t="s">
        <v>58</v>
      </c>
      <c r="I109" s="360" t="s">
        <v>58</v>
      </c>
      <c r="J109" s="360" t="s">
        <v>58</v>
      </c>
      <c r="K109" s="43" t="s">
        <v>58</v>
      </c>
      <c r="L109" s="43" t="s">
        <v>58</v>
      </c>
      <c r="M109" s="43" t="s">
        <v>58</v>
      </c>
      <c r="N109" s="360" t="s">
        <v>58</v>
      </c>
      <c r="O109" s="360" t="s">
        <v>58</v>
      </c>
      <c r="P109" s="43" t="s">
        <v>58</v>
      </c>
      <c r="Q109" s="36" t="s">
        <v>58</v>
      </c>
      <c r="R109" s="36" t="s">
        <v>58</v>
      </c>
      <c r="S109" s="36" t="s">
        <v>58</v>
      </c>
      <c r="T109" s="36" t="s">
        <v>58</v>
      </c>
      <c r="U109" s="43" t="s">
        <v>58</v>
      </c>
      <c r="V109" s="43" t="s">
        <v>58</v>
      </c>
      <c r="W109" s="43" t="s">
        <v>58</v>
      </c>
      <c r="X109" s="43" t="s">
        <v>58</v>
      </c>
      <c r="Y109" s="43" t="s">
        <v>58</v>
      </c>
      <c r="Z109" s="43" t="s">
        <v>58</v>
      </c>
      <c r="AA109" s="36" t="s">
        <v>58</v>
      </c>
      <c r="AB109" s="36" t="s">
        <v>58</v>
      </c>
      <c r="AC109" s="36" t="s">
        <v>58</v>
      </c>
      <c r="AD109" s="36" t="s">
        <v>58</v>
      </c>
      <c r="AE109" s="36" t="s">
        <v>58</v>
      </c>
      <c r="AF109" s="36" t="s">
        <v>58</v>
      </c>
      <c r="AG109" s="360" t="s">
        <v>58</v>
      </c>
      <c r="AH109" s="360" t="s">
        <v>58</v>
      </c>
      <c r="AI109" s="363" t="s">
        <v>58</v>
      </c>
      <c r="AJ109" s="36" t="s">
        <v>58</v>
      </c>
      <c r="AK109" s="36" t="s">
        <v>58</v>
      </c>
      <c r="AL109" s="360" t="s">
        <v>58</v>
      </c>
      <c r="AM109" s="360" t="s">
        <v>58</v>
      </c>
      <c r="AN109" s="363" t="s">
        <v>58</v>
      </c>
      <c r="AO109" s="36" t="s">
        <v>58</v>
      </c>
      <c r="AP109" s="36" t="s">
        <v>58</v>
      </c>
      <c r="AQ109" s="36" t="s">
        <v>58</v>
      </c>
      <c r="AR109" s="36" t="s">
        <v>58</v>
      </c>
      <c r="AS109" s="36" t="s">
        <v>58</v>
      </c>
      <c r="AT109" s="36" t="s">
        <v>58</v>
      </c>
      <c r="AU109" s="36" t="s">
        <v>58</v>
      </c>
      <c r="AV109" s="36" t="s">
        <v>58</v>
      </c>
      <c r="AW109" s="36" t="s">
        <v>58</v>
      </c>
      <c r="AX109" s="36" t="s">
        <v>58</v>
      </c>
      <c r="AY109" s="36" t="s">
        <v>58</v>
      </c>
      <c r="AZ109" s="36" t="s">
        <v>58</v>
      </c>
      <c r="BA109" s="36" t="s">
        <v>58</v>
      </c>
      <c r="BB109" s="596" t="s">
        <v>837</v>
      </c>
      <c r="BC109" s="36" t="s">
        <v>58</v>
      </c>
      <c r="BD109" s="36" t="s">
        <v>58</v>
      </c>
      <c r="BE109" s="36" t="s">
        <v>58</v>
      </c>
      <c r="BF109" s="36" t="s">
        <v>58</v>
      </c>
      <c r="BG109" s="36" t="s">
        <v>58</v>
      </c>
      <c r="BH109" s="36" t="s">
        <v>58</v>
      </c>
      <c r="BI109" s="36" t="s">
        <v>58</v>
      </c>
      <c r="BJ109" s="36" t="s">
        <v>58</v>
      </c>
      <c r="BK109" s="1043"/>
    </row>
    <row r="110" spans="1:63">
      <c r="A110" s="551" t="s">
        <v>832</v>
      </c>
      <c r="B110" s="496"/>
      <c r="C110" s="572" t="s">
        <v>58</v>
      </c>
      <c r="D110" s="43" t="s">
        <v>58</v>
      </c>
      <c r="E110" s="43" t="s">
        <v>58</v>
      </c>
      <c r="F110" s="360" t="s">
        <v>58</v>
      </c>
      <c r="G110" s="360" t="s">
        <v>58</v>
      </c>
      <c r="H110" s="360" t="s">
        <v>58</v>
      </c>
      <c r="I110" s="360" t="s">
        <v>58</v>
      </c>
      <c r="J110" s="360" t="s">
        <v>58</v>
      </c>
      <c r="K110" s="43" t="s">
        <v>58</v>
      </c>
      <c r="L110" s="43" t="s">
        <v>58</v>
      </c>
      <c r="M110" s="43" t="s">
        <v>58</v>
      </c>
      <c r="N110" s="360" t="s">
        <v>58</v>
      </c>
      <c r="O110" s="360" t="s">
        <v>58</v>
      </c>
      <c r="P110" s="43" t="s">
        <v>58</v>
      </c>
      <c r="Q110" s="36" t="s">
        <v>58</v>
      </c>
      <c r="R110" s="36" t="s">
        <v>58</v>
      </c>
      <c r="S110" s="36" t="s">
        <v>58</v>
      </c>
      <c r="T110" s="36" t="s">
        <v>58</v>
      </c>
      <c r="U110" s="43" t="s">
        <v>58</v>
      </c>
      <c r="V110" s="43" t="s">
        <v>58</v>
      </c>
      <c r="W110" s="43" t="s">
        <v>58</v>
      </c>
      <c r="X110" s="43" t="s">
        <v>58</v>
      </c>
      <c r="Y110" s="43" t="s">
        <v>58</v>
      </c>
      <c r="Z110" s="43" t="s">
        <v>58</v>
      </c>
      <c r="AA110" s="36" t="s">
        <v>58</v>
      </c>
      <c r="AB110" s="36" t="s">
        <v>58</v>
      </c>
      <c r="AC110" s="36" t="s">
        <v>58</v>
      </c>
      <c r="AD110" s="36" t="s">
        <v>58</v>
      </c>
      <c r="AE110" s="36" t="s">
        <v>58</v>
      </c>
      <c r="AF110" s="36" t="s">
        <v>58</v>
      </c>
      <c r="AG110" s="360" t="s">
        <v>58</v>
      </c>
      <c r="AH110" s="360" t="s">
        <v>58</v>
      </c>
      <c r="AI110" s="363" t="s">
        <v>58</v>
      </c>
      <c r="AJ110" s="36" t="s">
        <v>58</v>
      </c>
      <c r="AK110" s="36" t="s">
        <v>58</v>
      </c>
      <c r="AL110" s="360" t="s">
        <v>58</v>
      </c>
      <c r="AM110" s="360" t="s">
        <v>58</v>
      </c>
      <c r="AN110" s="363" t="s">
        <v>58</v>
      </c>
      <c r="AO110" s="36" t="s">
        <v>58</v>
      </c>
      <c r="AP110" s="36" t="s">
        <v>58</v>
      </c>
      <c r="AQ110" s="36" t="s">
        <v>58</v>
      </c>
      <c r="AR110" s="36" t="s">
        <v>58</v>
      </c>
      <c r="AS110" s="36" t="s">
        <v>58</v>
      </c>
      <c r="AT110" s="36" t="s">
        <v>58</v>
      </c>
      <c r="AU110" s="36" t="s">
        <v>58</v>
      </c>
      <c r="AV110" s="36" t="s">
        <v>58</v>
      </c>
      <c r="AW110" s="36" t="s">
        <v>58</v>
      </c>
      <c r="AX110" s="36" t="s">
        <v>58</v>
      </c>
      <c r="AY110" s="36" t="s">
        <v>58</v>
      </c>
      <c r="AZ110" s="36" t="s">
        <v>58</v>
      </c>
      <c r="BA110" s="36" t="s">
        <v>58</v>
      </c>
      <c r="BB110" s="36" t="s">
        <v>58</v>
      </c>
      <c r="BC110" s="596" t="s">
        <v>837</v>
      </c>
      <c r="BD110" s="36" t="s">
        <v>58</v>
      </c>
      <c r="BE110" s="36" t="s">
        <v>58</v>
      </c>
      <c r="BF110" s="36" t="s">
        <v>58</v>
      </c>
      <c r="BG110" s="36" t="s">
        <v>58</v>
      </c>
      <c r="BH110" s="36" t="s">
        <v>58</v>
      </c>
      <c r="BI110" s="36" t="s">
        <v>58</v>
      </c>
      <c r="BJ110" s="36" t="s">
        <v>58</v>
      </c>
      <c r="BK110" s="1043"/>
    </row>
    <row r="111" spans="1:63">
      <c r="A111" s="551" t="s">
        <v>783</v>
      </c>
      <c r="B111" s="123"/>
      <c r="C111" s="572" t="s">
        <v>58</v>
      </c>
      <c r="D111" s="43" t="s">
        <v>58</v>
      </c>
      <c r="E111" s="43" t="s">
        <v>58</v>
      </c>
      <c r="F111" s="360" t="s">
        <v>58</v>
      </c>
      <c r="G111" s="360" t="s">
        <v>58</v>
      </c>
      <c r="H111" s="360" t="s">
        <v>58</v>
      </c>
      <c r="I111" s="360" t="s">
        <v>58</v>
      </c>
      <c r="J111" s="360" t="s">
        <v>58</v>
      </c>
      <c r="K111" s="43" t="s">
        <v>58</v>
      </c>
      <c r="L111" s="43" t="s">
        <v>58</v>
      </c>
      <c r="M111" s="43" t="s">
        <v>58</v>
      </c>
      <c r="N111" s="360" t="s">
        <v>58</v>
      </c>
      <c r="O111" s="360" t="s">
        <v>58</v>
      </c>
      <c r="P111" s="36" t="s">
        <v>58</v>
      </c>
      <c r="Q111" s="36" t="s">
        <v>58</v>
      </c>
      <c r="R111" s="36" t="s">
        <v>58</v>
      </c>
      <c r="S111" s="36" t="s">
        <v>58</v>
      </c>
      <c r="T111" s="42" t="s">
        <v>58</v>
      </c>
      <c r="U111" s="43" t="s">
        <v>58</v>
      </c>
      <c r="V111" s="43" t="s">
        <v>58</v>
      </c>
      <c r="W111" s="43" t="s">
        <v>58</v>
      </c>
      <c r="X111" s="43" t="s">
        <v>58</v>
      </c>
      <c r="Y111" s="43" t="s">
        <v>58</v>
      </c>
      <c r="Z111" s="43" t="s">
        <v>58</v>
      </c>
      <c r="AA111" s="36" t="s">
        <v>58</v>
      </c>
      <c r="AB111" s="36" t="s">
        <v>58</v>
      </c>
      <c r="AC111" s="36" t="s">
        <v>58</v>
      </c>
      <c r="AD111" s="36" t="s">
        <v>58</v>
      </c>
      <c r="AE111" s="36" t="s">
        <v>58</v>
      </c>
      <c r="AF111" s="36" t="s">
        <v>58</v>
      </c>
      <c r="AG111" s="360" t="s">
        <v>58</v>
      </c>
      <c r="AH111" s="360" t="s">
        <v>58</v>
      </c>
      <c r="AI111" s="363" t="s">
        <v>58</v>
      </c>
      <c r="AJ111" s="36" t="s">
        <v>58</v>
      </c>
      <c r="AK111" s="43" t="s">
        <v>58</v>
      </c>
      <c r="AL111" s="360" t="s">
        <v>58</v>
      </c>
      <c r="AM111" s="360" t="s">
        <v>58</v>
      </c>
      <c r="AN111" s="363" t="s">
        <v>58</v>
      </c>
      <c r="AO111" s="36" t="s">
        <v>58</v>
      </c>
      <c r="AP111" s="36" t="s">
        <v>58</v>
      </c>
      <c r="AQ111" s="36" t="s">
        <v>58</v>
      </c>
      <c r="AR111" s="36" t="s">
        <v>58</v>
      </c>
      <c r="AS111" s="36" t="s">
        <v>58</v>
      </c>
      <c r="AT111" s="36" t="s">
        <v>58</v>
      </c>
      <c r="AU111" s="36" t="s">
        <v>58</v>
      </c>
      <c r="AV111" s="36" t="s">
        <v>58</v>
      </c>
      <c r="AW111" s="36" t="s">
        <v>58</v>
      </c>
      <c r="AX111" s="36" t="s">
        <v>58</v>
      </c>
      <c r="AY111" s="36" t="s">
        <v>58</v>
      </c>
      <c r="AZ111" s="36" t="s">
        <v>58</v>
      </c>
      <c r="BA111" s="36" t="s">
        <v>58</v>
      </c>
      <c r="BB111" s="36" t="s">
        <v>58</v>
      </c>
      <c r="BC111" s="36" t="s">
        <v>58</v>
      </c>
      <c r="BD111" s="36" t="s">
        <v>649</v>
      </c>
      <c r="BE111" s="36" t="s">
        <v>58</v>
      </c>
      <c r="BF111" s="36" t="s">
        <v>58</v>
      </c>
      <c r="BG111" s="36" t="s">
        <v>58</v>
      </c>
      <c r="BH111" s="36" t="s">
        <v>58</v>
      </c>
      <c r="BI111" s="36" t="s">
        <v>58</v>
      </c>
      <c r="BJ111" s="36" t="s">
        <v>58</v>
      </c>
      <c r="BK111" s="1043"/>
    </row>
    <row r="112" spans="1:63">
      <c r="A112" s="551" t="s">
        <v>784</v>
      </c>
      <c r="B112" s="123"/>
      <c r="C112" s="572" t="s">
        <v>58</v>
      </c>
      <c r="D112" s="43" t="s">
        <v>58</v>
      </c>
      <c r="E112" s="43" t="s">
        <v>58</v>
      </c>
      <c r="F112" s="360" t="s">
        <v>58</v>
      </c>
      <c r="G112" s="360" t="s">
        <v>58</v>
      </c>
      <c r="H112" s="360" t="s">
        <v>58</v>
      </c>
      <c r="I112" s="360" t="s">
        <v>58</v>
      </c>
      <c r="J112" s="360" t="s">
        <v>58</v>
      </c>
      <c r="K112" s="43" t="s">
        <v>58</v>
      </c>
      <c r="L112" s="43" t="s">
        <v>58</v>
      </c>
      <c r="M112" s="43" t="s">
        <v>58</v>
      </c>
      <c r="N112" s="360" t="s">
        <v>58</v>
      </c>
      <c r="O112" s="360" t="s">
        <v>58</v>
      </c>
      <c r="P112" s="36" t="s">
        <v>58</v>
      </c>
      <c r="Q112" s="36" t="s">
        <v>58</v>
      </c>
      <c r="R112" s="36" t="s">
        <v>58</v>
      </c>
      <c r="S112" s="36" t="s">
        <v>58</v>
      </c>
      <c r="T112" s="42" t="s">
        <v>58</v>
      </c>
      <c r="U112" s="43" t="s">
        <v>58</v>
      </c>
      <c r="V112" s="43" t="s">
        <v>58</v>
      </c>
      <c r="W112" s="43" t="s">
        <v>58</v>
      </c>
      <c r="X112" s="43" t="s">
        <v>58</v>
      </c>
      <c r="Y112" s="43" t="s">
        <v>58</v>
      </c>
      <c r="Z112" s="43" t="s">
        <v>58</v>
      </c>
      <c r="AA112" s="36" t="s">
        <v>58</v>
      </c>
      <c r="AB112" s="36" t="s">
        <v>58</v>
      </c>
      <c r="AC112" s="36" t="s">
        <v>58</v>
      </c>
      <c r="AD112" s="36" t="s">
        <v>58</v>
      </c>
      <c r="AE112" s="36" t="s">
        <v>58</v>
      </c>
      <c r="AF112" s="36" t="s">
        <v>58</v>
      </c>
      <c r="AG112" s="360" t="s">
        <v>58</v>
      </c>
      <c r="AH112" s="360" t="s">
        <v>58</v>
      </c>
      <c r="AI112" s="363" t="s">
        <v>58</v>
      </c>
      <c r="AJ112" s="36" t="s">
        <v>58</v>
      </c>
      <c r="AK112" s="43" t="s">
        <v>58</v>
      </c>
      <c r="AL112" s="360" t="s">
        <v>58</v>
      </c>
      <c r="AM112" s="360" t="s">
        <v>58</v>
      </c>
      <c r="AN112" s="363" t="s">
        <v>58</v>
      </c>
      <c r="AO112" s="36" t="s">
        <v>58</v>
      </c>
      <c r="AP112" s="36" t="s">
        <v>58</v>
      </c>
      <c r="AQ112" s="36" t="s">
        <v>58</v>
      </c>
      <c r="AR112" s="36" t="s">
        <v>58</v>
      </c>
      <c r="AS112" s="36" t="s">
        <v>58</v>
      </c>
      <c r="AT112" s="36" t="s">
        <v>58</v>
      </c>
      <c r="AU112" s="36" t="s">
        <v>58</v>
      </c>
      <c r="AV112" s="36" t="s">
        <v>58</v>
      </c>
      <c r="AW112" s="36" t="s">
        <v>58</v>
      </c>
      <c r="AX112" s="36" t="s">
        <v>58</v>
      </c>
      <c r="AY112" s="36" t="s">
        <v>58</v>
      </c>
      <c r="AZ112" s="36" t="s">
        <v>58</v>
      </c>
      <c r="BA112" s="36" t="s">
        <v>58</v>
      </c>
      <c r="BB112" s="36" t="s">
        <v>58</v>
      </c>
      <c r="BC112" s="36" t="s">
        <v>58</v>
      </c>
      <c r="BD112" s="36" t="s">
        <v>58</v>
      </c>
      <c r="BE112" s="36" t="s">
        <v>649</v>
      </c>
      <c r="BF112" s="36" t="s">
        <v>58</v>
      </c>
      <c r="BG112" s="36" t="s">
        <v>58</v>
      </c>
      <c r="BH112" s="36" t="s">
        <v>58</v>
      </c>
      <c r="BI112" s="36" t="s">
        <v>58</v>
      </c>
      <c r="BJ112" s="36" t="s">
        <v>58</v>
      </c>
      <c r="BK112" s="1043"/>
    </row>
    <row r="113" spans="1:63">
      <c r="A113" s="551" t="s">
        <v>785</v>
      </c>
      <c r="B113" s="123"/>
      <c r="C113" s="572" t="s">
        <v>58</v>
      </c>
      <c r="D113" s="43" t="s">
        <v>58</v>
      </c>
      <c r="E113" s="43" t="s">
        <v>58</v>
      </c>
      <c r="F113" s="360" t="s">
        <v>58</v>
      </c>
      <c r="G113" s="360" t="s">
        <v>58</v>
      </c>
      <c r="H113" s="360" t="s">
        <v>58</v>
      </c>
      <c r="I113" s="360" t="s">
        <v>58</v>
      </c>
      <c r="J113" s="360" t="s">
        <v>58</v>
      </c>
      <c r="K113" s="43" t="s">
        <v>58</v>
      </c>
      <c r="L113" s="43" t="s">
        <v>58</v>
      </c>
      <c r="M113" s="43" t="s">
        <v>58</v>
      </c>
      <c r="N113" s="360" t="s">
        <v>58</v>
      </c>
      <c r="O113" s="360" t="s">
        <v>58</v>
      </c>
      <c r="P113" s="36" t="s">
        <v>58</v>
      </c>
      <c r="Q113" s="36" t="s">
        <v>58</v>
      </c>
      <c r="R113" s="36" t="s">
        <v>58</v>
      </c>
      <c r="S113" s="36" t="s">
        <v>58</v>
      </c>
      <c r="T113" s="42" t="s">
        <v>58</v>
      </c>
      <c r="U113" s="43" t="s">
        <v>58</v>
      </c>
      <c r="V113" s="43" t="s">
        <v>58</v>
      </c>
      <c r="W113" s="43" t="s">
        <v>58</v>
      </c>
      <c r="X113" s="43" t="s">
        <v>58</v>
      </c>
      <c r="Y113" s="43" t="s">
        <v>58</v>
      </c>
      <c r="Z113" s="43" t="s">
        <v>58</v>
      </c>
      <c r="AA113" s="36" t="s">
        <v>58</v>
      </c>
      <c r="AB113" s="36" t="s">
        <v>58</v>
      </c>
      <c r="AC113" s="36" t="s">
        <v>58</v>
      </c>
      <c r="AD113" s="36" t="s">
        <v>58</v>
      </c>
      <c r="AE113" s="36" t="s">
        <v>58</v>
      </c>
      <c r="AF113" s="36" t="s">
        <v>58</v>
      </c>
      <c r="AG113" s="360" t="s">
        <v>58</v>
      </c>
      <c r="AH113" s="360" t="s">
        <v>58</v>
      </c>
      <c r="AI113" s="363" t="s">
        <v>58</v>
      </c>
      <c r="AJ113" s="36" t="s">
        <v>58</v>
      </c>
      <c r="AK113" s="43" t="s">
        <v>58</v>
      </c>
      <c r="AL113" s="360" t="s">
        <v>58</v>
      </c>
      <c r="AM113" s="360" t="s">
        <v>58</v>
      </c>
      <c r="AN113" s="363" t="s">
        <v>58</v>
      </c>
      <c r="AO113" s="36" t="s">
        <v>58</v>
      </c>
      <c r="AP113" s="36" t="s">
        <v>58</v>
      </c>
      <c r="AQ113" s="36" t="s">
        <v>58</v>
      </c>
      <c r="AR113" s="36" t="s">
        <v>58</v>
      </c>
      <c r="AS113" s="36" t="s">
        <v>58</v>
      </c>
      <c r="AT113" s="36" t="s">
        <v>58</v>
      </c>
      <c r="AU113" s="36" t="s">
        <v>58</v>
      </c>
      <c r="AV113" s="36" t="s">
        <v>58</v>
      </c>
      <c r="AW113" s="36" t="s">
        <v>58</v>
      </c>
      <c r="AX113" s="36" t="s">
        <v>58</v>
      </c>
      <c r="AY113" s="36" t="s">
        <v>58</v>
      </c>
      <c r="AZ113" s="36" t="s">
        <v>58</v>
      </c>
      <c r="BA113" s="36" t="s">
        <v>58</v>
      </c>
      <c r="BB113" s="36" t="s">
        <v>58</v>
      </c>
      <c r="BC113" s="36" t="s">
        <v>58</v>
      </c>
      <c r="BD113" s="36" t="s">
        <v>58</v>
      </c>
      <c r="BE113" s="36" t="s">
        <v>58</v>
      </c>
      <c r="BF113" s="36" t="s">
        <v>649</v>
      </c>
      <c r="BG113" s="36" t="s">
        <v>58</v>
      </c>
      <c r="BH113" s="36" t="s">
        <v>58</v>
      </c>
      <c r="BI113" s="36" t="s">
        <v>58</v>
      </c>
      <c r="BJ113" s="36" t="s">
        <v>58</v>
      </c>
      <c r="BK113" s="1043"/>
    </row>
    <row r="114" spans="1:63" ht="14.25" thickBot="1">
      <c r="A114" s="551" t="s">
        <v>786</v>
      </c>
      <c r="B114" s="123"/>
      <c r="C114" s="572" t="s">
        <v>58</v>
      </c>
      <c r="D114" s="43" t="s">
        <v>58</v>
      </c>
      <c r="E114" s="43" t="s">
        <v>58</v>
      </c>
      <c r="F114" s="360" t="s">
        <v>58</v>
      </c>
      <c r="G114" s="360" t="s">
        <v>58</v>
      </c>
      <c r="H114" s="360" t="s">
        <v>58</v>
      </c>
      <c r="I114" s="360" t="s">
        <v>58</v>
      </c>
      <c r="J114" s="360" t="s">
        <v>58</v>
      </c>
      <c r="K114" s="43" t="s">
        <v>58</v>
      </c>
      <c r="L114" s="43" t="s">
        <v>58</v>
      </c>
      <c r="M114" s="43" t="s">
        <v>58</v>
      </c>
      <c r="N114" s="360" t="s">
        <v>58</v>
      </c>
      <c r="O114" s="360" t="s">
        <v>58</v>
      </c>
      <c r="P114" s="36" t="s">
        <v>58</v>
      </c>
      <c r="Q114" s="36" t="s">
        <v>58</v>
      </c>
      <c r="R114" s="36" t="s">
        <v>58</v>
      </c>
      <c r="S114" s="36" t="s">
        <v>58</v>
      </c>
      <c r="T114" s="42" t="s">
        <v>58</v>
      </c>
      <c r="U114" s="693" t="s">
        <v>58</v>
      </c>
      <c r="V114" s="693" t="s">
        <v>58</v>
      </c>
      <c r="W114" s="43" t="s">
        <v>58</v>
      </c>
      <c r="X114" s="43" t="s">
        <v>58</v>
      </c>
      <c r="Y114" s="43" t="s">
        <v>58</v>
      </c>
      <c r="Z114" s="43" t="s">
        <v>58</v>
      </c>
      <c r="AA114" s="36" t="s">
        <v>58</v>
      </c>
      <c r="AB114" s="36" t="s">
        <v>58</v>
      </c>
      <c r="AC114" s="36" t="s">
        <v>58</v>
      </c>
      <c r="AD114" s="36" t="s">
        <v>58</v>
      </c>
      <c r="AE114" s="36" t="s">
        <v>58</v>
      </c>
      <c r="AF114" s="36" t="s">
        <v>58</v>
      </c>
      <c r="AG114" s="360" t="s">
        <v>58</v>
      </c>
      <c r="AH114" s="360" t="s">
        <v>58</v>
      </c>
      <c r="AI114" s="363" t="s">
        <v>58</v>
      </c>
      <c r="AJ114" s="36" t="s">
        <v>58</v>
      </c>
      <c r="AK114" s="43" t="s">
        <v>58</v>
      </c>
      <c r="AL114" s="360" t="s">
        <v>58</v>
      </c>
      <c r="AM114" s="360" t="s">
        <v>58</v>
      </c>
      <c r="AN114" s="363" t="s">
        <v>58</v>
      </c>
      <c r="AO114" s="36" t="s">
        <v>58</v>
      </c>
      <c r="AP114" s="36" t="s">
        <v>58</v>
      </c>
      <c r="AQ114" s="36" t="s">
        <v>58</v>
      </c>
      <c r="AR114" s="36" t="s">
        <v>58</v>
      </c>
      <c r="AS114" s="36" t="s">
        <v>58</v>
      </c>
      <c r="AT114" s="36" t="s">
        <v>58</v>
      </c>
      <c r="AU114" s="36" t="s">
        <v>58</v>
      </c>
      <c r="AV114" s="36" t="s">
        <v>58</v>
      </c>
      <c r="AW114" s="36" t="s">
        <v>58</v>
      </c>
      <c r="AX114" s="36" t="s">
        <v>58</v>
      </c>
      <c r="AY114" s="36" t="s">
        <v>58</v>
      </c>
      <c r="AZ114" s="36" t="s">
        <v>58</v>
      </c>
      <c r="BA114" s="36" t="s">
        <v>58</v>
      </c>
      <c r="BB114" s="36" t="s">
        <v>58</v>
      </c>
      <c r="BC114" s="36" t="s">
        <v>58</v>
      </c>
      <c r="BD114" s="36" t="s">
        <v>58</v>
      </c>
      <c r="BE114" s="36" t="s">
        <v>58</v>
      </c>
      <c r="BF114" s="36" t="s">
        <v>58</v>
      </c>
      <c r="BG114" s="36" t="s">
        <v>649</v>
      </c>
      <c r="BH114" s="36" t="s">
        <v>58</v>
      </c>
      <c r="BI114" s="36" t="s">
        <v>58</v>
      </c>
      <c r="BJ114" s="36" t="s">
        <v>58</v>
      </c>
      <c r="BK114" s="1219"/>
    </row>
    <row r="115" spans="1:63" ht="79.5" customHeight="1" thickTop="1" thickBot="1">
      <c r="A115" s="1234" t="s">
        <v>1063</v>
      </c>
      <c r="B115" s="1235"/>
      <c r="C115" s="351"/>
      <c r="D115" s="112"/>
      <c r="E115" s="113"/>
      <c r="F115" s="113"/>
      <c r="G115" s="113"/>
      <c r="H115" s="113"/>
      <c r="I115" s="113"/>
      <c r="J115" s="113"/>
      <c r="K115" s="113"/>
      <c r="L115" s="113"/>
      <c r="M115" s="113"/>
      <c r="N115" s="113"/>
      <c r="O115" s="118"/>
      <c r="P115" s="118"/>
      <c r="Q115" s="113"/>
      <c r="R115" s="113"/>
      <c r="S115" s="113"/>
      <c r="T115" s="118"/>
      <c r="U115" s="498"/>
      <c r="V115" s="499"/>
      <c r="W115" s="223"/>
      <c r="X115" s="113"/>
      <c r="Y115" s="113"/>
      <c r="Z115" s="113"/>
      <c r="AA115" s="118"/>
      <c r="AB115" s="113"/>
      <c r="AC115" s="113"/>
      <c r="AD115" s="113"/>
      <c r="AE115" s="118"/>
      <c r="AF115" s="113"/>
      <c r="AG115" s="113"/>
      <c r="AH115" s="113"/>
      <c r="AI115" s="118"/>
      <c r="AJ115" s="118"/>
      <c r="AK115" s="113"/>
      <c r="AL115" s="113"/>
      <c r="AM115" s="113"/>
      <c r="AN115" s="118"/>
      <c r="AO115" s="118"/>
      <c r="AP115" s="113"/>
      <c r="AQ115" s="113"/>
      <c r="AR115" s="118"/>
      <c r="AS115" s="113"/>
      <c r="AT115" s="113"/>
      <c r="AU115" s="118"/>
      <c r="AV115" s="118"/>
      <c r="AW115" s="118"/>
      <c r="AX115" s="118"/>
      <c r="AY115" s="118"/>
      <c r="AZ115" s="118"/>
      <c r="BA115" s="118"/>
      <c r="BB115" s="118"/>
      <c r="BC115" s="118"/>
      <c r="BD115" s="118"/>
      <c r="BE115" s="118"/>
      <c r="BF115" s="118"/>
      <c r="BG115" s="118"/>
      <c r="BH115" s="118"/>
      <c r="BI115" s="118"/>
      <c r="BJ115" s="118"/>
      <c r="BK115" s="523" t="s">
        <v>181</v>
      </c>
    </row>
  </sheetData>
  <mergeCells count="18">
    <mergeCell ref="L1:P1"/>
    <mergeCell ref="U1:V1"/>
    <mergeCell ref="AP1:AR1"/>
    <mergeCell ref="AS1:AU1"/>
    <mergeCell ref="A115:B115"/>
    <mergeCell ref="AK1:AO1"/>
    <mergeCell ref="D1:K1"/>
    <mergeCell ref="X1:AA1"/>
    <mergeCell ref="Q1:T1"/>
    <mergeCell ref="BK68:BK114"/>
    <mergeCell ref="BK14:BK16"/>
    <mergeCell ref="BF1:BG1"/>
    <mergeCell ref="AB1:AE1"/>
    <mergeCell ref="AF1:AJ1"/>
    <mergeCell ref="BK8:BK12"/>
    <mergeCell ref="AY1:BA1"/>
    <mergeCell ref="BD1:BE1"/>
    <mergeCell ref="AV1:AX1"/>
  </mergeCells>
  <phoneticPr fontId="2"/>
  <dataValidations count="1">
    <dataValidation type="list" allowBlank="1" showInputMessage="1" showErrorMessage="1" sqref="A4:A114 D2:BJ2" xr:uid="{00000000-0002-0000-0300-000000000000}">
      <formula1>対応表紙質範囲</formula1>
    </dataValidation>
  </dataValidations>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&amp;C&amp;9表A-3 画質制御分類</oddHeader>
    <oddFooter>&amp;L&amp;9I.I IOT Device Functions&amp;C&amp;9&amp;P/&amp;N-1&amp;R&amp;9DDF-IOT-BotanPlus-Hisui-Apx-K1.0.8.xlsm</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S115"/>
  <sheetViews>
    <sheetView showGridLines="0" zoomScale="85" zoomScaleNormal="85" workbookViewId="0">
      <selection activeCell="AA91" sqref="AA91"/>
    </sheetView>
  </sheetViews>
  <sheetFormatPr defaultColWidth="9.140625" defaultRowHeight="13.5"/>
  <cols>
    <col min="1" max="1" width="20.140625" style="128" customWidth="1"/>
    <col min="2" max="2" width="3.7109375" style="128" customWidth="1"/>
    <col min="3" max="3" width="11.140625" style="128" bestFit="1" customWidth="1"/>
    <col min="4" max="18" width="6.7109375" style="78" customWidth="1"/>
    <col min="19" max="19" width="29.5703125" style="78" customWidth="1"/>
    <col min="20" max="16384" width="9.140625" style="298"/>
  </cols>
  <sheetData>
    <row r="1" spans="1:19" ht="24" customHeight="1">
      <c r="A1" s="134" t="s">
        <v>167</v>
      </c>
      <c r="B1" s="120"/>
      <c r="C1" s="150" t="s">
        <v>166</v>
      </c>
      <c r="D1" s="1060" t="s">
        <v>168</v>
      </c>
      <c r="E1" s="1184"/>
      <c r="F1" s="1184"/>
      <c r="G1" s="1184"/>
      <c r="H1" s="1184"/>
      <c r="I1" s="1184"/>
      <c r="J1" s="1184"/>
      <c r="K1" s="1184"/>
      <c r="L1" s="1184"/>
      <c r="M1" s="1184"/>
      <c r="N1" s="1184"/>
      <c r="O1" s="1184"/>
      <c r="P1" s="1184"/>
      <c r="Q1" s="1184"/>
      <c r="R1" s="1184"/>
      <c r="S1" s="100" t="s">
        <v>13</v>
      </c>
    </row>
    <row r="2" spans="1:19" ht="24">
      <c r="A2" s="121"/>
      <c r="B2" s="122"/>
      <c r="C2" s="151" t="s">
        <v>169</v>
      </c>
      <c r="D2" s="28" t="s">
        <v>170</v>
      </c>
      <c r="E2" s="30" t="s">
        <v>171</v>
      </c>
      <c r="F2" s="30" t="s">
        <v>172</v>
      </c>
      <c r="G2" s="30" t="s">
        <v>173</v>
      </c>
      <c r="H2" s="30" t="s">
        <v>174</v>
      </c>
      <c r="I2" s="30" t="s">
        <v>175</v>
      </c>
      <c r="J2" s="30" t="s">
        <v>176</v>
      </c>
      <c r="K2" s="30" t="s">
        <v>177</v>
      </c>
      <c r="L2" s="204" t="s">
        <v>178</v>
      </c>
      <c r="M2" s="204" t="s">
        <v>288</v>
      </c>
      <c r="N2" s="204" t="s">
        <v>289</v>
      </c>
      <c r="O2" s="204" t="s">
        <v>290</v>
      </c>
      <c r="P2" s="204" t="s">
        <v>291</v>
      </c>
      <c r="Q2" s="204" t="s">
        <v>292</v>
      </c>
      <c r="R2" s="204" t="s">
        <v>293</v>
      </c>
      <c r="S2" s="135" t="s">
        <v>298</v>
      </c>
    </row>
    <row r="3" spans="1:19" s="519" customFormat="1" ht="14.25" thickBot="1">
      <c r="A3" s="129" t="s">
        <v>138</v>
      </c>
      <c r="B3" s="130"/>
      <c r="C3" s="152" t="s">
        <v>179</v>
      </c>
      <c r="D3" s="138">
        <v>1</v>
      </c>
      <c r="E3" s="136">
        <v>2</v>
      </c>
      <c r="F3" s="136">
        <v>3</v>
      </c>
      <c r="G3" s="136">
        <v>4</v>
      </c>
      <c r="H3" s="136">
        <v>5</v>
      </c>
      <c r="I3" s="136">
        <v>6</v>
      </c>
      <c r="J3" s="136">
        <v>7</v>
      </c>
      <c r="K3" s="137">
        <v>8</v>
      </c>
      <c r="L3" s="137">
        <v>9</v>
      </c>
      <c r="M3" s="137">
        <v>10</v>
      </c>
      <c r="N3" s="137">
        <v>11</v>
      </c>
      <c r="O3" s="137">
        <v>12</v>
      </c>
      <c r="P3" s="137">
        <v>13</v>
      </c>
      <c r="Q3" s="137">
        <v>14</v>
      </c>
      <c r="R3" s="137">
        <v>15</v>
      </c>
      <c r="S3" s="133" t="s">
        <v>497</v>
      </c>
    </row>
    <row r="4" spans="1:19">
      <c r="A4" s="580" t="s">
        <v>678</v>
      </c>
      <c r="B4" s="699"/>
      <c r="C4" s="696" t="s">
        <v>10</v>
      </c>
      <c r="D4" s="697" t="s">
        <v>10</v>
      </c>
      <c r="E4" s="33" t="s">
        <v>10</v>
      </c>
      <c r="F4" s="698" t="s">
        <v>854</v>
      </c>
      <c r="G4" s="698" t="s">
        <v>10</v>
      </c>
      <c r="H4" s="698" t="s">
        <v>10</v>
      </c>
      <c r="I4" s="698" t="s">
        <v>10</v>
      </c>
      <c r="J4" s="698" t="s">
        <v>10</v>
      </c>
      <c r="K4" s="698" t="s">
        <v>10</v>
      </c>
      <c r="L4" s="698" t="s">
        <v>10</v>
      </c>
      <c r="M4" s="698" t="s">
        <v>10</v>
      </c>
      <c r="N4" s="698" t="s">
        <v>10</v>
      </c>
      <c r="O4" s="698" t="s">
        <v>10</v>
      </c>
      <c r="P4" s="698" t="s">
        <v>10</v>
      </c>
      <c r="Q4" s="698" t="s">
        <v>10</v>
      </c>
      <c r="R4" s="698" t="s">
        <v>10</v>
      </c>
      <c r="S4" s="967" t="s">
        <v>1067</v>
      </c>
    </row>
    <row r="5" spans="1:19">
      <c r="A5" s="548" t="s">
        <v>823</v>
      </c>
      <c r="B5" s="123"/>
      <c r="C5" s="515" t="s">
        <v>637</v>
      </c>
      <c r="D5" s="51" t="s">
        <v>650</v>
      </c>
      <c r="E5" s="34" t="s">
        <v>637</v>
      </c>
      <c r="F5" s="34" t="s">
        <v>637</v>
      </c>
      <c r="G5" s="34" t="s">
        <v>637</v>
      </c>
      <c r="H5" s="34" t="s">
        <v>637</v>
      </c>
      <c r="I5" s="34" t="s">
        <v>637</v>
      </c>
      <c r="J5" s="34" t="s">
        <v>637</v>
      </c>
      <c r="K5" s="62" t="s">
        <v>637</v>
      </c>
      <c r="L5" s="34" t="s">
        <v>637</v>
      </c>
      <c r="M5" s="34" t="s">
        <v>637</v>
      </c>
      <c r="N5" s="34" t="s">
        <v>637</v>
      </c>
      <c r="O5" s="34" t="s">
        <v>637</v>
      </c>
      <c r="P5" s="34" t="s">
        <v>637</v>
      </c>
      <c r="Q5" s="34" t="s">
        <v>637</v>
      </c>
      <c r="R5" s="34" t="s">
        <v>637</v>
      </c>
      <c r="S5" s="225"/>
    </row>
    <row r="6" spans="1:19">
      <c r="A6" s="548" t="s">
        <v>827</v>
      </c>
      <c r="B6" s="123"/>
      <c r="C6" s="516" t="s">
        <v>649</v>
      </c>
      <c r="D6" s="51" t="s">
        <v>637</v>
      </c>
      <c r="E6" s="34" t="s">
        <v>637</v>
      </c>
      <c r="F6" s="34" t="s">
        <v>637</v>
      </c>
      <c r="G6" s="34" t="s">
        <v>637</v>
      </c>
      <c r="H6" s="34" t="s">
        <v>637</v>
      </c>
      <c r="I6" s="34" t="s">
        <v>637</v>
      </c>
      <c r="J6" s="34" t="s">
        <v>637</v>
      </c>
      <c r="K6" s="62" t="s">
        <v>637</v>
      </c>
      <c r="L6" s="34" t="s">
        <v>637</v>
      </c>
      <c r="M6" s="34" t="s">
        <v>637</v>
      </c>
      <c r="N6" s="34" t="s">
        <v>637</v>
      </c>
      <c r="O6" s="34" t="s">
        <v>637</v>
      </c>
      <c r="P6" s="34" t="s">
        <v>637</v>
      </c>
      <c r="Q6" s="34" t="s">
        <v>637</v>
      </c>
      <c r="R6" s="34" t="s">
        <v>637</v>
      </c>
      <c r="S6" s="225"/>
    </row>
    <row r="7" spans="1:19">
      <c r="A7" s="548" t="s">
        <v>824</v>
      </c>
      <c r="B7" s="123"/>
      <c r="C7" s="516" t="s">
        <v>637</v>
      </c>
      <c r="D7" s="51" t="s">
        <v>637</v>
      </c>
      <c r="E7" s="34" t="s">
        <v>650</v>
      </c>
      <c r="F7" s="34" t="s">
        <v>637</v>
      </c>
      <c r="G7" s="34" t="s">
        <v>637</v>
      </c>
      <c r="H7" s="34" t="s">
        <v>637</v>
      </c>
      <c r="I7" s="34" t="s">
        <v>637</v>
      </c>
      <c r="J7" s="34" t="s">
        <v>637</v>
      </c>
      <c r="K7" s="62" t="s">
        <v>637</v>
      </c>
      <c r="L7" s="34" t="s">
        <v>637</v>
      </c>
      <c r="M7" s="34" t="s">
        <v>637</v>
      </c>
      <c r="N7" s="34" t="s">
        <v>637</v>
      </c>
      <c r="O7" s="34" t="s">
        <v>637</v>
      </c>
      <c r="P7" s="34" t="s">
        <v>637</v>
      </c>
      <c r="Q7" s="34" t="s">
        <v>637</v>
      </c>
      <c r="R7" s="34" t="s">
        <v>637</v>
      </c>
      <c r="S7" s="225" t="s">
        <v>1066</v>
      </c>
    </row>
    <row r="8" spans="1:19">
      <c r="A8" s="548" t="s">
        <v>828</v>
      </c>
      <c r="B8" s="123"/>
      <c r="C8" s="516" t="s">
        <v>649</v>
      </c>
      <c r="D8" s="51" t="s">
        <v>637</v>
      </c>
      <c r="E8" s="34" t="s">
        <v>637</v>
      </c>
      <c r="F8" s="34" t="s">
        <v>637</v>
      </c>
      <c r="G8" s="34" t="s">
        <v>637</v>
      </c>
      <c r="H8" s="34" t="s">
        <v>637</v>
      </c>
      <c r="I8" s="34" t="s">
        <v>637</v>
      </c>
      <c r="J8" s="34" t="s">
        <v>637</v>
      </c>
      <c r="K8" s="62" t="s">
        <v>637</v>
      </c>
      <c r="L8" s="34" t="s">
        <v>637</v>
      </c>
      <c r="M8" s="34" t="s">
        <v>637</v>
      </c>
      <c r="N8" s="34" t="s">
        <v>637</v>
      </c>
      <c r="O8" s="34" t="s">
        <v>637</v>
      </c>
      <c r="P8" s="34" t="s">
        <v>637</v>
      </c>
      <c r="Q8" s="34" t="s">
        <v>637</v>
      </c>
      <c r="R8" s="34" t="s">
        <v>637</v>
      </c>
      <c r="S8" s="225"/>
    </row>
    <row r="9" spans="1:19">
      <c r="A9" s="548" t="s">
        <v>688</v>
      </c>
      <c r="B9" s="123"/>
      <c r="C9" s="516" t="s">
        <v>649</v>
      </c>
      <c r="D9" s="51" t="s">
        <v>637</v>
      </c>
      <c r="E9" s="34" t="s">
        <v>637</v>
      </c>
      <c r="F9" s="34" t="s">
        <v>637</v>
      </c>
      <c r="G9" s="34" t="s">
        <v>637</v>
      </c>
      <c r="H9" s="34" t="s">
        <v>637</v>
      </c>
      <c r="I9" s="34" t="s">
        <v>637</v>
      </c>
      <c r="J9" s="34" t="s">
        <v>637</v>
      </c>
      <c r="K9" s="62" t="s">
        <v>637</v>
      </c>
      <c r="L9" s="34" t="s">
        <v>637</v>
      </c>
      <c r="M9" s="34" t="s">
        <v>637</v>
      </c>
      <c r="N9" s="34" t="s">
        <v>637</v>
      </c>
      <c r="O9" s="34" t="s">
        <v>637</v>
      </c>
      <c r="P9" s="34" t="s">
        <v>637</v>
      </c>
      <c r="Q9" s="34" t="s">
        <v>637</v>
      </c>
      <c r="R9" s="34" t="s">
        <v>637</v>
      </c>
      <c r="S9" s="225"/>
    </row>
    <row r="10" spans="1:19">
      <c r="A10" s="548" t="s">
        <v>689</v>
      </c>
      <c r="B10" s="123"/>
      <c r="C10" s="516" t="s">
        <v>649</v>
      </c>
      <c r="D10" s="51" t="s">
        <v>637</v>
      </c>
      <c r="E10" s="34" t="s">
        <v>637</v>
      </c>
      <c r="F10" s="34" t="s">
        <v>637</v>
      </c>
      <c r="G10" s="34" t="s">
        <v>637</v>
      </c>
      <c r="H10" s="34" t="s">
        <v>637</v>
      </c>
      <c r="I10" s="34" t="s">
        <v>637</v>
      </c>
      <c r="J10" s="34" t="s">
        <v>637</v>
      </c>
      <c r="K10" s="62" t="s">
        <v>637</v>
      </c>
      <c r="L10" s="34" t="s">
        <v>637</v>
      </c>
      <c r="M10" s="34" t="s">
        <v>637</v>
      </c>
      <c r="N10" s="34" t="s">
        <v>637</v>
      </c>
      <c r="O10" s="34" t="s">
        <v>637</v>
      </c>
      <c r="P10" s="34" t="s">
        <v>637</v>
      </c>
      <c r="Q10" s="34" t="s">
        <v>637</v>
      </c>
      <c r="R10" s="34" t="s">
        <v>637</v>
      </c>
      <c r="S10" s="225"/>
    </row>
    <row r="11" spans="1:19">
      <c r="A11" s="548" t="s">
        <v>690</v>
      </c>
      <c r="B11" s="123"/>
      <c r="C11" s="516" t="s">
        <v>649</v>
      </c>
      <c r="D11" s="51" t="s">
        <v>637</v>
      </c>
      <c r="E11" s="34" t="s">
        <v>637</v>
      </c>
      <c r="F11" s="34" t="s">
        <v>637</v>
      </c>
      <c r="G11" s="34" t="s">
        <v>637</v>
      </c>
      <c r="H11" s="34" t="s">
        <v>637</v>
      </c>
      <c r="I11" s="34" t="s">
        <v>637</v>
      </c>
      <c r="J11" s="34" t="s">
        <v>637</v>
      </c>
      <c r="K11" s="62" t="s">
        <v>637</v>
      </c>
      <c r="L11" s="34" t="s">
        <v>637</v>
      </c>
      <c r="M11" s="34" t="s">
        <v>637</v>
      </c>
      <c r="N11" s="34" t="s">
        <v>637</v>
      </c>
      <c r="O11" s="34" t="s">
        <v>637</v>
      </c>
      <c r="P11" s="34" t="s">
        <v>637</v>
      </c>
      <c r="Q11" s="34" t="s">
        <v>637</v>
      </c>
      <c r="R11" s="34" t="s">
        <v>637</v>
      </c>
      <c r="S11" s="225"/>
    </row>
    <row r="12" spans="1:19">
      <c r="A12" s="548" t="s">
        <v>691</v>
      </c>
      <c r="B12" s="123"/>
      <c r="C12" s="516" t="s">
        <v>649</v>
      </c>
      <c r="D12" s="51" t="s">
        <v>962</v>
      </c>
      <c r="E12" s="34" t="s">
        <v>962</v>
      </c>
      <c r="F12" s="34" t="s">
        <v>962</v>
      </c>
      <c r="G12" s="34" t="s">
        <v>962</v>
      </c>
      <c r="H12" s="34" t="s">
        <v>962</v>
      </c>
      <c r="I12" s="34" t="s">
        <v>962</v>
      </c>
      <c r="J12" s="34" t="s">
        <v>962</v>
      </c>
      <c r="K12" s="62" t="s">
        <v>962</v>
      </c>
      <c r="L12" s="34" t="s">
        <v>962</v>
      </c>
      <c r="M12" s="34" t="s">
        <v>962</v>
      </c>
      <c r="N12" s="34" t="s">
        <v>962</v>
      </c>
      <c r="O12" s="34" t="s">
        <v>962</v>
      </c>
      <c r="P12" s="34" t="s">
        <v>962</v>
      </c>
      <c r="Q12" s="34" t="s">
        <v>962</v>
      </c>
      <c r="R12" s="34" t="s">
        <v>962</v>
      </c>
      <c r="S12" s="225" t="s">
        <v>1065</v>
      </c>
    </row>
    <row r="13" spans="1:19">
      <c r="A13" s="662" t="s">
        <v>932</v>
      </c>
      <c r="B13" s="123"/>
      <c r="C13" s="516" t="s">
        <v>649</v>
      </c>
      <c r="D13" s="49" t="s">
        <v>487</v>
      </c>
      <c r="E13" s="36" t="s">
        <v>487</v>
      </c>
      <c r="F13" s="36" t="s">
        <v>487</v>
      </c>
      <c r="G13" s="36" t="s">
        <v>487</v>
      </c>
      <c r="H13" s="36" t="s">
        <v>487</v>
      </c>
      <c r="I13" s="36" t="s">
        <v>487</v>
      </c>
      <c r="J13" s="36" t="s">
        <v>487</v>
      </c>
      <c r="K13" s="36" t="s">
        <v>487</v>
      </c>
      <c r="L13" s="36" t="s">
        <v>487</v>
      </c>
      <c r="M13" s="36" t="s">
        <v>487</v>
      </c>
      <c r="N13" s="36" t="s">
        <v>487</v>
      </c>
      <c r="O13" s="36" t="s">
        <v>487</v>
      </c>
      <c r="P13" s="36" t="s">
        <v>487</v>
      </c>
      <c r="Q13" s="36" t="s">
        <v>487</v>
      </c>
      <c r="R13" s="36" t="s">
        <v>487</v>
      </c>
      <c r="S13" s="116"/>
    </row>
    <row r="14" spans="1:19">
      <c r="A14" s="548" t="s">
        <v>692</v>
      </c>
      <c r="B14" s="123"/>
      <c r="C14" s="516" t="s">
        <v>649</v>
      </c>
      <c r="D14" s="49" t="s">
        <v>58</v>
      </c>
      <c r="E14" s="36" t="s">
        <v>58</v>
      </c>
      <c r="F14" s="36" t="s">
        <v>58</v>
      </c>
      <c r="G14" s="36" t="s">
        <v>58</v>
      </c>
      <c r="H14" s="36" t="s">
        <v>58</v>
      </c>
      <c r="I14" s="36" t="s">
        <v>58</v>
      </c>
      <c r="J14" s="36" t="s">
        <v>58</v>
      </c>
      <c r="K14" s="36" t="s">
        <v>58</v>
      </c>
      <c r="L14" s="36" t="s">
        <v>58</v>
      </c>
      <c r="M14" s="36" t="s">
        <v>58</v>
      </c>
      <c r="N14" s="36" t="s">
        <v>58</v>
      </c>
      <c r="O14" s="36" t="s">
        <v>58</v>
      </c>
      <c r="P14" s="36" t="s">
        <v>58</v>
      </c>
      <c r="Q14" s="36" t="s">
        <v>58</v>
      </c>
      <c r="R14" s="36" t="s">
        <v>58</v>
      </c>
      <c r="S14" s="116"/>
    </row>
    <row r="15" spans="1:19">
      <c r="A15" s="548" t="s">
        <v>693</v>
      </c>
      <c r="B15" s="123"/>
      <c r="C15" s="516" t="s">
        <v>649</v>
      </c>
      <c r="D15" s="49" t="s">
        <v>58</v>
      </c>
      <c r="E15" s="36" t="s">
        <v>58</v>
      </c>
      <c r="F15" s="36" t="s">
        <v>58</v>
      </c>
      <c r="G15" s="36" t="s">
        <v>58</v>
      </c>
      <c r="H15" s="36" t="s">
        <v>58</v>
      </c>
      <c r="I15" s="36" t="s">
        <v>58</v>
      </c>
      <c r="J15" s="36" t="s">
        <v>58</v>
      </c>
      <c r="K15" s="36" t="s">
        <v>58</v>
      </c>
      <c r="L15" s="36" t="s">
        <v>58</v>
      </c>
      <c r="M15" s="36" t="s">
        <v>58</v>
      </c>
      <c r="N15" s="36" t="s">
        <v>58</v>
      </c>
      <c r="O15" s="36" t="s">
        <v>58</v>
      </c>
      <c r="P15" s="36" t="s">
        <v>58</v>
      </c>
      <c r="Q15" s="36" t="s">
        <v>58</v>
      </c>
      <c r="R15" s="36" t="s">
        <v>58</v>
      </c>
      <c r="S15" s="116"/>
    </row>
    <row r="16" spans="1:19">
      <c r="A16" s="549" t="s">
        <v>694</v>
      </c>
      <c r="B16" s="497"/>
      <c r="C16" s="516" t="s">
        <v>647</v>
      </c>
      <c r="D16" s="49" t="s">
        <v>58</v>
      </c>
      <c r="E16" s="36" t="s">
        <v>58</v>
      </c>
      <c r="F16" s="36" t="s">
        <v>58</v>
      </c>
      <c r="G16" s="36" t="s">
        <v>58</v>
      </c>
      <c r="H16" s="36" t="s">
        <v>58</v>
      </c>
      <c r="I16" s="36" t="s">
        <v>58</v>
      </c>
      <c r="J16" s="36" t="s">
        <v>58</v>
      </c>
      <c r="K16" s="36" t="s">
        <v>58</v>
      </c>
      <c r="L16" s="36" t="s">
        <v>58</v>
      </c>
      <c r="M16" s="36" t="s">
        <v>58</v>
      </c>
      <c r="N16" s="36" t="s">
        <v>58</v>
      </c>
      <c r="O16" s="36" t="s">
        <v>58</v>
      </c>
      <c r="P16" s="36" t="s">
        <v>58</v>
      </c>
      <c r="Q16" s="36" t="s">
        <v>58</v>
      </c>
      <c r="R16" s="36" t="s">
        <v>58</v>
      </c>
      <c r="S16" s="116"/>
    </row>
    <row r="17" spans="1:19">
      <c r="A17" s="548" t="s">
        <v>682</v>
      </c>
      <c r="B17" s="123"/>
      <c r="C17" s="516" t="s">
        <v>649</v>
      </c>
      <c r="D17" s="51" t="s">
        <v>637</v>
      </c>
      <c r="E17" s="34" t="s">
        <v>637</v>
      </c>
      <c r="F17" s="34" t="s">
        <v>637</v>
      </c>
      <c r="G17" s="34" t="s">
        <v>637</v>
      </c>
      <c r="H17" s="34" t="s">
        <v>637</v>
      </c>
      <c r="I17" s="34" t="s">
        <v>637</v>
      </c>
      <c r="J17" s="34" t="s">
        <v>637</v>
      </c>
      <c r="K17" s="62" t="s">
        <v>637</v>
      </c>
      <c r="L17" s="34" t="s">
        <v>637</v>
      </c>
      <c r="M17" s="34" t="s">
        <v>637</v>
      </c>
      <c r="N17" s="34" t="s">
        <v>637</v>
      </c>
      <c r="O17" s="34" t="s">
        <v>637</v>
      </c>
      <c r="P17" s="34" t="s">
        <v>637</v>
      </c>
      <c r="Q17" s="34" t="s">
        <v>637</v>
      </c>
      <c r="R17" s="34" t="s">
        <v>637</v>
      </c>
      <c r="S17" s="116"/>
    </row>
    <row r="18" spans="1:19">
      <c r="A18" s="548" t="s">
        <v>695</v>
      </c>
      <c r="B18" s="123"/>
      <c r="C18" s="516" t="s">
        <v>649</v>
      </c>
      <c r="D18" s="51" t="s">
        <v>637</v>
      </c>
      <c r="E18" s="34" t="s">
        <v>637</v>
      </c>
      <c r="F18" s="34" t="s">
        <v>637</v>
      </c>
      <c r="G18" s="34" t="s">
        <v>637</v>
      </c>
      <c r="H18" s="34" t="s">
        <v>637</v>
      </c>
      <c r="I18" s="34" t="s">
        <v>637</v>
      </c>
      <c r="J18" s="34" t="s">
        <v>637</v>
      </c>
      <c r="K18" s="62" t="s">
        <v>637</v>
      </c>
      <c r="L18" s="34" t="s">
        <v>637</v>
      </c>
      <c r="M18" s="34" t="s">
        <v>637</v>
      </c>
      <c r="N18" s="34" t="s">
        <v>637</v>
      </c>
      <c r="O18" s="34" t="s">
        <v>637</v>
      </c>
      <c r="P18" s="34" t="s">
        <v>637</v>
      </c>
      <c r="Q18" s="34" t="s">
        <v>637</v>
      </c>
      <c r="R18" s="34" t="s">
        <v>637</v>
      </c>
      <c r="S18" s="116"/>
    </row>
    <row r="19" spans="1:19">
      <c r="A19" s="550" t="s">
        <v>696</v>
      </c>
      <c r="B19" s="124"/>
      <c r="C19" s="153" t="s">
        <v>8</v>
      </c>
      <c r="D19" s="48" t="s">
        <v>8</v>
      </c>
      <c r="E19" s="41" t="s">
        <v>8</v>
      </c>
      <c r="F19" s="41" t="s">
        <v>8</v>
      </c>
      <c r="G19" s="41" t="s">
        <v>8</v>
      </c>
      <c r="H19" s="41" t="s">
        <v>8</v>
      </c>
      <c r="I19" s="41" t="s">
        <v>8</v>
      </c>
      <c r="J19" s="41" t="s">
        <v>8</v>
      </c>
      <c r="K19" s="41" t="s">
        <v>8</v>
      </c>
      <c r="L19" s="41" t="s">
        <v>8</v>
      </c>
      <c r="M19" s="41" t="s">
        <v>8</v>
      </c>
      <c r="N19" s="41" t="s">
        <v>8</v>
      </c>
      <c r="O19" s="41" t="s">
        <v>8</v>
      </c>
      <c r="P19" s="41" t="s">
        <v>8</v>
      </c>
      <c r="Q19" s="41" t="s">
        <v>8</v>
      </c>
      <c r="R19" s="41" t="s">
        <v>8</v>
      </c>
      <c r="S19" s="116"/>
    </row>
    <row r="20" spans="1:19">
      <c r="A20" s="548" t="s">
        <v>697</v>
      </c>
      <c r="B20" s="123"/>
      <c r="C20" s="516" t="s">
        <v>649</v>
      </c>
      <c r="D20" s="49" t="s">
        <v>58</v>
      </c>
      <c r="E20" s="36" t="s">
        <v>58</v>
      </c>
      <c r="F20" s="36" t="s">
        <v>58</v>
      </c>
      <c r="G20" s="36" t="s">
        <v>58</v>
      </c>
      <c r="H20" s="36" t="s">
        <v>58</v>
      </c>
      <c r="I20" s="36" t="s">
        <v>58</v>
      </c>
      <c r="J20" s="36" t="s">
        <v>58</v>
      </c>
      <c r="K20" s="36" t="s">
        <v>58</v>
      </c>
      <c r="L20" s="36" t="s">
        <v>58</v>
      </c>
      <c r="M20" s="36" t="s">
        <v>58</v>
      </c>
      <c r="N20" s="36" t="s">
        <v>58</v>
      </c>
      <c r="O20" s="36" t="s">
        <v>58</v>
      </c>
      <c r="P20" s="36" t="s">
        <v>58</v>
      </c>
      <c r="Q20" s="36" t="s">
        <v>58</v>
      </c>
      <c r="R20" s="36" t="s">
        <v>58</v>
      </c>
      <c r="S20" s="116"/>
    </row>
    <row r="21" spans="1:19">
      <c r="A21" s="548" t="s">
        <v>698</v>
      </c>
      <c r="B21" s="123"/>
      <c r="C21" s="516" t="s">
        <v>649</v>
      </c>
      <c r="D21" s="49" t="s">
        <v>58</v>
      </c>
      <c r="E21" s="36" t="s">
        <v>58</v>
      </c>
      <c r="F21" s="36" t="s">
        <v>58</v>
      </c>
      <c r="G21" s="36" t="s">
        <v>58</v>
      </c>
      <c r="H21" s="36" t="s">
        <v>58</v>
      </c>
      <c r="I21" s="36" t="s">
        <v>58</v>
      </c>
      <c r="J21" s="36" t="s">
        <v>58</v>
      </c>
      <c r="K21" s="36" t="s">
        <v>58</v>
      </c>
      <c r="L21" s="36" t="s">
        <v>58</v>
      </c>
      <c r="M21" s="36" t="s">
        <v>58</v>
      </c>
      <c r="N21" s="36" t="s">
        <v>58</v>
      </c>
      <c r="O21" s="36" t="s">
        <v>58</v>
      </c>
      <c r="P21" s="36" t="s">
        <v>58</v>
      </c>
      <c r="Q21" s="36" t="s">
        <v>58</v>
      </c>
      <c r="R21" s="36" t="s">
        <v>58</v>
      </c>
      <c r="S21" s="116"/>
    </row>
    <row r="22" spans="1:19">
      <c r="A22" s="548" t="s">
        <v>699</v>
      </c>
      <c r="B22" s="123"/>
      <c r="C22" s="516" t="s">
        <v>649</v>
      </c>
      <c r="D22" s="49" t="s">
        <v>58</v>
      </c>
      <c r="E22" s="36" t="s">
        <v>58</v>
      </c>
      <c r="F22" s="36" t="s">
        <v>58</v>
      </c>
      <c r="G22" s="36" t="s">
        <v>58</v>
      </c>
      <c r="H22" s="36" t="s">
        <v>58</v>
      </c>
      <c r="I22" s="36" t="s">
        <v>58</v>
      </c>
      <c r="J22" s="36" t="s">
        <v>58</v>
      </c>
      <c r="K22" s="36" t="s">
        <v>58</v>
      </c>
      <c r="L22" s="36" t="s">
        <v>58</v>
      </c>
      <c r="M22" s="36" t="s">
        <v>58</v>
      </c>
      <c r="N22" s="36" t="s">
        <v>58</v>
      </c>
      <c r="O22" s="36" t="s">
        <v>58</v>
      </c>
      <c r="P22" s="36" t="s">
        <v>58</v>
      </c>
      <c r="Q22" s="36" t="s">
        <v>58</v>
      </c>
      <c r="R22" s="36" t="s">
        <v>58</v>
      </c>
      <c r="S22" s="116"/>
    </row>
    <row r="23" spans="1:19">
      <c r="A23" s="548" t="s">
        <v>700</v>
      </c>
      <c r="B23" s="123"/>
      <c r="C23" s="516" t="s">
        <v>649</v>
      </c>
      <c r="D23" s="49" t="s">
        <v>8</v>
      </c>
      <c r="E23" s="36" t="s">
        <v>8</v>
      </c>
      <c r="F23" s="36" t="s">
        <v>8</v>
      </c>
      <c r="G23" s="36" t="s">
        <v>8</v>
      </c>
      <c r="H23" s="36" t="s">
        <v>8</v>
      </c>
      <c r="I23" s="36" t="s">
        <v>8</v>
      </c>
      <c r="J23" s="36" t="s">
        <v>8</v>
      </c>
      <c r="K23" s="36" t="s">
        <v>8</v>
      </c>
      <c r="L23" s="36" t="s">
        <v>8</v>
      </c>
      <c r="M23" s="36" t="s">
        <v>8</v>
      </c>
      <c r="N23" s="36" t="s">
        <v>8</v>
      </c>
      <c r="O23" s="36" t="s">
        <v>8</v>
      </c>
      <c r="P23" s="36" t="s">
        <v>8</v>
      </c>
      <c r="Q23" s="36" t="s">
        <v>8</v>
      </c>
      <c r="R23" s="36" t="s">
        <v>8</v>
      </c>
      <c r="S23" s="116"/>
    </row>
    <row r="24" spans="1:19">
      <c r="A24" s="548" t="s">
        <v>701</v>
      </c>
      <c r="B24" s="123"/>
      <c r="C24" s="516" t="s">
        <v>649</v>
      </c>
      <c r="D24" s="49" t="s">
        <v>8</v>
      </c>
      <c r="E24" s="36" t="s">
        <v>8</v>
      </c>
      <c r="F24" s="36" t="s">
        <v>8</v>
      </c>
      <c r="G24" s="36" t="s">
        <v>8</v>
      </c>
      <c r="H24" s="36" t="s">
        <v>8</v>
      </c>
      <c r="I24" s="36" t="s">
        <v>8</v>
      </c>
      <c r="J24" s="36" t="s">
        <v>8</v>
      </c>
      <c r="K24" s="36" t="s">
        <v>8</v>
      </c>
      <c r="L24" s="36" t="s">
        <v>8</v>
      </c>
      <c r="M24" s="36" t="s">
        <v>8</v>
      </c>
      <c r="N24" s="36" t="s">
        <v>8</v>
      </c>
      <c r="O24" s="36" t="s">
        <v>8</v>
      </c>
      <c r="P24" s="36" t="s">
        <v>8</v>
      </c>
      <c r="Q24" s="36" t="s">
        <v>8</v>
      </c>
      <c r="R24" s="36" t="s">
        <v>8</v>
      </c>
      <c r="S24" s="116"/>
    </row>
    <row r="25" spans="1:19">
      <c r="A25" s="550" t="s">
        <v>702</v>
      </c>
      <c r="B25" s="124"/>
      <c r="C25" s="153" t="s">
        <v>8</v>
      </c>
      <c r="D25" s="48" t="s">
        <v>8</v>
      </c>
      <c r="E25" s="41" t="s">
        <v>8</v>
      </c>
      <c r="F25" s="41" t="s">
        <v>8</v>
      </c>
      <c r="G25" s="41" t="s">
        <v>8</v>
      </c>
      <c r="H25" s="41" t="s">
        <v>8</v>
      </c>
      <c r="I25" s="41" t="s">
        <v>8</v>
      </c>
      <c r="J25" s="41" t="s">
        <v>8</v>
      </c>
      <c r="K25" s="41" t="s">
        <v>8</v>
      </c>
      <c r="L25" s="41" t="s">
        <v>8</v>
      </c>
      <c r="M25" s="41" t="s">
        <v>8</v>
      </c>
      <c r="N25" s="41" t="s">
        <v>8</v>
      </c>
      <c r="O25" s="41" t="s">
        <v>8</v>
      </c>
      <c r="P25" s="41" t="s">
        <v>8</v>
      </c>
      <c r="Q25" s="41" t="s">
        <v>8</v>
      </c>
      <c r="R25" s="41" t="s">
        <v>8</v>
      </c>
      <c r="S25" s="116"/>
    </row>
    <row r="26" spans="1:19">
      <c r="A26" s="550" t="s">
        <v>703</v>
      </c>
      <c r="B26" s="124"/>
      <c r="C26" s="153" t="s">
        <v>8</v>
      </c>
      <c r="D26" s="48" t="s">
        <v>8</v>
      </c>
      <c r="E26" s="41" t="s">
        <v>8</v>
      </c>
      <c r="F26" s="41" t="s">
        <v>8</v>
      </c>
      <c r="G26" s="41" t="s">
        <v>8</v>
      </c>
      <c r="H26" s="41" t="s">
        <v>8</v>
      </c>
      <c r="I26" s="41" t="s">
        <v>8</v>
      </c>
      <c r="J26" s="41" t="s">
        <v>8</v>
      </c>
      <c r="K26" s="41" t="s">
        <v>8</v>
      </c>
      <c r="L26" s="41" t="s">
        <v>8</v>
      </c>
      <c r="M26" s="41" t="s">
        <v>8</v>
      </c>
      <c r="N26" s="41" t="s">
        <v>8</v>
      </c>
      <c r="O26" s="41" t="s">
        <v>8</v>
      </c>
      <c r="P26" s="41" t="s">
        <v>8</v>
      </c>
      <c r="Q26" s="41" t="s">
        <v>8</v>
      </c>
      <c r="R26" s="41" t="s">
        <v>8</v>
      </c>
      <c r="S26" s="116"/>
    </row>
    <row r="27" spans="1:19">
      <c r="A27" s="550" t="s">
        <v>829</v>
      </c>
      <c r="B27" s="124"/>
      <c r="C27" s="153" t="s">
        <v>8</v>
      </c>
      <c r="D27" s="48" t="s">
        <v>8</v>
      </c>
      <c r="E27" s="41" t="s">
        <v>8</v>
      </c>
      <c r="F27" s="41" t="s">
        <v>8</v>
      </c>
      <c r="G27" s="41" t="s">
        <v>8</v>
      </c>
      <c r="H27" s="41" t="s">
        <v>8</v>
      </c>
      <c r="I27" s="41" t="s">
        <v>8</v>
      </c>
      <c r="J27" s="41" t="s">
        <v>8</v>
      </c>
      <c r="K27" s="41" t="s">
        <v>8</v>
      </c>
      <c r="L27" s="41" t="s">
        <v>8</v>
      </c>
      <c r="M27" s="41" t="s">
        <v>8</v>
      </c>
      <c r="N27" s="41" t="s">
        <v>8</v>
      </c>
      <c r="O27" s="41" t="s">
        <v>8</v>
      </c>
      <c r="P27" s="41" t="s">
        <v>8</v>
      </c>
      <c r="Q27" s="41" t="s">
        <v>8</v>
      </c>
      <c r="R27" s="41" t="s">
        <v>8</v>
      </c>
      <c r="S27" s="116"/>
    </row>
    <row r="28" spans="1:19">
      <c r="A28" s="548" t="s">
        <v>683</v>
      </c>
      <c r="B28" s="123"/>
      <c r="C28" s="516" t="s">
        <v>649</v>
      </c>
      <c r="D28" s="49" t="s">
        <v>8</v>
      </c>
      <c r="E28" s="36" t="s">
        <v>8</v>
      </c>
      <c r="F28" s="36" t="s">
        <v>8</v>
      </c>
      <c r="G28" s="36" t="s">
        <v>8</v>
      </c>
      <c r="H28" s="36" t="s">
        <v>8</v>
      </c>
      <c r="I28" s="36" t="s">
        <v>8</v>
      </c>
      <c r="J28" s="36" t="s">
        <v>8</v>
      </c>
      <c r="K28" s="36" t="s">
        <v>8</v>
      </c>
      <c r="L28" s="36" t="s">
        <v>8</v>
      </c>
      <c r="M28" s="36" t="s">
        <v>8</v>
      </c>
      <c r="N28" s="36" t="s">
        <v>8</v>
      </c>
      <c r="O28" s="36" t="s">
        <v>8</v>
      </c>
      <c r="P28" s="36" t="s">
        <v>8</v>
      </c>
      <c r="Q28" s="36" t="s">
        <v>8</v>
      </c>
      <c r="R28" s="36" t="s">
        <v>8</v>
      </c>
      <c r="S28" s="116"/>
    </row>
    <row r="29" spans="1:19">
      <c r="A29" s="560" t="s">
        <v>826</v>
      </c>
      <c r="B29" s="490"/>
      <c r="C29" s="153" t="s">
        <v>8</v>
      </c>
      <c r="D29" s="370" t="s">
        <v>8</v>
      </c>
      <c r="E29" s="363" t="s">
        <v>8</v>
      </c>
      <c r="F29" s="363" t="s">
        <v>8</v>
      </c>
      <c r="G29" s="363" t="s">
        <v>8</v>
      </c>
      <c r="H29" s="363" t="s">
        <v>8</v>
      </c>
      <c r="I29" s="363" t="s">
        <v>8</v>
      </c>
      <c r="J29" s="363" t="s">
        <v>8</v>
      </c>
      <c r="K29" s="363" t="s">
        <v>8</v>
      </c>
      <c r="L29" s="363" t="s">
        <v>8</v>
      </c>
      <c r="M29" s="363" t="s">
        <v>8</v>
      </c>
      <c r="N29" s="363" t="s">
        <v>8</v>
      </c>
      <c r="O29" s="363" t="s">
        <v>8</v>
      </c>
      <c r="P29" s="363" t="s">
        <v>8</v>
      </c>
      <c r="Q29" s="363" t="s">
        <v>8</v>
      </c>
      <c r="R29" s="363" t="s">
        <v>8</v>
      </c>
      <c r="S29" s="116"/>
    </row>
    <row r="30" spans="1:19">
      <c r="A30" s="548" t="s">
        <v>711</v>
      </c>
      <c r="B30" s="123"/>
      <c r="C30" s="516" t="s">
        <v>649</v>
      </c>
      <c r="D30" s="51" t="s">
        <v>637</v>
      </c>
      <c r="E30" s="34" t="s">
        <v>637</v>
      </c>
      <c r="F30" s="34" t="s">
        <v>637</v>
      </c>
      <c r="G30" s="34" t="s">
        <v>637</v>
      </c>
      <c r="H30" s="34" t="s">
        <v>637</v>
      </c>
      <c r="I30" s="34" t="s">
        <v>637</v>
      </c>
      <c r="J30" s="34" t="s">
        <v>637</v>
      </c>
      <c r="K30" s="62" t="s">
        <v>637</v>
      </c>
      <c r="L30" s="34" t="s">
        <v>637</v>
      </c>
      <c r="M30" s="34" t="s">
        <v>637</v>
      </c>
      <c r="N30" s="34" t="s">
        <v>637</v>
      </c>
      <c r="O30" s="34" t="s">
        <v>637</v>
      </c>
      <c r="P30" s="34" t="s">
        <v>637</v>
      </c>
      <c r="Q30" s="34" t="s">
        <v>637</v>
      </c>
      <c r="R30" s="34" t="s">
        <v>637</v>
      </c>
      <c r="S30" s="116"/>
    </row>
    <row r="31" spans="1:19">
      <c r="A31" s="550" t="s">
        <v>712</v>
      </c>
      <c r="B31" s="124"/>
      <c r="C31" s="153" t="s">
        <v>8</v>
      </c>
      <c r="D31" s="48" t="s">
        <v>8</v>
      </c>
      <c r="E31" s="41" t="s">
        <v>8</v>
      </c>
      <c r="F31" s="41" t="s">
        <v>8</v>
      </c>
      <c r="G31" s="41" t="s">
        <v>8</v>
      </c>
      <c r="H31" s="41" t="s">
        <v>8</v>
      </c>
      <c r="I31" s="41" t="s">
        <v>8</v>
      </c>
      <c r="J31" s="41" t="s">
        <v>8</v>
      </c>
      <c r="K31" s="41" t="s">
        <v>8</v>
      </c>
      <c r="L31" s="41" t="s">
        <v>8</v>
      </c>
      <c r="M31" s="41" t="s">
        <v>8</v>
      </c>
      <c r="N31" s="41" t="s">
        <v>8</v>
      </c>
      <c r="O31" s="41" t="s">
        <v>8</v>
      </c>
      <c r="P31" s="41" t="s">
        <v>8</v>
      </c>
      <c r="Q31" s="41" t="s">
        <v>8</v>
      </c>
      <c r="R31" s="41" t="s">
        <v>8</v>
      </c>
      <c r="S31" s="116"/>
    </row>
    <row r="32" spans="1:19">
      <c r="A32" s="548" t="s">
        <v>713</v>
      </c>
      <c r="B32" s="123"/>
      <c r="C32" s="516" t="s">
        <v>649</v>
      </c>
      <c r="D32" s="49" t="s">
        <v>58</v>
      </c>
      <c r="E32" s="36" t="s">
        <v>58</v>
      </c>
      <c r="F32" s="36" t="s">
        <v>58</v>
      </c>
      <c r="G32" s="36" t="s">
        <v>58</v>
      </c>
      <c r="H32" s="36" t="s">
        <v>58</v>
      </c>
      <c r="I32" s="36" t="s">
        <v>58</v>
      </c>
      <c r="J32" s="36" t="s">
        <v>58</v>
      </c>
      <c r="K32" s="36" t="s">
        <v>58</v>
      </c>
      <c r="L32" s="36" t="s">
        <v>58</v>
      </c>
      <c r="M32" s="36" t="s">
        <v>58</v>
      </c>
      <c r="N32" s="36" t="s">
        <v>58</v>
      </c>
      <c r="O32" s="36" t="s">
        <v>58</v>
      </c>
      <c r="P32" s="36" t="s">
        <v>58</v>
      </c>
      <c r="Q32" s="36" t="s">
        <v>58</v>
      </c>
      <c r="R32" s="36" t="s">
        <v>58</v>
      </c>
      <c r="S32" s="116"/>
    </row>
    <row r="33" spans="1:19">
      <c r="A33" s="548" t="s">
        <v>714</v>
      </c>
      <c r="B33" s="123"/>
      <c r="C33" s="516" t="s">
        <v>649</v>
      </c>
      <c r="D33" s="49" t="s">
        <v>58</v>
      </c>
      <c r="E33" s="36" t="s">
        <v>58</v>
      </c>
      <c r="F33" s="36" t="s">
        <v>58</v>
      </c>
      <c r="G33" s="36" t="s">
        <v>58</v>
      </c>
      <c r="H33" s="36" t="s">
        <v>58</v>
      </c>
      <c r="I33" s="36" t="s">
        <v>58</v>
      </c>
      <c r="J33" s="36" t="s">
        <v>58</v>
      </c>
      <c r="K33" s="36" t="s">
        <v>58</v>
      </c>
      <c r="L33" s="36" t="s">
        <v>58</v>
      </c>
      <c r="M33" s="36" t="s">
        <v>58</v>
      </c>
      <c r="N33" s="36" t="s">
        <v>58</v>
      </c>
      <c r="O33" s="36" t="s">
        <v>58</v>
      </c>
      <c r="P33" s="36" t="s">
        <v>58</v>
      </c>
      <c r="Q33" s="36" t="s">
        <v>58</v>
      </c>
      <c r="R33" s="36" t="s">
        <v>58</v>
      </c>
      <c r="S33" s="116"/>
    </row>
    <row r="34" spans="1:19">
      <c r="A34" s="548" t="s">
        <v>715</v>
      </c>
      <c r="B34" s="123"/>
      <c r="C34" s="516" t="s">
        <v>649</v>
      </c>
      <c r="D34" s="49" t="s">
        <v>58</v>
      </c>
      <c r="E34" s="36" t="s">
        <v>58</v>
      </c>
      <c r="F34" s="36" t="s">
        <v>58</v>
      </c>
      <c r="G34" s="36" t="s">
        <v>58</v>
      </c>
      <c r="H34" s="36" t="s">
        <v>58</v>
      </c>
      <c r="I34" s="36" t="s">
        <v>58</v>
      </c>
      <c r="J34" s="36" t="s">
        <v>58</v>
      </c>
      <c r="K34" s="36" t="s">
        <v>58</v>
      </c>
      <c r="L34" s="36" t="s">
        <v>58</v>
      </c>
      <c r="M34" s="36" t="s">
        <v>58</v>
      </c>
      <c r="N34" s="36" t="s">
        <v>58</v>
      </c>
      <c r="O34" s="36" t="s">
        <v>58</v>
      </c>
      <c r="P34" s="36" t="s">
        <v>58</v>
      </c>
      <c r="Q34" s="36" t="s">
        <v>58</v>
      </c>
      <c r="R34" s="36" t="s">
        <v>58</v>
      </c>
      <c r="S34" s="116"/>
    </row>
    <row r="35" spans="1:19" s="338" customFormat="1">
      <c r="A35" s="652" t="s">
        <v>716</v>
      </c>
      <c r="B35" s="489"/>
      <c r="C35" s="516" t="s">
        <v>649</v>
      </c>
      <c r="D35" s="485" t="s">
        <v>58</v>
      </c>
      <c r="E35" s="486" t="s">
        <v>58</v>
      </c>
      <c r="F35" s="486" t="s">
        <v>58</v>
      </c>
      <c r="G35" s="486" t="s">
        <v>58</v>
      </c>
      <c r="H35" s="486" t="s">
        <v>58</v>
      </c>
      <c r="I35" s="486" t="s">
        <v>58</v>
      </c>
      <c r="J35" s="486" t="s">
        <v>58</v>
      </c>
      <c r="K35" s="486" t="s">
        <v>58</v>
      </c>
      <c r="L35" s="486" t="s">
        <v>58</v>
      </c>
      <c r="M35" s="486" t="s">
        <v>58</v>
      </c>
      <c r="N35" s="486" t="s">
        <v>58</v>
      </c>
      <c r="O35" s="486" t="s">
        <v>58</v>
      </c>
      <c r="P35" s="486" t="s">
        <v>58</v>
      </c>
      <c r="Q35" s="486" t="s">
        <v>58</v>
      </c>
      <c r="R35" s="487" t="s">
        <v>58</v>
      </c>
      <c r="S35" s="488"/>
    </row>
    <row r="36" spans="1:19" s="338" customFormat="1">
      <c r="A36" s="652" t="s">
        <v>717</v>
      </c>
      <c r="B36" s="489"/>
      <c r="C36" s="516" t="s">
        <v>649</v>
      </c>
      <c r="D36" s="485" t="s">
        <v>58</v>
      </c>
      <c r="E36" s="486" t="s">
        <v>58</v>
      </c>
      <c r="F36" s="486" t="s">
        <v>58</v>
      </c>
      <c r="G36" s="486" t="s">
        <v>58</v>
      </c>
      <c r="H36" s="486" t="s">
        <v>58</v>
      </c>
      <c r="I36" s="486" t="s">
        <v>58</v>
      </c>
      <c r="J36" s="486" t="s">
        <v>58</v>
      </c>
      <c r="K36" s="486" t="s">
        <v>58</v>
      </c>
      <c r="L36" s="486" t="s">
        <v>58</v>
      </c>
      <c r="M36" s="486" t="s">
        <v>58</v>
      </c>
      <c r="N36" s="486" t="s">
        <v>58</v>
      </c>
      <c r="O36" s="486" t="s">
        <v>58</v>
      </c>
      <c r="P36" s="486" t="s">
        <v>58</v>
      </c>
      <c r="Q36" s="486" t="s">
        <v>58</v>
      </c>
      <c r="R36" s="487" t="s">
        <v>58</v>
      </c>
      <c r="S36" s="488"/>
    </row>
    <row r="37" spans="1:19" s="338" customFormat="1">
      <c r="A37" s="558" t="s">
        <v>718</v>
      </c>
      <c r="B37" s="226"/>
      <c r="C37" s="227" t="s">
        <v>58</v>
      </c>
      <c r="D37" s="228" t="s">
        <v>58</v>
      </c>
      <c r="E37" s="229" t="s">
        <v>58</v>
      </c>
      <c r="F37" s="229" t="s">
        <v>58</v>
      </c>
      <c r="G37" s="229" t="s">
        <v>58</v>
      </c>
      <c r="H37" s="229" t="s">
        <v>58</v>
      </c>
      <c r="I37" s="229" t="s">
        <v>58</v>
      </c>
      <c r="J37" s="229" t="s">
        <v>58</v>
      </c>
      <c r="K37" s="229" t="s">
        <v>58</v>
      </c>
      <c r="L37" s="229" t="s">
        <v>58</v>
      </c>
      <c r="M37" s="229" t="s">
        <v>58</v>
      </c>
      <c r="N37" s="229" t="s">
        <v>58</v>
      </c>
      <c r="O37" s="229" t="s">
        <v>58</v>
      </c>
      <c r="P37" s="229" t="s">
        <v>58</v>
      </c>
      <c r="Q37" s="229" t="s">
        <v>58</v>
      </c>
      <c r="R37" s="205" t="s">
        <v>58</v>
      </c>
      <c r="S37" s="225"/>
    </row>
    <row r="38" spans="1:19" s="338" customFormat="1">
      <c r="A38" s="558" t="s">
        <v>719</v>
      </c>
      <c r="B38" s="226"/>
      <c r="C38" s="227" t="s">
        <v>58</v>
      </c>
      <c r="D38" s="228" t="s">
        <v>58</v>
      </c>
      <c r="E38" s="229" t="s">
        <v>58</v>
      </c>
      <c r="F38" s="229" t="s">
        <v>58</v>
      </c>
      <c r="G38" s="229" t="s">
        <v>58</v>
      </c>
      <c r="H38" s="229" t="s">
        <v>58</v>
      </c>
      <c r="I38" s="229" t="s">
        <v>58</v>
      </c>
      <c r="J38" s="229" t="s">
        <v>58</v>
      </c>
      <c r="K38" s="229" t="s">
        <v>58</v>
      </c>
      <c r="L38" s="229" t="s">
        <v>58</v>
      </c>
      <c r="M38" s="229" t="s">
        <v>58</v>
      </c>
      <c r="N38" s="229" t="s">
        <v>58</v>
      </c>
      <c r="O38" s="229" t="s">
        <v>58</v>
      </c>
      <c r="P38" s="229" t="s">
        <v>58</v>
      </c>
      <c r="Q38" s="229" t="s">
        <v>58</v>
      </c>
      <c r="R38" s="205" t="s">
        <v>58</v>
      </c>
      <c r="S38" s="225"/>
    </row>
    <row r="39" spans="1:19">
      <c r="A39" s="551" t="s">
        <v>684</v>
      </c>
      <c r="B39" s="123"/>
      <c r="C39" s="516" t="s">
        <v>649</v>
      </c>
      <c r="D39" s="50" t="s">
        <v>58</v>
      </c>
      <c r="E39" s="42" t="s">
        <v>58</v>
      </c>
      <c r="F39" s="42" t="s">
        <v>58</v>
      </c>
      <c r="G39" s="42" t="s">
        <v>58</v>
      </c>
      <c r="H39" s="42" t="s">
        <v>58</v>
      </c>
      <c r="I39" s="42" t="s">
        <v>58</v>
      </c>
      <c r="J39" s="42" t="s">
        <v>58</v>
      </c>
      <c r="K39" s="42" t="s">
        <v>58</v>
      </c>
      <c r="L39" s="42" t="s">
        <v>58</v>
      </c>
      <c r="M39" s="42" t="s">
        <v>58</v>
      </c>
      <c r="N39" s="42" t="s">
        <v>58</v>
      </c>
      <c r="O39" s="42" t="s">
        <v>58</v>
      </c>
      <c r="P39" s="42" t="s">
        <v>58</v>
      </c>
      <c r="Q39" s="42" t="s">
        <v>58</v>
      </c>
      <c r="R39" s="42" t="s">
        <v>58</v>
      </c>
      <c r="S39" s="117"/>
    </row>
    <row r="40" spans="1:19">
      <c r="A40" s="552" t="s">
        <v>720</v>
      </c>
      <c r="B40" s="124"/>
      <c r="C40" s="153" t="s">
        <v>58</v>
      </c>
      <c r="D40" s="48" t="s">
        <v>58</v>
      </c>
      <c r="E40" s="41" t="s">
        <v>58</v>
      </c>
      <c r="F40" s="41" t="s">
        <v>58</v>
      </c>
      <c r="G40" s="41" t="s">
        <v>58</v>
      </c>
      <c r="H40" s="41" t="s">
        <v>58</v>
      </c>
      <c r="I40" s="41" t="s">
        <v>58</v>
      </c>
      <c r="J40" s="41" t="s">
        <v>58</v>
      </c>
      <c r="K40" s="41" t="s">
        <v>58</v>
      </c>
      <c r="L40" s="41" t="s">
        <v>58</v>
      </c>
      <c r="M40" s="41" t="s">
        <v>58</v>
      </c>
      <c r="N40" s="41" t="s">
        <v>58</v>
      </c>
      <c r="O40" s="41" t="s">
        <v>58</v>
      </c>
      <c r="P40" s="41" t="s">
        <v>58</v>
      </c>
      <c r="Q40" s="41" t="s">
        <v>58</v>
      </c>
      <c r="R40" s="41" t="s">
        <v>58</v>
      </c>
      <c r="S40" s="117"/>
    </row>
    <row r="41" spans="1:19">
      <c r="A41" s="552" t="s">
        <v>721</v>
      </c>
      <c r="B41" s="124"/>
      <c r="C41" s="153" t="s">
        <v>58</v>
      </c>
      <c r="D41" s="48" t="s">
        <v>58</v>
      </c>
      <c r="E41" s="41" t="s">
        <v>58</v>
      </c>
      <c r="F41" s="41" t="s">
        <v>58</v>
      </c>
      <c r="G41" s="41" t="s">
        <v>58</v>
      </c>
      <c r="H41" s="41" t="s">
        <v>58</v>
      </c>
      <c r="I41" s="41" t="s">
        <v>58</v>
      </c>
      <c r="J41" s="41" t="s">
        <v>58</v>
      </c>
      <c r="K41" s="41" t="s">
        <v>58</v>
      </c>
      <c r="L41" s="41" t="s">
        <v>58</v>
      </c>
      <c r="M41" s="41" t="s">
        <v>58</v>
      </c>
      <c r="N41" s="41" t="s">
        <v>58</v>
      </c>
      <c r="O41" s="41" t="s">
        <v>58</v>
      </c>
      <c r="P41" s="41" t="s">
        <v>58</v>
      </c>
      <c r="Q41" s="41" t="s">
        <v>58</v>
      </c>
      <c r="R41" s="41" t="s">
        <v>58</v>
      </c>
      <c r="S41" s="117"/>
    </row>
    <row r="42" spans="1:19">
      <c r="A42" s="550" t="s">
        <v>723</v>
      </c>
      <c r="B42" s="124"/>
      <c r="C42" s="153" t="s">
        <v>58</v>
      </c>
      <c r="D42" s="48" t="s">
        <v>58</v>
      </c>
      <c r="E42" s="41" t="s">
        <v>58</v>
      </c>
      <c r="F42" s="41" t="s">
        <v>58</v>
      </c>
      <c r="G42" s="41" t="s">
        <v>58</v>
      </c>
      <c r="H42" s="41" t="s">
        <v>58</v>
      </c>
      <c r="I42" s="41" t="s">
        <v>58</v>
      </c>
      <c r="J42" s="41" t="s">
        <v>58</v>
      </c>
      <c r="K42" s="41" t="s">
        <v>58</v>
      </c>
      <c r="L42" s="41" t="s">
        <v>58</v>
      </c>
      <c r="M42" s="41" t="s">
        <v>58</v>
      </c>
      <c r="N42" s="41" t="s">
        <v>58</v>
      </c>
      <c r="O42" s="41" t="s">
        <v>58</v>
      </c>
      <c r="P42" s="41" t="s">
        <v>58</v>
      </c>
      <c r="Q42" s="41" t="s">
        <v>58</v>
      </c>
      <c r="R42" s="41" t="s">
        <v>58</v>
      </c>
      <c r="S42" s="116"/>
    </row>
    <row r="43" spans="1:19">
      <c r="A43" s="550" t="s">
        <v>724</v>
      </c>
      <c r="B43" s="124"/>
      <c r="C43" s="153" t="s">
        <v>58</v>
      </c>
      <c r="D43" s="48" t="s">
        <v>58</v>
      </c>
      <c r="E43" s="41" t="s">
        <v>58</v>
      </c>
      <c r="F43" s="41" t="s">
        <v>58</v>
      </c>
      <c r="G43" s="41" t="s">
        <v>58</v>
      </c>
      <c r="H43" s="41" t="s">
        <v>58</v>
      </c>
      <c r="I43" s="41" t="s">
        <v>58</v>
      </c>
      <c r="J43" s="41" t="s">
        <v>58</v>
      </c>
      <c r="K43" s="41" t="s">
        <v>58</v>
      </c>
      <c r="L43" s="41" t="s">
        <v>58</v>
      </c>
      <c r="M43" s="41" t="s">
        <v>58</v>
      </c>
      <c r="N43" s="41" t="s">
        <v>58</v>
      </c>
      <c r="O43" s="41" t="s">
        <v>58</v>
      </c>
      <c r="P43" s="41" t="s">
        <v>58</v>
      </c>
      <c r="Q43" s="41" t="s">
        <v>58</v>
      </c>
      <c r="R43" s="41" t="s">
        <v>58</v>
      </c>
      <c r="S43" s="116"/>
    </row>
    <row r="44" spans="1:19">
      <c r="A44" s="550" t="s">
        <v>685</v>
      </c>
      <c r="B44" s="124"/>
      <c r="C44" s="153" t="s">
        <v>8</v>
      </c>
      <c r="D44" s="48" t="s">
        <v>8</v>
      </c>
      <c r="E44" s="41" t="s">
        <v>8</v>
      </c>
      <c r="F44" s="41" t="s">
        <v>8</v>
      </c>
      <c r="G44" s="41" t="s">
        <v>8</v>
      </c>
      <c r="H44" s="41" t="s">
        <v>8</v>
      </c>
      <c r="I44" s="41" t="s">
        <v>8</v>
      </c>
      <c r="J44" s="41" t="s">
        <v>8</v>
      </c>
      <c r="K44" s="41" t="s">
        <v>8</v>
      </c>
      <c r="L44" s="41" t="s">
        <v>8</v>
      </c>
      <c r="M44" s="41" t="s">
        <v>8</v>
      </c>
      <c r="N44" s="41" t="s">
        <v>8</v>
      </c>
      <c r="O44" s="41" t="s">
        <v>8</v>
      </c>
      <c r="P44" s="41" t="s">
        <v>8</v>
      </c>
      <c r="Q44" s="41" t="s">
        <v>8</v>
      </c>
      <c r="R44" s="41" t="s">
        <v>8</v>
      </c>
      <c r="S44" s="116"/>
    </row>
    <row r="45" spans="1:19">
      <c r="A45" s="549" t="s">
        <v>102</v>
      </c>
      <c r="B45" s="497"/>
      <c r="C45" s="516" t="s">
        <v>647</v>
      </c>
      <c r="D45" s="49" t="s">
        <v>58</v>
      </c>
      <c r="E45" s="36" t="s">
        <v>58</v>
      </c>
      <c r="F45" s="36" t="s">
        <v>58</v>
      </c>
      <c r="G45" s="36" t="s">
        <v>58</v>
      </c>
      <c r="H45" s="36" t="s">
        <v>58</v>
      </c>
      <c r="I45" s="36" t="s">
        <v>58</v>
      </c>
      <c r="J45" s="36" t="s">
        <v>58</v>
      </c>
      <c r="K45" s="36" t="s">
        <v>58</v>
      </c>
      <c r="L45" s="36" t="s">
        <v>58</v>
      </c>
      <c r="M45" s="36" t="s">
        <v>58</v>
      </c>
      <c r="N45" s="36" t="s">
        <v>58</v>
      </c>
      <c r="O45" s="36" t="s">
        <v>58</v>
      </c>
      <c r="P45" s="36" t="s">
        <v>58</v>
      </c>
      <c r="Q45" s="36" t="s">
        <v>58</v>
      </c>
      <c r="R45" s="36" t="s">
        <v>58</v>
      </c>
      <c r="S45" s="116"/>
    </row>
    <row r="46" spans="1:19" ht="14.25" thickBot="1">
      <c r="A46" s="559" t="s">
        <v>677</v>
      </c>
      <c r="B46" s="501"/>
      <c r="C46" s="500" t="s">
        <v>161</v>
      </c>
      <c r="D46" s="371" t="s">
        <v>161</v>
      </c>
      <c r="E46" s="288" t="s">
        <v>161</v>
      </c>
      <c r="F46" s="288" t="s">
        <v>161</v>
      </c>
      <c r="G46" s="288" t="s">
        <v>161</v>
      </c>
      <c r="H46" s="288" t="s">
        <v>161</v>
      </c>
      <c r="I46" s="288" t="s">
        <v>161</v>
      </c>
      <c r="J46" s="288" t="s">
        <v>161</v>
      </c>
      <c r="K46" s="288" t="s">
        <v>161</v>
      </c>
      <c r="L46" s="288" t="s">
        <v>161</v>
      </c>
      <c r="M46" s="288" t="s">
        <v>161</v>
      </c>
      <c r="N46" s="288" t="s">
        <v>161</v>
      </c>
      <c r="O46" s="288" t="s">
        <v>161</v>
      </c>
      <c r="P46" s="288" t="s">
        <v>161</v>
      </c>
      <c r="Q46" s="288" t="s">
        <v>161</v>
      </c>
      <c r="R46" s="374" t="s">
        <v>161</v>
      </c>
      <c r="S46" s="540"/>
    </row>
    <row r="47" spans="1:19" ht="13.5" customHeight="1">
      <c r="A47" s="551" t="s">
        <v>729</v>
      </c>
      <c r="B47" s="123"/>
      <c r="C47" s="516" t="s">
        <v>649</v>
      </c>
      <c r="D47" s="49" t="s">
        <v>58</v>
      </c>
      <c r="E47" s="36" t="s">
        <v>58</v>
      </c>
      <c r="F47" s="36" t="s">
        <v>58</v>
      </c>
      <c r="G47" s="36" t="s">
        <v>58</v>
      </c>
      <c r="H47" s="36" t="s">
        <v>58</v>
      </c>
      <c r="I47" s="36" t="s">
        <v>58</v>
      </c>
      <c r="J47" s="36" t="s">
        <v>58</v>
      </c>
      <c r="K47" s="36" t="s">
        <v>58</v>
      </c>
      <c r="L47" s="36" t="s">
        <v>58</v>
      </c>
      <c r="M47" s="36" t="s">
        <v>58</v>
      </c>
      <c r="N47" s="36" t="s">
        <v>58</v>
      </c>
      <c r="O47" s="36" t="s">
        <v>58</v>
      </c>
      <c r="P47" s="36" t="s">
        <v>58</v>
      </c>
      <c r="Q47" s="36" t="s">
        <v>58</v>
      </c>
      <c r="R47" s="36" t="s">
        <v>58</v>
      </c>
      <c r="S47" s="1042" t="s">
        <v>933</v>
      </c>
    </row>
    <row r="48" spans="1:19">
      <c r="A48" s="551" t="s">
        <v>730</v>
      </c>
      <c r="B48" s="123"/>
      <c r="C48" s="516" t="s">
        <v>649</v>
      </c>
      <c r="D48" s="49" t="s">
        <v>58</v>
      </c>
      <c r="E48" s="36" t="s">
        <v>58</v>
      </c>
      <c r="F48" s="36" t="s">
        <v>58</v>
      </c>
      <c r="G48" s="36" t="s">
        <v>58</v>
      </c>
      <c r="H48" s="36" t="s">
        <v>58</v>
      </c>
      <c r="I48" s="36" t="s">
        <v>58</v>
      </c>
      <c r="J48" s="36" t="s">
        <v>58</v>
      </c>
      <c r="K48" s="36" t="s">
        <v>58</v>
      </c>
      <c r="L48" s="36" t="s">
        <v>58</v>
      </c>
      <c r="M48" s="36" t="s">
        <v>58</v>
      </c>
      <c r="N48" s="36" t="s">
        <v>58</v>
      </c>
      <c r="O48" s="36" t="s">
        <v>58</v>
      </c>
      <c r="P48" s="36" t="s">
        <v>58</v>
      </c>
      <c r="Q48" s="36" t="s">
        <v>58</v>
      </c>
      <c r="R48" s="36" t="s">
        <v>58</v>
      </c>
      <c r="S48" s="1240"/>
    </row>
    <row r="49" spans="1:19">
      <c r="A49" s="553" t="s">
        <v>731</v>
      </c>
      <c r="B49" s="490"/>
      <c r="C49" s="653" t="s">
        <v>58</v>
      </c>
      <c r="D49" s="370" t="s">
        <v>58</v>
      </c>
      <c r="E49" s="363" t="s">
        <v>58</v>
      </c>
      <c r="F49" s="363" t="s">
        <v>58</v>
      </c>
      <c r="G49" s="363" t="s">
        <v>58</v>
      </c>
      <c r="H49" s="363" t="s">
        <v>58</v>
      </c>
      <c r="I49" s="363" t="s">
        <v>58</v>
      </c>
      <c r="J49" s="363" t="s">
        <v>58</v>
      </c>
      <c r="K49" s="363" t="s">
        <v>58</v>
      </c>
      <c r="L49" s="363" t="s">
        <v>58</v>
      </c>
      <c r="M49" s="363" t="s">
        <v>58</v>
      </c>
      <c r="N49" s="363" t="s">
        <v>58</v>
      </c>
      <c r="O49" s="363" t="s">
        <v>58</v>
      </c>
      <c r="P49" s="363" t="s">
        <v>58</v>
      </c>
      <c r="Q49" s="363" t="s">
        <v>58</v>
      </c>
      <c r="R49" s="363" t="s">
        <v>58</v>
      </c>
      <c r="S49" s="1240"/>
    </row>
    <row r="50" spans="1:19">
      <c r="A50" s="553" t="s">
        <v>732</v>
      </c>
      <c r="B50" s="490"/>
      <c r="C50" s="653" t="s">
        <v>58</v>
      </c>
      <c r="D50" s="370" t="s">
        <v>58</v>
      </c>
      <c r="E50" s="363" t="s">
        <v>58</v>
      </c>
      <c r="F50" s="363" t="s">
        <v>58</v>
      </c>
      <c r="G50" s="363" t="s">
        <v>58</v>
      </c>
      <c r="H50" s="363" t="s">
        <v>58</v>
      </c>
      <c r="I50" s="363" t="s">
        <v>58</v>
      </c>
      <c r="J50" s="363" t="s">
        <v>58</v>
      </c>
      <c r="K50" s="363" t="s">
        <v>58</v>
      </c>
      <c r="L50" s="363" t="s">
        <v>58</v>
      </c>
      <c r="M50" s="363" t="s">
        <v>58</v>
      </c>
      <c r="N50" s="363" t="s">
        <v>58</v>
      </c>
      <c r="O50" s="363" t="s">
        <v>58</v>
      </c>
      <c r="P50" s="363" t="s">
        <v>58</v>
      </c>
      <c r="Q50" s="363" t="s">
        <v>58</v>
      </c>
      <c r="R50" s="363" t="s">
        <v>58</v>
      </c>
      <c r="S50" s="1240"/>
    </row>
    <row r="51" spans="1:19">
      <c r="A51" s="553" t="s">
        <v>733</v>
      </c>
      <c r="B51" s="490"/>
      <c r="C51" s="653" t="s">
        <v>58</v>
      </c>
      <c r="D51" s="370" t="s">
        <v>58</v>
      </c>
      <c r="E51" s="363" t="s">
        <v>58</v>
      </c>
      <c r="F51" s="363" t="s">
        <v>58</v>
      </c>
      <c r="G51" s="363" t="s">
        <v>58</v>
      </c>
      <c r="H51" s="363" t="s">
        <v>58</v>
      </c>
      <c r="I51" s="363" t="s">
        <v>58</v>
      </c>
      <c r="J51" s="363" t="s">
        <v>58</v>
      </c>
      <c r="K51" s="363" t="s">
        <v>58</v>
      </c>
      <c r="L51" s="363" t="s">
        <v>58</v>
      </c>
      <c r="M51" s="363" t="s">
        <v>58</v>
      </c>
      <c r="N51" s="363" t="s">
        <v>58</v>
      </c>
      <c r="O51" s="363" t="s">
        <v>58</v>
      </c>
      <c r="P51" s="363" t="s">
        <v>58</v>
      </c>
      <c r="Q51" s="363" t="s">
        <v>58</v>
      </c>
      <c r="R51" s="363" t="s">
        <v>58</v>
      </c>
      <c r="S51" s="1240"/>
    </row>
    <row r="52" spans="1:19">
      <c r="A52" s="553" t="s">
        <v>734</v>
      </c>
      <c r="B52" s="490"/>
      <c r="C52" s="653" t="s">
        <v>58</v>
      </c>
      <c r="D52" s="370" t="s">
        <v>58</v>
      </c>
      <c r="E52" s="363" t="s">
        <v>58</v>
      </c>
      <c r="F52" s="363" t="s">
        <v>58</v>
      </c>
      <c r="G52" s="363" t="s">
        <v>58</v>
      </c>
      <c r="H52" s="363" t="s">
        <v>58</v>
      </c>
      <c r="I52" s="363" t="s">
        <v>58</v>
      </c>
      <c r="J52" s="363" t="s">
        <v>58</v>
      </c>
      <c r="K52" s="363" t="s">
        <v>58</v>
      </c>
      <c r="L52" s="363" t="s">
        <v>58</v>
      </c>
      <c r="M52" s="363" t="s">
        <v>58</v>
      </c>
      <c r="N52" s="363" t="s">
        <v>58</v>
      </c>
      <c r="O52" s="363" t="s">
        <v>58</v>
      </c>
      <c r="P52" s="363" t="s">
        <v>58</v>
      </c>
      <c r="Q52" s="363" t="s">
        <v>58</v>
      </c>
      <c r="R52" s="363" t="s">
        <v>58</v>
      </c>
      <c r="S52" s="1240"/>
    </row>
    <row r="53" spans="1:19">
      <c r="A53" s="553" t="s">
        <v>735</v>
      </c>
      <c r="B53" s="490"/>
      <c r="C53" s="653" t="s">
        <v>8</v>
      </c>
      <c r="D53" s="370" t="s">
        <v>58</v>
      </c>
      <c r="E53" s="363" t="s">
        <v>58</v>
      </c>
      <c r="F53" s="363" t="s">
        <v>58</v>
      </c>
      <c r="G53" s="363" t="s">
        <v>58</v>
      </c>
      <c r="H53" s="363" t="s">
        <v>58</v>
      </c>
      <c r="I53" s="363" t="s">
        <v>58</v>
      </c>
      <c r="J53" s="363" t="s">
        <v>58</v>
      </c>
      <c r="K53" s="363" t="s">
        <v>58</v>
      </c>
      <c r="L53" s="363" t="s">
        <v>58</v>
      </c>
      <c r="M53" s="363" t="s">
        <v>58</v>
      </c>
      <c r="N53" s="363" t="s">
        <v>58</v>
      </c>
      <c r="O53" s="363" t="s">
        <v>58</v>
      </c>
      <c r="P53" s="363" t="s">
        <v>58</v>
      </c>
      <c r="Q53" s="363" t="s">
        <v>58</v>
      </c>
      <c r="R53" s="363" t="s">
        <v>58</v>
      </c>
      <c r="S53" s="1240"/>
    </row>
    <row r="54" spans="1:19">
      <c r="A54" s="551" t="s">
        <v>736</v>
      </c>
      <c r="B54" s="123"/>
      <c r="C54" s="516" t="s">
        <v>649</v>
      </c>
      <c r="D54" s="49" t="s">
        <v>58</v>
      </c>
      <c r="E54" s="36" t="s">
        <v>58</v>
      </c>
      <c r="F54" s="36" t="s">
        <v>58</v>
      </c>
      <c r="G54" s="36" t="s">
        <v>58</v>
      </c>
      <c r="H54" s="36" t="s">
        <v>58</v>
      </c>
      <c r="I54" s="36" t="s">
        <v>58</v>
      </c>
      <c r="J54" s="36" t="s">
        <v>58</v>
      </c>
      <c r="K54" s="36" t="s">
        <v>58</v>
      </c>
      <c r="L54" s="36" t="s">
        <v>58</v>
      </c>
      <c r="M54" s="36" t="s">
        <v>58</v>
      </c>
      <c r="N54" s="36" t="s">
        <v>58</v>
      </c>
      <c r="O54" s="36" t="s">
        <v>58</v>
      </c>
      <c r="P54" s="36" t="s">
        <v>58</v>
      </c>
      <c r="Q54" s="36" t="s">
        <v>58</v>
      </c>
      <c r="R54" s="36" t="s">
        <v>58</v>
      </c>
      <c r="S54" s="1240"/>
    </row>
    <row r="55" spans="1:19">
      <c r="A55" s="552" t="s">
        <v>737</v>
      </c>
      <c r="B55" s="124"/>
      <c r="C55" s="153" t="s">
        <v>58</v>
      </c>
      <c r="D55" s="40" t="s">
        <v>58</v>
      </c>
      <c r="E55" s="31" t="s">
        <v>58</v>
      </c>
      <c r="F55" s="31" t="s">
        <v>58</v>
      </c>
      <c r="G55" s="31" t="s">
        <v>58</v>
      </c>
      <c r="H55" s="31" t="s">
        <v>58</v>
      </c>
      <c r="I55" s="31" t="s">
        <v>58</v>
      </c>
      <c r="J55" s="31" t="s">
        <v>58</v>
      </c>
      <c r="K55" s="31" t="s">
        <v>58</v>
      </c>
      <c r="L55" s="41" t="s">
        <v>58</v>
      </c>
      <c r="M55" s="41" t="s">
        <v>58</v>
      </c>
      <c r="N55" s="41" t="s">
        <v>58</v>
      </c>
      <c r="O55" s="41" t="s">
        <v>58</v>
      </c>
      <c r="P55" s="41" t="s">
        <v>58</v>
      </c>
      <c r="Q55" s="41" t="s">
        <v>58</v>
      </c>
      <c r="R55" s="41" t="s">
        <v>58</v>
      </c>
      <c r="S55" s="1240"/>
    </row>
    <row r="56" spans="1:19">
      <c r="A56" s="552" t="s">
        <v>738</v>
      </c>
      <c r="B56" s="124"/>
      <c r="C56" s="153" t="s">
        <v>58</v>
      </c>
      <c r="D56" s="40" t="s">
        <v>58</v>
      </c>
      <c r="E56" s="31" t="s">
        <v>58</v>
      </c>
      <c r="F56" s="31" t="s">
        <v>58</v>
      </c>
      <c r="G56" s="31" t="s">
        <v>58</v>
      </c>
      <c r="H56" s="31" t="s">
        <v>58</v>
      </c>
      <c r="I56" s="31" t="s">
        <v>58</v>
      </c>
      <c r="J56" s="31" t="s">
        <v>58</v>
      </c>
      <c r="K56" s="31" t="s">
        <v>58</v>
      </c>
      <c r="L56" s="41" t="s">
        <v>58</v>
      </c>
      <c r="M56" s="41" t="s">
        <v>58</v>
      </c>
      <c r="N56" s="41" t="s">
        <v>58</v>
      </c>
      <c r="O56" s="41" t="s">
        <v>58</v>
      </c>
      <c r="P56" s="41" t="s">
        <v>58</v>
      </c>
      <c r="Q56" s="41" t="s">
        <v>58</v>
      </c>
      <c r="R56" s="41" t="s">
        <v>58</v>
      </c>
      <c r="S56" s="1240"/>
    </row>
    <row r="57" spans="1:19">
      <c r="A57" s="551" t="s">
        <v>739</v>
      </c>
      <c r="B57" s="123"/>
      <c r="C57" s="516" t="s">
        <v>649</v>
      </c>
      <c r="D57" s="49" t="s">
        <v>58</v>
      </c>
      <c r="E57" s="36" t="s">
        <v>58</v>
      </c>
      <c r="F57" s="36" t="s">
        <v>58</v>
      </c>
      <c r="G57" s="36" t="s">
        <v>58</v>
      </c>
      <c r="H57" s="36" t="s">
        <v>58</v>
      </c>
      <c r="I57" s="36" t="s">
        <v>58</v>
      </c>
      <c r="J57" s="36" t="s">
        <v>58</v>
      </c>
      <c r="K57" s="36" t="s">
        <v>58</v>
      </c>
      <c r="L57" s="36" t="s">
        <v>58</v>
      </c>
      <c r="M57" s="36" t="s">
        <v>58</v>
      </c>
      <c r="N57" s="36" t="s">
        <v>58</v>
      </c>
      <c r="O57" s="36" t="s">
        <v>58</v>
      </c>
      <c r="P57" s="36" t="s">
        <v>58</v>
      </c>
      <c r="Q57" s="36" t="s">
        <v>58</v>
      </c>
      <c r="R57" s="36" t="s">
        <v>58</v>
      </c>
      <c r="S57" s="1240"/>
    </row>
    <row r="58" spans="1:19">
      <c r="A58" s="551" t="s">
        <v>740</v>
      </c>
      <c r="B58" s="123"/>
      <c r="C58" s="516" t="s">
        <v>649</v>
      </c>
      <c r="D58" s="49" t="s">
        <v>58</v>
      </c>
      <c r="E58" s="36" t="s">
        <v>58</v>
      </c>
      <c r="F58" s="36" t="s">
        <v>58</v>
      </c>
      <c r="G58" s="36" t="s">
        <v>58</v>
      </c>
      <c r="H58" s="36" t="s">
        <v>58</v>
      </c>
      <c r="I58" s="36" t="s">
        <v>58</v>
      </c>
      <c r="J58" s="36" t="s">
        <v>58</v>
      </c>
      <c r="K58" s="36" t="s">
        <v>58</v>
      </c>
      <c r="L58" s="36" t="s">
        <v>58</v>
      </c>
      <c r="M58" s="36" t="s">
        <v>58</v>
      </c>
      <c r="N58" s="36" t="s">
        <v>58</v>
      </c>
      <c r="O58" s="36" t="s">
        <v>58</v>
      </c>
      <c r="P58" s="36" t="s">
        <v>58</v>
      </c>
      <c r="Q58" s="36" t="s">
        <v>58</v>
      </c>
      <c r="R58" s="36" t="s">
        <v>58</v>
      </c>
      <c r="S58" s="1240"/>
    </row>
    <row r="59" spans="1:19">
      <c r="A59" s="553" t="s">
        <v>741</v>
      </c>
      <c r="B59" s="490"/>
      <c r="C59" s="653" t="s">
        <v>58</v>
      </c>
      <c r="D59" s="370" t="s">
        <v>58</v>
      </c>
      <c r="E59" s="363" t="s">
        <v>58</v>
      </c>
      <c r="F59" s="363" t="s">
        <v>58</v>
      </c>
      <c r="G59" s="363" t="s">
        <v>58</v>
      </c>
      <c r="H59" s="363" t="s">
        <v>58</v>
      </c>
      <c r="I59" s="363" t="s">
        <v>58</v>
      </c>
      <c r="J59" s="363" t="s">
        <v>58</v>
      </c>
      <c r="K59" s="363" t="s">
        <v>58</v>
      </c>
      <c r="L59" s="363" t="s">
        <v>58</v>
      </c>
      <c r="M59" s="363" t="s">
        <v>58</v>
      </c>
      <c r="N59" s="363" t="s">
        <v>58</v>
      </c>
      <c r="O59" s="363" t="s">
        <v>58</v>
      </c>
      <c r="P59" s="363" t="s">
        <v>58</v>
      </c>
      <c r="Q59" s="363" t="s">
        <v>58</v>
      </c>
      <c r="R59" s="363" t="s">
        <v>58</v>
      </c>
      <c r="S59" s="1240"/>
    </row>
    <row r="60" spans="1:19">
      <c r="A60" s="553" t="s">
        <v>742</v>
      </c>
      <c r="B60" s="490"/>
      <c r="C60" s="653" t="s">
        <v>58</v>
      </c>
      <c r="D60" s="370" t="s">
        <v>58</v>
      </c>
      <c r="E60" s="363" t="s">
        <v>58</v>
      </c>
      <c r="F60" s="363" t="s">
        <v>58</v>
      </c>
      <c r="G60" s="363" t="s">
        <v>58</v>
      </c>
      <c r="H60" s="363" t="s">
        <v>58</v>
      </c>
      <c r="I60" s="363" t="s">
        <v>58</v>
      </c>
      <c r="J60" s="363" t="s">
        <v>58</v>
      </c>
      <c r="K60" s="363" t="s">
        <v>58</v>
      </c>
      <c r="L60" s="363" t="s">
        <v>58</v>
      </c>
      <c r="M60" s="363" t="s">
        <v>58</v>
      </c>
      <c r="N60" s="363" t="s">
        <v>58</v>
      </c>
      <c r="O60" s="363" t="s">
        <v>58</v>
      </c>
      <c r="P60" s="363" t="s">
        <v>58</v>
      </c>
      <c r="Q60" s="363" t="s">
        <v>58</v>
      </c>
      <c r="R60" s="363" t="s">
        <v>58</v>
      </c>
      <c r="S60" s="1240"/>
    </row>
    <row r="61" spans="1:19">
      <c r="A61" s="551" t="s">
        <v>743</v>
      </c>
      <c r="B61" s="123"/>
      <c r="C61" s="516" t="s">
        <v>649</v>
      </c>
      <c r="D61" s="49" t="s">
        <v>58</v>
      </c>
      <c r="E61" s="36" t="s">
        <v>58</v>
      </c>
      <c r="F61" s="36" t="s">
        <v>58</v>
      </c>
      <c r="G61" s="36" t="s">
        <v>58</v>
      </c>
      <c r="H61" s="36" t="s">
        <v>58</v>
      </c>
      <c r="I61" s="36" t="s">
        <v>58</v>
      </c>
      <c r="J61" s="36" t="s">
        <v>58</v>
      </c>
      <c r="K61" s="36" t="s">
        <v>58</v>
      </c>
      <c r="L61" s="36" t="s">
        <v>58</v>
      </c>
      <c r="M61" s="36" t="s">
        <v>58</v>
      </c>
      <c r="N61" s="36" t="s">
        <v>58</v>
      </c>
      <c r="O61" s="36" t="s">
        <v>58</v>
      </c>
      <c r="P61" s="36" t="s">
        <v>58</v>
      </c>
      <c r="Q61" s="36" t="s">
        <v>58</v>
      </c>
      <c r="R61" s="36" t="s">
        <v>58</v>
      </c>
      <c r="S61" s="1240"/>
    </row>
    <row r="62" spans="1:19">
      <c r="A62" s="552" t="s">
        <v>744</v>
      </c>
      <c r="B62" s="124"/>
      <c r="C62" s="153" t="s">
        <v>8</v>
      </c>
      <c r="D62" s="40" t="s">
        <v>8</v>
      </c>
      <c r="E62" s="31" t="s">
        <v>8</v>
      </c>
      <c r="F62" s="31" t="s">
        <v>8</v>
      </c>
      <c r="G62" s="31" t="s">
        <v>8</v>
      </c>
      <c r="H62" s="31" t="s">
        <v>8</v>
      </c>
      <c r="I62" s="31" t="s">
        <v>8</v>
      </c>
      <c r="J62" s="31" t="s">
        <v>8</v>
      </c>
      <c r="K62" s="31" t="s">
        <v>8</v>
      </c>
      <c r="L62" s="41" t="s">
        <v>8</v>
      </c>
      <c r="M62" s="41" t="s">
        <v>8</v>
      </c>
      <c r="N62" s="41" t="s">
        <v>8</v>
      </c>
      <c r="O62" s="41" t="s">
        <v>8</v>
      </c>
      <c r="P62" s="41" t="s">
        <v>8</v>
      </c>
      <c r="Q62" s="41" t="s">
        <v>8</v>
      </c>
      <c r="R62" s="41" t="s">
        <v>8</v>
      </c>
      <c r="S62" s="1240"/>
    </row>
    <row r="63" spans="1:19">
      <c r="A63" s="551" t="s">
        <v>745</v>
      </c>
      <c r="B63" s="497"/>
      <c r="C63" s="597" t="s">
        <v>838</v>
      </c>
      <c r="D63" s="51" t="s">
        <v>834</v>
      </c>
      <c r="E63" s="34" t="s">
        <v>834</v>
      </c>
      <c r="F63" s="34" t="s">
        <v>834</v>
      </c>
      <c r="G63" s="34" t="s">
        <v>834</v>
      </c>
      <c r="H63" s="34" t="s">
        <v>834</v>
      </c>
      <c r="I63" s="34" t="s">
        <v>834</v>
      </c>
      <c r="J63" s="34" t="s">
        <v>834</v>
      </c>
      <c r="K63" s="34" t="s">
        <v>58</v>
      </c>
      <c r="L63" s="36" t="s">
        <v>834</v>
      </c>
      <c r="M63" s="36" t="s">
        <v>834</v>
      </c>
      <c r="N63" s="36" t="s">
        <v>834</v>
      </c>
      <c r="O63" s="36" t="s">
        <v>834</v>
      </c>
      <c r="P63" s="36" t="s">
        <v>834</v>
      </c>
      <c r="Q63" s="36" t="s">
        <v>834</v>
      </c>
      <c r="R63" s="36" t="s">
        <v>834</v>
      </c>
      <c r="S63" s="1240"/>
    </row>
    <row r="64" spans="1:19">
      <c r="A64" s="551" t="s">
        <v>746</v>
      </c>
      <c r="B64" s="497"/>
      <c r="C64" s="597" t="s">
        <v>838</v>
      </c>
      <c r="D64" s="51" t="s">
        <v>834</v>
      </c>
      <c r="E64" s="34" t="s">
        <v>834</v>
      </c>
      <c r="F64" s="34" t="s">
        <v>834</v>
      </c>
      <c r="G64" s="34" t="s">
        <v>834</v>
      </c>
      <c r="H64" s="34" t="s">
        <v>834</v>
      </c>
      <c r="I64" s="34" t="s">
        <v>834</v>
      </c>
      <c r="J64" s="34" t="s">
        <v>834</v>
      </c>
      <c r="K64" s="34" t="s">
        <v>834</v>
      </c>
      <c r="L64" s="36" t="s">
        <v>834</v>
      </c>
      <c r="M64" s="36" t="s">
        <v>834</v>
      </c>
      <c r="N64" s="36" t="s">
        <v>834</v>
      </c>
      <c r="O64" s="36" t="s">
        <v>834</v>
      </c>
      <c r="P64" s="36" t="s">
        <v>834</v>
      </c>
      <c r="Q64" s="36" t="s">
        <v>834</v>
      </c>
      <c r="R64" s="36" t="s">
        <v>834</v>
      </c>
      <c r="S64" s="1240"/>
    </row>
    <row r="65" spans="1:19">
      <c r="A65" s="551" t="s">
        <v>845</v>
      </c>
      <c r="B65" s="497"/>
      <c r="C65" s="597" t="s">
        <v>837</v>
      </c>
      <c r="D65" s="51" t="s">
        <v>58</v>
      </c>
      <c r="E65" s="34" t="s">
        <v>58</v>
      </c>
      <c r="F65" s="34" t="s">
        <v>58</v>
      </c>
      <c r="G65" s="34" t="s">
        <v>58</v>
      </c>
      <c r="H65" s="34" t="s">
        <v>58</v>
      </c>
      <c r="I65" s="34" t="s">
        <v>58</v>
      </c>
      <c r="J65" s="34" t="s">
        <v>58</v>
      </c>
      <c r="K65" s="34" t="s">
        <v>58</v>
      </c>
      <c r="L65" s="36" t="s">
        <v>58</v>
      </c>
      <c r="M65" s="36" t="s">
        <v>58</v>
      </c>
      <c r="N65" s="36" t="s">
        <v>58</v>
      </c>
      <c r="O65" s="36" t="s">
        <v>58</v>
      </c>
      <c r="P65" s="36" t="s">
        <v>58</v>
      </c>
      <c r="Q65" s="36" t="s">
        <v>58</v>
      </c>
      <c r="R65" s="36" t="s">
        <v>58</v>
      </c>
      <c r="S65" s="1240"/>
    </row>
    <row r="66" spans="1:19">
      <c r="A66" s="551" t="s">
        <v>748</v>
      </c>
      <c r="B66" s="497"/>
      <c r="C66" s="597" t="s">
        <v>837</v>
      </c>
      <c r="D66" s="51" t="s">
        <v>58</v>
      </c>
      <c r="E66" s="34" t="s">
        <v>58</v>
      </c>
      <c r="F66" s="34" t="s">
        <v>58</v>
      </c>
      <c r="G66" s="34" t="s">
        <v>58</v>
      </c>
      <c r="H66" s="34" t="s">
        <v>58</v>
      </c>
      <c r="I66" s="34" t="s">
        <v>58</v>
      </c>
      <c r="J66" s="34" t="s">
        <v>58</v>
      </c>
      <c r="K66" s="34" t="s">
        <v>58</v>
      </c>
      <c r="L66" s="36" t="s">
        <v>58</v>
      </c>
      <c r="M66" s="36" t="s">
        <v>58</v>
      </c>
      <c r="N66" s="36" t="s">
        <v>58</v>
      </c>
      <c r="O66" s="36" t="s">
        <v>58</v>
      </c>
      <c r="P66" s="36" t="s">
        <v>58</v>
      </c>
      <c r="Q66" s="36" t="s">
        <v>58</v>
      </c>
      <c r="R66" s="36" t="s">
        <v>58</v>
      </c>
      <c r="S66" s="1240"/>
    </row>
    <row r="67" spans="1:19">
      <c r="A67" s="552" t="s">
        <v>749</v>
      </c>
      <c r="B67" s="125"/>
      <c r="C67" s="668" t="s">
        <v>8</v>
      </c>
      <c r="D67" s="669" t="s">
        <v>8</v>
      </c>
      <c r="E67" s="39" t="s">
        <v>8</v>
      </c>
      <c r="F67" s="39" t="s">
        <v>8</v>
      </c>
      <c r="G67" s="39" t="s">
        <v>8</v>
      </c>
      <c r="H67" s="39" t="s">
        <v>8</v>
      </c>
      <c r="I67" s="39" t="s">
        <v>8</v>
      </c>
      <c r="J67" s="39" t="s">
        <v>8</v>
      </c>
      <c r="K67" s="39" t="s">
        <v>8</v>
      </c>
      <c r="L67" s="39" t="s">
        <v>8</v>
      </c>
      <c r="M67" s="39" t="s">
        <v>8</v>
      </c>
      <c r="N67" s="39" t="s">
        <v>8</v>
      </c>
      <c r="O67" s="39" t="s">
        <v>8</v>
      </c>
      <c r="P67" s="39" t="s">
        <v>8</v>
      </c>
      <c r="Q67" s="39" t="s">
        <v>8</v>
      </c>
      <c r="R67" s="39" t="s">
        <v>8</v>
      </c>
      <c r="S67" s="1241"/>
    </row>
    <row r="68" spans="1:19" ht="13.5" customHeight="1">
      <c r="A68" s="551" t="s">
        <v>727</v>
      </c>
      <c r="B68" s="497"/>
      <c r="C68" s="516" t="s">
        <v>647</v>
      </c>
      <c r="D68" s="47" t="s">
        <v>10</v>
      </c>
      <c r="E68" s="33" t="s">
        <v>10</v>
      </c>
      <c r="F68" s="33" t="s">
        <v>10</v>
      </c>
      <c r="G68" s="33" t="s">
        <v>10</v>
      </c>
      <c r="H68" s="33" t="s">
        <v>10</v>
      </c>
      <c r="I68" s="33" t="s">
        <v>10</v>
      </c>
      <c r="J68" s="33" t="s">
        <v>10</v>
      </c>
      <c r="K68" s="33" t="s">
        <v>10</v>
      </c>
      <c r="L68" s="33" t="s">
        <v>10</v>
      </c>
      <c r="M68" s="33" t="s">
        <v>10</v>
      </c>
      <c r="N68" s="33" t="s">
        <v>10</v>
      </c>
      <c r="O68" s="33" t="s">
        <v>10</v>
      </c>
      <c r="P68" s="33" t="s">
        <v>10</v>
      </c>
      <c r="Q68" s="33" t="s">
        <v>10</v>
      </c>
      <c r="R68" s="700" t="s">
        <v>10</v>
      </c>
      <c r="S68" s="1237"/>
    </row>
    <row r="69" spans="1:19" ht="13.5" customHeight="1">
      <c r="A69" s="551" t="s">
        <v>728</v>
      </c>
      <c r="B69" s="497"/>
      <c r="C69" s="516" t="s">
        <v>647</v>
      </c>
      <c r="D69" s="47" t="s">
        <v>10</v>
      </c>
      <c r="E69" s="33" t="s">
        <v>10</v>
      </c>
      <c r="F69" s="33" t="s">
        <v>10</v>
      </c>
      <c r="G69" s="33" t="s">
        <v>10</v>
      </c>
      <c r="H69" s="33" t="s">
        <v>10</v>
      </c>
      <c r="I69" s="33" t="s">
        <v>10</v>
      </c>
      <c r="J69" s="33" t="s">
        <v>10</v>
      </c>
      <c r="K69" s="33" t="s">
        <v>10</v>
      </c>
      <c r="L69" s="33" t="s">
        <v>10</v>
      </c>
      <c r="M69" s="33" t="s">
        <v>10</v>
      </c>
      <c r="N69" s="33" t="s">
        <v>10</v>
      </c>
      <c r="O69" s="33" t="s">
        <v>10</v>
      </c>
      <c r="P69" s="33" t="s">
        <v>10</v>
      </c>
      <c r="Q69" s="33" t="s">
        <v>10</v>
      </c>
      <c r="R69" s="700" t="s">
        <v>10</v>
      </c>
      <c r="S69" s="1238"/>
    </row>
    <row r="70" spans="1:19">
      <c r="A70" s="551" t="s">
        <v>750</v>
      </c>
      <c r="B70" s="123"/>
      <c r="C70" s="516" t="s">
        <v>649</v>
      </c>
      <c r="D70" s="51" t="s">
        <v>637</v>
      </c>
      <c r="E70" s="34" t="s">
        <v>637</v>
      </c>
      <c r="F70" s="34" t="s">
        <v>637</v>
      </c>
      <c r="G70" s="34" t="s">
        <v>637</v>
      </c>
      <c r="H70" s="34" t="s">
        <v>637</v>
      </c>
      <c r="I70" s="34" t="s">
        <v>637</v>
      </c>
      <c r="J70" s="34" t="s">
        <v>637</v>
      </c>
      <c r="K70" s="62" t="s">
        <v>637</v>
      </c>
      <c r="L70" s="34" t="s">
        <v>637</v>
      </c>
      <c r="M70" s="34" t="s">
        <v>637</v>
      </c>
      <c r="N70" s="34" t="s">
        <v>637</v>
      </c>
      <c r="O70" s="34" t="s">
        <v>637</v>
      </c>
      <c r="P70" s="34" t="s">
        <v>637</v>
      </c>
      <c r="Q70" s="34" t="s">
        <v>637</v>
      </c>
      <c r="R70" s="34" t="s">
        <v>637</v>
      </c>
      <c r="S70" s="1238"/>
    </row>
    <row r="71" spans="1:19">
      <c r="A71" s="551" t="s">
        <v>751</v>
      </c>
      <c r="B71" s="191"/>
      <c r="C71" s="516" t="s">
        <v>649</v>
      </c>
      <c r="D71" s="51" t="s">
        <v>637</v>
      </c>
      <c r="E71" s="34" t="s">
        <v>637</v>
      </c>
      <c r="F71" s="34" t="s">
        <v>637</v>
      </c>
      <c r="G71" s="34" t="s">
        <v>637</v>
      </c>
      <c r="H71" s="34" t="s">
        <v>637</v>
      </c>
      <c r="I71" s="34" t="s">
        <v>637</v>
      </c>
      <c r="J71" s="34" t="s">
        <v>637</v>
      </c>
      <c r="K71" s="62" t="s">
        <v>637</v>
      </c>
      <c r="L71" s="34" t="s">
        <v>637</v>
      </c>
      <c r="M71" s="34" t="s">
        <v>637</v>
      </c>
      <c r="N71" s="34" t="s">
        <v>637</v>
      </c>
      <c r="O71" s="34" t="s">
        <v>637</v>
      </c>
      <c r="P71" s="34" t="s">
        <v>637</v>
      </c>
      <c r="Q71" s="34" t="s">
        <v>637</v>
      </c>
      <c r="R71" s="34" t="s">
        <v>637</v>
      </c>
      <c r="S71" s="1238"/>
    </row>
    <row r="72" spans="1:19">
      <c r="A72" s="551" t="s">
        <v>752</v>
      </c>
      <c r="B72" s="123"/>
      <c r="C72" s="516" t="s">
        <v>649</v>
      </c>
      <c r="D72" s="51" t="s">
        <v>637</v>
      </c>
      <c r="E72" s="34" t="s">
        <v>637</v>
      </c>
      <c r="F72" s="34" t="s">
        <v>637</v>
      </c>
      <c r="G72" s="34" t="s">
        <v>637</v>
      </c>
      <c r="H72" s="34" t="s">
        <v>637</v>
      </c>
      <c r="I72" s="34" t="s">
        <v>637</v>
      </c>
      <c r="J72" s="34" t="s">
        <v>637</v>
      </c>
      <c r="K72" s="62" t="s">
        <v>637</v>
      </c>
      <c r="L72" s="34" t="s">
        <v>637</v>
      </c>
      <c r="M72" s="34" t="s">
        <v>637</v>
      </c>
      <c r="N72" s="34" t="s">
        <v>637</v>
      </c>
      <c r="O72" s="34" t="s">
        <v>637</v>
      </c>
      <c r="P72" s="34" t="s">
        <v>637</v>
      </c>
      <c r="Q72" s="34" t="s">
        <v>637</v>
      </c>
      <c r="R72" s="34" t="s">
        <v>637</v>
      </c>
      <c r="S72" s="1238"/>
    </row>
    <row r="73" spans="1:19">
      <c r="A73" s="551" t="s">
        <v>753</v>
      </c>
      <c r="B73" s="123"/>
      <c r="C73" s="516" t="s">
        <v>649</v>
      </c>
      <c r="D73" s="51" t="s">
        <v>637</v>
      </c>
      <c r="E73" s="34" t="s">
        <v>637</v>
      </c>
      <c r="F73" s="34" t="s">
        <v>637</v>
      </c>
      <c r="G73" s="34" t="s">
        <v>637</v>
      </c>
      <c r="H73" s="34" t="s">
        <v>637</v>
      </c>
      <c r="I73" s="34" t="s">
        <v>637</v>
      </c>
      <c r="J73" s="34" t="s">
        <v>637</v>
      </c>
      <c r="K73" s="62" t="s">
        <v>637</v>
      </c>
      <c r="L73" s="34" t="s">
        <v>637</v>
      </c>
      <c r="M73" s="34" t="s">
        <v>637</v>
      </c>
      <c r="N73" s="34" t="s">
        <v>637</v>
      </c>
      <c r="O73" s="34" t="s">
        <v>637</v>
      </c>
      <c r="P73" s="34" t="s">
        <v>637</v>
      </c>
      <c r="Q73" s="34" t="s">
        <v>637</v>
      </c>
      <c r="R73" s="34" t="s">
        <v>637</v>
      </c>
      <c r="S73" s="1238"/>
    </row>
    <row r="74" spans="1:19">
      <c r="A74" s="552" t="s">
        <v>754</v>
      </c>
      <c r="B74" s="124"/>
      <c r="C74" s="153" t="s">
        <v>58</v>
      </c>
      <c r="D74" s="40" t="s">
        <v>58</v>
      </c>
      <c r="E74" s="31" t="s">
        <v>58</v>
      </c>
      <c r="F74" s="31" t="s">
        <v>58</v>
      </c>
      <c r="G74" s="31" t="s">
        <v>58</v>
      </c>
      <c r="H74" s="31" t="s">
        <v>58</v>
      </c>
      <c r="I74" s="31" t="s">
        <v>58</v>
      </c>
      <c r="J74" s="31" t="s">
        <v>58</v>
      </c>
      <c r="K74" s="31" t="s">
        <v>58</v>
      </c>
      <c r="L74" s="41" t="s">
        <v>58</v>
      </c>
      <c r="M74" s="41" t="s">
        <v>58</v>
      </c>
      <c r="N74" s="41" t="s">
        <v>58</v>
      </c>
      <c r="O74" s="41" t="s">
        <v>58</v>
      </c>
      <c r="P74" s="41" t="s">
        <v>58</v>
      </c>
      <c r="Q74" s="41" t="s">
        <v>58</v>
      </c>
      <c r="R74" s="41" t="s">
        <v>58</v>
      </c>
      <c r="S74" s="1238"/>
    </row>
    <row r="75" spans="1:19">
      <c r="A75" s="552" t="s">
        <v>755</v>
      </c>
      <c r="B75" s="124"/>
      <c r="C75" s="153" t="s">
        <v>58</v>
      </c>
      <c r="D75" s="40" t="s">
        <v>58</v>
      </c>
      <c r="E75" s="31" t="s">
        <v>58</v>
      </c>
      <c r="F75" s="31" t="s">
        <v>58</v>
      </c>
      <c r="G75" s="31" t="s">
        <v>58</v>
      </c>
      <c r="H75" s="31" t="s">
        <v>58</v>
      </c>
      <c r="I75" s="31" t="s">
        <v>58</v>
      </c>
      <c r="J75" s="31" t="s">
        <v>58</v>
      </c>
      <c r="K75" s="31" t="s">
        <v>58</v>
      </c>
      <c r="L75" s="41" t="s">
        <v>58</v>
      </c>
      <c r="M75" s="41" t="s">
        <v>58</v>
      </c>
      <c r="N75" s="41" t="s">
        <v>58</v>
      </c>
      <c r="O75" s="41" t="s">
        <v>58</v>
      </c>
      <c r="P75" s="41" t="s">
        <v>58</v>
      </c>
      <c r="Q75" s="41" t="s">
        <v>58</v>
      </c>
      <c r="R75" s="41" t="s">
        <v>58</v>
      </c>
      <c r="S75" s="1238"/>
    </row>
    <row r="76" spans="1:19">
      <c r="A76" s="552" t="s">
        <v>756</v>
      </c>
      <c r="B76" s="124"/>
      <c r="C76" s="153" t="s">
        <v>8</v>
      </c>
      <c r="D76" s="48" t="s">
        <v>8</v>
      </c>
      <c r="E76" s="41" t="s">
        <v>8</v>
      </c>
      <c r="F76" s="41" t="s">
        <v>8</v>
      </c>
      <c r="G76" s="41" t="s">
        <v>8</v>
      </c>
      <c r="H76" s="41" t="s">
        <v>8</v>
      </c>
      <c r="I76" s="41" t="s">
        <v>8</v>
      </c>
      <c r="J76" s="41" t="s">
        <v>8</v>
      </c>
      <c r="K76" s="41" t="s">
        <v>8</v>
      </c>
      <c r="L76" s="41" t="s">
        <v>8</v>
      </c>
      <c r="M76" s="41" t="s">
        <v>8</v>
      </c>
      <c r="N76" s="41" t="s">
        <v>8</v>
      </c>
      <c r="O76" s="41" t="s">
        <v>8</v>
      </c>
      <c r="P76" s="41" t="s">
        <v>8</v>
      </c>
      <c r="Q76" s="41" t="s">
        <v>8</v>
      </c>
      <c r="R76" s="41" t="s">
        <v>8</v>
      </c>
      <c r="S76" s="1238"/>
    </row>
    <row r="77" spans="1:19">
      <c r="A77" s="552" t="s">
        <v>757</v>
      </c>
      <c r="B77" s="124"/>
      <c r="C77" s="153" t="s">
        <v>8</v>
      </c>
      <c r="D77" s="48" t="s">
        <v>8</v>
      </c>
      <c r="E77" s="41" t="s">
        <v>8</v>
      </c>
      <c r="F77" s="41" t="s">
        <v>8</v>
      </c>
      <c r="G77" s="41" t="s">
        <v>8</v>
      </c>
      <c r="H77" s="41" t="s">
        <v>8</v>
      </c>
      <c r="I77" s="41" t="s">
        <v>8</v>
      </c>
      <c r="J77" s="41" t="s">
        <v>8</v>
      </c>
      <c r="K77" s="41" t="s">
        <v>8</v>
      </c>
      <c r="L77" s="41" t="s">
        <v>8</v>
      </c>
      <c r="M77" s="41" t="s">
        <v>8</v>
      </c>
      <c r="N77" s="41" t="s">
        <v>8</v>
      </c>
      <c r="O77" s="41" t="s">
        <v>8</v>
      </c>
      <c r="P77" s="41" t="s">
        <v>8</v>
      </c>
      <c r="Q77" s="41" t="s">
        <v>8</v>
      </c>
      <c r="R77" s="41" t="s">
        <v>8</v>
      </c>
      <c r="S77" s="1238"/>
    </row>
    <row r="78" spans="1:19">
      <c r="A78" s="552" t="s">
        <v>758</v>
      </c>
      <c r="B78" s="124"/>
      <c r="C78" s="153" t="s">
        <v>8</v>
      </c>
      <c r="D78" s="48" t="s">
        <v>8</v>
      </c>
      <c r="E78" s="41" t="s">
        <v>8</v>
      </c>
      <c r="F78" s="41" t="s">
        <v>8</v>
      </c>
      <c r="G78" s="41" t="s">
        <v>8</v>
      </c>
      <c r="H78" s="41" t="s">
        <v>8</v>
      </c>
      <c r="I78" s="41" t="s">
        <v>8</v>
      </c>
      <c r="J78" s="41" t="s">
        <v>8</v>
      </c>
      <c r="K78" s="41" t="s">
        <v>8</v>
      </c>
      <c r="L78" s="41" t="s">
        <v>8</v>
      </c>
      <c r="M78" s="41" t="s">
        <v>8</v>
      </c>
      <c r="N78" s="41" t="s">
        <v>8</v>
      </c>
      <c r="O78" s="41" t="s">
        <v>8</v>
      </c>
      <c r="P78" s="41" t="s">
        <v>8</v>
      </c>
      <c r="Q78" s="41" t="s">
        <v>8</v>
      </c>
      <c r="R78" s="41" t="s">
        <v>8</v>
      </c>
      <c r="S78" s="1238"/>
    </row>
    <row r="79" spans="1:19">
      <c r="A79" s="552" t="s">
        <v>759</v>
      </c>
      <c r="B79" s="124"/>
      <c r="C79" s="153" t="s">
        <v>8</v>
      </c>
      <c r="D79" s="48" t="s">
        <v>8</v>
      </c>
      <c r="E79" s="41" t="s">
        <v>8</v>
      </c>
      <c r="F79" s="41" t="s">
        <v>8</v>
      </c>
      <c r="G79" s="41" t="s">
        <v>8</v>
      </c>
      <c r="H79" s="41" t="s">
        <v>8</v>
      </c>
      <c r="I79" s="41" t="s">
        <v>8</v>
      </c>
      <c r="J79" s="41" t="s">
        <v>8</v>
      </c>
      <c r="K79" s="41" t="s">
        <v>8</v>
      </c>
      <c r="L79" s="41" t="s">
        <v>8</v>
      </c>
      <c r="M79" s="41" t="s">
        <v>8</v>
      </c>
      <c r="N79" s="41" t="s">
        <v>8</v>
      </c>
      <c r="O79" s="41" t="s">
        <v>8</v>
      </c>
      <c r="P79" s="41" t="s">
        <v>8</v>
      </c>
      <c r="Q79" s="41" t="s">
        <v>8</v>
      </c>
      <c r="R79" s="41" t="s">
        <v>8</v>
      </c>
      <c r="S79" s="1238"/>
    </row>
    <row r="80" spans="1:19">
      <c r="A80" s="551" t="s">
        <v>760</v>
      </c>
      <c r="B80" s="123"/>
      <c r="C80" s="516" t="s">
        <v>649</v>
      </c>
      <c r="D80" s="49" t="s">
        <v>58</v>
      </c>
      <c r="E80" s="36" t="s">
        <v>58</v>
      </c>
      <c r="F80" s="36" t="s">
        <v>58</v>
      </c>
      <c r="G80" s="36" t="s">
        <v>58</v>
      </c>
      <c r="H80" s="36" t="s">
        <v>58</v>
      </c>
      <c r="I80" s="36" t="s">
        <v>58</v>
      </c>
      <c r="J80" s="36" t="s">
        <v>58</v>
      </c>
      <c r="K80" s="36" t="s">
        <v>58</v>
      </c>
      <c r="L80" s="36" t="s">
        <v>58</v>
      </c>
      <c r="M80" s="36" t="s">
        <v>58</v>
      </c>
      <c r="N80" s="36" t="s">
        <v>58</v>
      </c>
      <c r="O80" s="36" t="s">
        <v>58</v>
      </c>
      <c r="P80" s="36" t="s">
        <v>58</v>
      </c>
      <c r="Q80" s="36" t="s">
        <v>58</v>
      </c>
      <c r="R80" s="36" t="s">
        <v>58</v>
      </c>
      <c r="S80" s="1238"/>
    </row>
    <row r="81" spans="1:19">
      <c r="A81" s="551" t="s">
        <v>761</v>
      </c>
      <c r="B81" s="123"/>
      <c r="C81" s="516" t="s">
        <v>649</v>
      </c>
      <c r="D81" s="49" t="s">
        <v>58</v>
      </c>
      <c r="E81" s="36" t="s">
        <v>58</v>
      </c>
      <c r="F81" s="36" t="s">
        <v>58</v>
      </c>
      <c r="G81" s="36" t="s">
        <v>58</v>
      </c>
      <c r="H81" s="36" t="s">
        <v>58</v>
      </c>
      <c r="I81" s="36" t="s">
        <v>58</v>
      </c>
      <c r="J81" s="36" t="s">
        <v>58</v>
      </c>
      <c r="K81" s="36" t="s">
        <v>58</v>
      </c>
      <c r="L81" s="36" t="s">
        <v>58</v>
      </c>
      <c r="M81" s="36" t="s">
        <v>58</v>
      </c>
      <c r="N81" s="36" t="s">
        <v>58</v>
      </c>
      <c r="O81" s="36" t="s">
        <v>58</v>
      </c>
      <c r="P81" s="36" t="s">
        <v>58</v>
      </c>
      <c r="Q81" s="36" t="s">
        <v>58</v>
      </c>
      <c r="R81" s="36" t="s">
        <v>58</v>
      </c>
      <c r="S81" s="1238"/>
    </row>
    <row r="82" spans="1:19">
      <c r="A82" s="551" t="s">
        <v>762</v>
      </c>
      <c r="B82" s="123"/>
      <c r="C82" s="516" t="s">
        <v>649</v>
      </c>
      <c r="D82" s="49" t="s">
        <v>58</v>
      </c>
      <c r="E82" s="36" t="s">
        <v>58</v>
      </c>
      <c r="F82" s="36" t="s">
        <v>58</v>
      </c>
      <c r="G82" s="36" t="s">
        <v>58</v>
      </c>
      <c r="H82" s="36" t="s">
        <v>58</v>
      </c>
      <c r="I82" s="36" t="s">
        <v>58</v>
      </c>
      <c r="J82" s="36" t="s">
        <v>58</v>
      </c>
      <c r="K82" s="36" t="s">
        <v>58</v>
      </c>
      <c r="L82" s="36" t="s">
        <v>58</v>
      </c>
      <c r="M82" s="36" t="s">
        <v>58</v>
      </c>
      <c r="N82" s="36" t="s">
        <v>58</v>
      </c>
      <c r="O82" s="36" t="s">
        <v>58</v>
      </c>
      <c r="P82" s="36" t="s">
        <v>58</v>
      </c>
      <c r="Q82" s="36" t="s">
        <v>58</v>
      </c>
      <c r="R82" s="36" t="s">
        <v>58</v>
      </c>
      <c r="S82" s="1238"/>
    </row>
    <row r="83" spans="1:19">
      <c r="A83" s="551" t="s">
        <v>763</v>
      </c>
      <c r="B83" s="123"/>
      <c r="C83" s="516" t="s">
        <v>649</v>
      </c>
      <c r="D83" s="49" t="s">
        <v>58</v>
      </c>
      <c r="E83" s="36" t="s">
        <v>58</v>
      </c>
      <c r="F83" s="36" t="s">
        <v>58</v>
      </c>
      <c r="G83" s="36" t="s">
        <v>58</v>
      </c>
      <c r="H83" s="36" t="s">
        <v>58</v>
      </c>
      <c r="I83" s="36" t="s">
        <v>58</v>
      </c>
      <c r="J83" s="36" t="s">
        <v>58</v>
      </c>
      <c r="K83" s="36" t="s">
        <v>58</v>
      </c>
      <c r="L83" s="36" t="s">
        <v>58</v>
      </c>
      <c r="M83" s="36" t="s">
        <v>58</v>
      </c>
      <c r="N83" s="36" t="s">
        <v>58</v>
      </c>
      <c r="O83" s="36" t="s">
        <v>58</v>
      </c>
      <c r="P83" s="36" t="s">
        <v>58</v>
      </c>
      <c r="Q83" s="36" t="s">
        <v>58</v>
      </c>
      <c r="R83" s="36" t="s">
        <v>58</v>
      </c>
      <c r="S83" s="1238"/>
    </row>
    <row r="84" spans="1:19">
      <c r="A84" s="551" t="s">
        <v>764</v>
      </c>
      <c r="B84" s="123"/>
      <c r="C84" s="516" t="s">
        <v>649</v>
      </c>
      <c r="D84" s="49" t="s">
        <v>58</v>
      </c>
      <c r="E84" s="36" t="s">
        <v>58</v>
      </c>
      <c r="F84" s="36" t="s">
        <v>58</v>
      </c>
      <c r="G84" s="36" t="s">
        <v>58</v>
      </c>
      <c r="H84" s="36" t="s">
        <v>58</v>
      </c>
      <c r="I84" s="36" t="s">
        <v>58</v>
      </c>
      <c r="J84" s="36" t="s">
        <v>58</v>
      </c>
      <c r="K84" s="36" t="s">
        <v>58</v>
      </c>
      <c r="L84" s="36" t="s">
        <v>58</v>
      </c>
      <c r="M84" s="36" t="s">
        <v>58</v>
      </c>
      <c r="N84" s="36" t="s">
        <v>58</v>
      </c>
      <c r="O84" s="36" t="s">
        <v>58</v>
      </c>
      <c r="P84" s="36" t="s">
        <v>58</v>
      </c>
      <c r="Q84" s="36" t="s">
        <v>58</v>
      </c>
      <c r="R84" s="36" t="s">
        <v>58</v>
      </c>
      <c r="S84" s="1238"/>
    </row>
    <row r="85" spans="1:19">
      <c r="A85" s="553" t="s">
        <v>765</v>
      </c>
      <c r="B85" s="490"/>
      <c r="C85" s="653" t="s">
        <v>58</v>
      </c>
      <c r="D85" s="370" t="s">
        <v>58</v>
      </c>
      <c r="E85" s="363" t="s">
        <v>58</v>
      </c>
      <c r="F85" s="363" t="s">
        <v>58</v>
      </c>
      <c r="G85" s="363" t="s">
        <v>58</v>
      </c>
      <c r="H85" s="363" t="s">
        <v>58</v>
      </c>
      <c r="I85" s="363" t="s">
        <v>58</v>
      </c>
      <c r="J85" s="363" t="s">
        <v>58</v>
      </c>
      <c r="K85" s="363" t="s">
        <v>58</v>
      </c>
      <c r="L85" s="363" t="s">
        <v>58</v>
      </c>
      <c r="M85" s="363" t="s">
        <v>58</v>
      </c>
      <c r="N85" s="363" t="s">
        <v>58</v>
      </c>
      <c r="O85" s="363" t="s">
        <v>58</v>
      </c>
      <c r="P85" s="363" t="s">
        <v>58</v>
      </c>
      <c r="Q85" s="363" t="s">
        <v>58</v>
      </c>
      <c r="R85" s="363" t="s">
        <v>58</v>
      </c>
      <c r="S85" s="1238"/>
    </row>
    <row r="86" spans="1:19">
      <c r="A86" s="553" t="s">
        <v>766</v>
      </c>
      <c r="B86" s="490"/>
      <c r="C86" s="653" t="s">
        <v>58</v>
      </c>
      <c r="D86" s="370" t="s">
        <v>58</v>
      </c>
      <c r="E86" s="363" t="s">
        <v>58</v>
      </c>
      <c r="F86" s="363" t="s">
        <v>58</v>
      </c>
      <c r="G86" s="363" t="s">
        <v>58</v>
      </c>
      <c r="H86" s="363" t="s">
        <v>58</v>
      </c>
      <c r="I86" s="363" t="s">
        <v>58</v>
      </c>
      <c r="J86" s="363" t="s">
        <v>58</v>
      </c>
      <c r="K86" s="363" t="s">
        <v>58</v>
      </c>
      <c r="L86" s="363" t="s">
        <v>58</v>
      </c>
      <c r="M86" s="363" t="s">
        <v>58</v>
      </c>
      <c r="N86" s="363" t="s">
        <v>58</v>
      </c>
      <c r="O86" s="363" t="s">
        <v>58</v>
      </c>
      <c r="P86" s="363" t="s">
        <v>58</v>
      </c>
      <c r="Q86" s="363" t="s">
        <v>58</v>
      </c>
      <c r="R86" s="363" t="s">
        <v>58</v>
      </c>
      <c r="S86" s="1238"/>
    </row>
    <row r="87" spans="1:19">
      <c r="A87" s="553" t="s">
        <v>767</v>
      </c>
      <c r="B87" s="490"/>
      <c r="C87" s="653" t="s">
        <v>58</v>
      </c>
      <c r="D87" s="370" t="s">
        <v>58</v>
      </c>
      <c r="E87" s="363" t="s">
        <v>58</v>
      </c>
      <c r="F87" s="363" t="s">
        <v>58</v>
      </c>
      <c r="G87" s="363" t="s">
        <v>58</v>
      </c>
      <c r="H87" s="363" t="s">
        <v>58</v>
      </c>
      <c r="I87" s="363" t="s">
        <v>58</v>
      </c>
      <c r="J87" s="363" t="s">
        <v>58</v>
      </c>
      <c r="K87" s="363" t="s">
        <v>58</v>
      </c>
      <c r="L87" s="363" t="s">
        <v>58</v>
      </c>
      <c r="M87" s="363" t="s">
        <v>58</v>
      </c>
      <c r="N87" s="363" t="s">
        <v>58</v>
      </c>
      <c r="O87" s="363" t="s">
        <v>58</v>
      </c>
      <c r="P87" s="363" t="s">
        <v>58</v>
      </c>
      <c r="Q87" s="363" t="s">
        <v>58</v>
      </c>
      <c r="R87" s="363" t="s">
        <v>58</v>
      </c>
      <c r="S87" s="1238"/>
    </row>
    <row r="88" spans="1:19">
      <c r="A88" s="552" t="s">
        <v>768</v>
      </c>
      <c r="B88" s="124"/>
      <c r="C88" s="153" t="s">
        <v>58</v>
      </c>
      <c r="D88" s="40" t="s">
        <v>58</v>
      </c>
      <c r="E88" s="31" t="s">
        <v>58</v>
      </c>
      <c r="F88" s="31" t="s">
        <v>58</v>
      </c>
      <c r="G88" s="31" t="s">
        <v>58</v>
      </c>
      <c r="H88" s="31" t="s">
        <v>58</v>
      </c>
      <c r="I88" s="31" t="s">
        <v>58</v>
      </c>
      <c r="J88" s="31" t="s">
        <v>58</v>
      </c>
      <c r="K88" s="31" t="s">
        <v>58</v>
      </c>
      <c r="L88" s="41" t="s">
        <v>58</v>
      </c>
      <c r="M88" s="41" t="s">
        <v>58</v>
      </c>
      <c r="N88" s="41" t="s">
        <v>58</v>
      </c>
      <c r="O88" s="41" t="s">
        <v>58</v>
      </c>
      <c r="P88" s="41" t="s">
        <v>58</v>
      </c>
      <c r="Q88" s="41" t="s">
        <v>58</v>
      </c>
      <c r="R88" s="41" t="s">
        <v>58</v>
      </c>
      <c r="S88" s="1238"/>
    </row>
    <row r="89" spans="1:19">
      <c r="A89" s="551" t="s">
        <v>769</v>
      </c>
      <c r="B89" s="123"/>
      <c r="C89" s="516" t="s">
        <v>649</v>
      </c>
      <c r="D89" s="49" t="s">
        <v>58</v>
      </c>
      <c r="E89" s="36" t="s">
        <v>58</v>
      </c>
      <c r="F89" s="36" t="s">
        <v>58</v>
      </c>
      <c r="G89" s="36" t="s">
        <v>58</v>
      </c>
      <c r="H89" s="36" t="s">
        <v>58</v>
      </c>
      <c r="I89" s="36" t="s">
        <v>58</v>
      </c>
      <c r="J89" s="36" t="s">
        <v>58</v>
      </c>
      <c r="K89" s="36" t="s">
        <v>58</v>
      </c>
      <c r="L89" s="36" t="s">
        <v>58</v>
      </c>
      <c r="M89" s="36" t="s">
        <v>58</v>
      </c>
      <c r="N89" s="36" t="s">
        <v>58</v>
      </c>
      <c r="O89" s="36" t="s">
        <v>58</v>
      </c>
      <c r="P89" s="36" t="s">
        <v>58</v>
      </c>
      <c r="Q89" s="36" t="s">
        <v>58</v>
      </c>
      <c r="R89" s="36" t="s">
        <v>58</v>
      </c>
      <c r="S89" s="1238"/>
    </row>
    <row r="90" spans="1:19">
      <c r="A90" s="552" t="s">
        <v>770</v>
      </c>
      <c r="B90" s="124"/>
      <c r="C90" s="153" t="s">
        <v>58</v>
      </c>
      <c r="D90" s="40" t="s">
        <v>58</v>
      </c>
      <c r="E90" s="31" t="s">
        <v>58</v>
      </c>
      <c r="F90" s="31" t="s">
        <v>58</v>
      </c>
      <c r="G90" s="31" t="s">
        <v>58</v>
      </c>
      <c r="H90" s="31" t="s">
        <v>58</v>
      </c>
      <c r="I90" s="31" t="s">
        <v>58</v>
      </c>
      <c r="J90" s="31" t="s">
        <v>58</v>
      </c>
      <c r="K90" s="31" t="s">
        <v>58</v>
      </c>
      <c r="L90" s="41" t="s">
        <v>58</v>
      </c>
      <c r="M90" s="41" t="s">
        <v>58</v>
      </c>
      <c r="N90" s="41" t="s">
        <v>58</v>
      </c>
      <c r="O90" s="41" t="s">
        <v>58</v>
      </c>
      <c r="P90" s="41" t="s">
        <v>58</v>
      </c>
      <c r="Q90" s="41" t="s">
        <v>58</v>
      </c>
      <c r="R90" s="41" t="s">
        <v>58</v>
      </c>
      <c r="S90" s="1238"/>
    </row>
    <row r="91" spans="1:19">
      <c r="A91" s="552" t="s">
        <v>771</v>
      </c>
      <c r="B91" s="124"/>
      <c r="C91" s="153" t="s">
        <v>58</v>
      </c>
      <c r="D91" s="40" t="s">
        <v>58</v>
      </c>
      <c r="E91" s="31" t="s">
        <v>58</v>
      </c>
      <c r="F91" s="31" t="s">
        <v>58</v>
      </c>
      <c r="G91" s="31" t="s">
        <v>58</v>
      </c>
      <c r="H91" s="31" t="s">
        <v>58</v>
      </c>
      <c r="I91" s="31" t="s">
        <v>58</v>
      </c>
      <c r="J91" s="31" t="s">
        <v>58</v>
      </c>
      <c r="K91" s="31" t="s">
        <v>58</v>
      </c>
      <c r="L91" s="41" t="s">
        <v>58</v>
      </c>
      <c r="M91" s="41" t="s">
        <v>58</v>
      </c>
      <c r="N91" s="41" t="s">
        <v>58</v>
      </c>
      <c r="O91" s="41" t="s">
        <v>58</v>
      </c>
      <c r="P91" s="41" t="s">
        <v>58</v>
      </c>
      <c r="Q91" s="41" t="s">
        <v>58</v>
      </c>
      <c r="R91" s="41" t="s">
        <v>58</v>
      </c>
      <c r="S91" s="1238"/>
    </row>
    <row r="92" spans="1:19">
      <c r="A92" s="551" t="s">
        <v>772</v>
      </c>
      <c r="B92" s="123"/>
      <c r="C92" s="516" t="s">
        <v>649</v>
      </c>
      <c r="D92" s="49" t="s">
        <v>58</v>
      </c>
      <c r="E92" s="36" t="s">
        <v>58</v>
      </c>
      <c r="F92" s="36" t="s">
        <v>58</v>
      </c>
      <c r="G92" s="36" t="s">
        <v>58</v>
      </c>
      <c r="H92" s="36" t="s">
        <v>58</v>
      </c>
      <c r="I92" s="36" t="s">
        <v>58</v>
      </c>
      <c r="J92" s="36" t="s">
        <v>58</v>
      </c>
      <c r="K92" s="36" t="s">
        <v>58</v>
      </c>
      <c r="L92" s="36" t="s">
        <v>58</v>
      </c>
      <c r="M92" s="36" t="s">
        <v>58</v>
      </c>
      <c r="N92" s="36" t="s">
        <v>58</v>
      </c>
      <c r="O92" s="36" t="s">
        <v>58</v>
      </c>
      <c r="P92" s="36" t="s">
        <v>58</v>
      </c>
      <c r="Q92" s="36" t="s">
        <v>58</v>
      </c>
      <c r="R92" s="36" t="s">
        <v>58</v>
      </c>
      <c r="S92" s="1238"/>
    </row>
    <row r="93" spans="1:19">
      <c r="A93" s="553" t="s">
        <v>773</v>
      </c>
      <c r="B93" s="490"/>
      <c r="C93" s="653" t="s">
        <v>58</v>
      </c>
      <c r="D93" s="370" t="s">
        <v>58</v>
      </c>
      <c r="E93" s="363" t="s">
        <v>58</v>
      </c>
      <c r="F93" s="363" t="s">
        <v>58</v>
      </c>
      <c r="G93" s="363" t="s">
        <v>58</v>
      </c>
      <c r="H93" s="363" t="s">
        <v>58</v>
      </c>
      <c r="I93" s="363" t="s">
        <v>58</v>
      </c>
      <c r="J93" s="363" t="s">
        <v>58</v>
      </c>
      <c r="K93" s="363" t="s">
        <v>58</v>
      </c>
      <c r="L93" s="363" t="s">
        <v>58</v>
      </c>
      <c r="M93" s="363" t="s">
        <v>58</v>
      </c>
      <c r="N93" s="363" t="s">
        <v>58</v>
      </c>
      <c r="O93" s="363" t="s">
        <v>58</v>
      </c>
      <c r="P93" s="363" t="s">
        <v>58</v>
      </c>
      <c r="Q93" s="363" t="s">
        <v>58</v>
      </c>
      <c r="R93" s="363" t="s">
        <v>58</v>
      </c>
      <c r="S93" s="1238"/>
    </row>
    <row r="94" spans="1:19">
      <c r="A94" s="553" t="s">
        <v>774</v>
      </c>
      <c r="B94" s="490"/>
      <c r="C94" s="653" t="s">
        <v>58</v>
      </c>
      <c r="D94" s="370" t="s">
        <v>58</v>
      </c>
      <c r="E94" s="363" t="s">
        <v>58</v>
      </c>
      <c r="F94" s="363" t="s">
        <v>58</v>
      </c>
      <c r="G94" s="363" t="s">
        <v>58</v>
      </c>
      <c r="H94" s="363" t="s">
        <v>58</v>
      </c>
      <c r="I94" s="363" t="s">
        <v>58</v>
      </c>
      <c r="J94" s="363" t="s">
        <v>58</v>
      </c>
      <c r="K94" s="363" t="s">
        <v>58</v>
      </c>
      <c r="L94" s="363" t="s">
        <v>58</v>
      </c>
      <c r="M94" s="363" t="s">
        <v>58</v>
      </c>
      <c r="N94" s="363" t="s">
        <v>58</v>
      </c>
      <c r="O94" s="363" t="s">
        <v>58</v>
      </c>
      <c r="P94" s="363" t="s">
        <v>58</v>
      </c>
      <c r="Q94" s="363" t="s">
        <v>58</v>
      </c>
      <c r="R94" s="363" t="s">
        <v>58</v>
      </c>
      <c r="S94" s="1238"/>
    </row>
    <row r="95" spans="1:19">
      <c r="A95" s="553" t="s">
        <v>775</v>
      </c>
      <c r="B95" s="490"/>
      <c r="C95" s="653" t="s">
        <v>58</v>
      </c>
      <c r="D95" s="370" t="s">
        <v>58</v>
      </c>
      <c r="E95" s="363" t="s">
        <v>58</v>
      </c>
      <c r="F95" s="363" t="s">
        <v>58</v>
      </c>
      <c r="G95" s="363" t="s">
        <v>58</v>
      </c>
      <c r="H95" s="363" t="s">
        <v>58</v>
      </c>
      <c r="I95" s="363" t="s">
        <v>58</v>
      </c>
      <c r="J95" s="363" t="s">
        <v>58</v>
      </c>
      <c r="K95" s="363" t="s">
        <v>58</v>
      </c>
      <c r="L95" s="363" t="s">
        <v>58</v>
      </c>
      <c r="M95" s="363" t="s">
        <v>58</v>
      </c>
      <c r="N95" s="363" t="s">
        <v>58</v>
      </c>
      <c r="O95" s="363" t="s">
        <v>58</v>
      </c>
      <c r="P95" s="363" t="s">
        <v>58</v>
      </c>
      <c r="Q95" s="363" t="s">
        <v>58</v>
      </c>
      <c r="R95" s="363" t="s">
        <v>58</v>
      </c>
      <c r="S95" s="1238"/>
    </row>
    <row r="96" spans="1:19">
      <c r="A96" s="551" t="s">
        <v>776</v>
      </c>
      <c r="B96" s="123"/>
      <c r="C96" s="516" t="s">
        <v>649</v>
      </c>
      <c r="D96" s="49" t="s">
        <v>58</v>
      </c>
      <c r="E96" s="36" t="s">
        <v>58</v>
      </c>
      <c r="F96" s="36" t="s">
        <v>58</v>
      </c>
      <c r="G96" s="36" t="s">
        <v>58</v>
      </c>
      <c r="H96" s="36" t="s">
        <v>58</v>
      </c>
      <c r="I96" s="36" t="s">
        <v>58</v>
      </c>
      <c r="J96" s="36" t="s">
        <v>58</v>
      </c>
      <c r="K96" s="36" t="s">
        <v>58</v>
      </c>
      <c r="L96" s="36" t="s">
        <v>58</v>
      </c>
      <c r="M96" s="36" t="s">
        <v>58</v>
      </c>
      <c r="N96" s="36" t="s">
        <v>58</v>
      </c>
      <c r="O96" s="36" t="s">
        <v>58</v>
      </c>
      <c r="P96" s="36" t="s">
        <v>58</v>
      </c>
      <c r="Q96" s="36" t="s">
        <v>58</v>
      </c>
      <c r="R96" s="36" t="s">
        <v>58</v>
      </c>
      <c r="S96" s="1238"/>
    </row>
    <row r="97" spans="1:19">
      <c r="A97" s="551" t="s">
        <v>816</v>
      </c>
      <c r="B97" s="123"/>
      <c r="C97" s="516" t="s">
        <v>649</v>
      </c>
      <c r="D97" s="49" t="s">
        <v>58</v>
      </c>
      <c r="E97" s="36" t="s">
        <v>58</v>
      </c>
      <c r="F97" s="36" t="s">
        <v>58</v>
      </c>
      <c r="G97" s="36" t="s">
        <v>58</v>
      </c>
      <c r="H97" s="36" t="s">
        <v>58</v>
      </c>
      <c r="I97" s="36" t="s">
        <v>58</v>
      </c>
      <c r="J97" s="36" t="s">
        <v>58</v>
      </c>
      <c r="K97" s="36" t="s">
        <v>58</v>
      </c>
      <c r="L97" s="36" t="s">
        <v>58</v>
      </c>
      <c r="M97" s="36" t="s">
        <v>58</v>
      </c>
      <c r="N97" s="36" t="s">
        <v>58</v>
      </c>
      <c r="O97" s="36" t="s">
        <v>58</v>
      </c>
      <c r="P97" s="36" t="s">
        <v>58</v>
      </c>
      <c r="Q97" s="36" t="s">
        <v>58</v>
      </c>
      <c r="R97" s="36" t="s">
        <v>58</v>
      </c>
      <c r="S97" s="1238"/>
    </row>
    <row r="98" spans="1:19">
      <c r="A98" s="551" t="s">
        <v>817</v>
      </c>
      <c r="B98" s="123"/>
      <c r="C98" s="516" t="s">
        <v>649</v>
      </c>
      <c r="D98" s="49" t="s">
        <v>58</v>
      </c>
      <c r="E98" s="36" t="s">
        <v>58</v>
      </c>
      <c r="F98" s="36" t="s">
        <v>58</v>
      </c>
      <c r="G98" s="36" t="s">
        <v>58</v>
      </c>
      <c r="H98" s="36" t="s">
        <v>58</v>
      </c>
      <c r="I98" s="36" t="s">
        <v>58</v>
      </c>
      <c r="J98" s="36" t="s">
        <v>58</v>
      </c>
      <c r="K98" s="36" t="s">
        <v>58</v>
      </c>
      <c r="L98" s="36" t="s">
        <v>58</v>
      </c>
      <c r="M98" s="36" t="s">
        <v>58</v>
      </c>
      <c r="N98" s="36" t="s">
        <v>58</v>
      </c>
      <c r="O98" s="36" t="s">
        <v>58</v>
      </c>
      <c r="P98" s="36" t="s">
        <v>58</v>
      </c>
      <c r="Q98" s="36" t="s">
        <v>58</v>
      </c>
      <c r="R98" s="36" t="s">
        <v>58</v>
      </c>
      <c r="S98" s="1238"/>
    </row>
    <row r="99" spans="1:19">
      <c r="A99" s="551" t="s">
        <v>818</v>
      </c>
      <c r="B99" s="123"/>
      <c r="C99" s="516" t="s">
        <v>649</v>
      </c>
      <c r="D99" s="49" t="s">
        <v>58</v>
      </c>
      <c r="E99" s="36" t="s">
        <v>58</v>
      </c>
      <c r="F99" s="36" t="s">
        <v>58</v>
      </c>
      <c r="G99" s="36" t="s">
        <v>58</v>
      </c>
      <c r="H99" s="36" t="s">
        <v>58</v>
      </c>
      <c r="I99" s="36" t="s">
        <v>58</v>
      </c>
      <c r="J99" s="36" t="s">
        <v>58</v>
      </c>
      <c r="K99" s="36" t="s">
        <v>58</v>
      </c>
      <c r="L99" s="36" t="s">
        <v>58</v>
      </c>
      <c r="M99" s="36" t="s">
        <v>58</v>
      </c>
      <c r="N99" s="36" t="s">
        <v>58</v>
      </c>
      <c r="O99" s="36" t="s">
        <v>58</v>
      </c>
      <c r="P99" s="36" t="s">
        <v>58</v>
      </c>
      <c r="Q99" s="36" t="s">
        <v>58</v>
      </c>
      <c r="R99" s="36" t="s">
        <v>58</v>
      </c>
      <c r="S99" s="1238"/>
    </row>
    <row r="100" spans="1:19">
      <c r="A100" s="551" t="s">
        <v>819</v>
      </c>
      <c r="B100" s="123"/>
      <c r="C100" s="516" t="s">
        <v>649</v>
      </c>
      <c r="D100" s="49" t="s">
        <v>58</v>
      </c>
      <c r="E100" s="36" t="s">
        <v>58</v>
      </c>
      <c r="F100" s="36" t="s">
        <v>58</v>
      </c>
      <c r="G100" s="36" t="s">
        <v>58</v>
      </c>
      <c r="H100" s="36" t="s">
        <v>58</v>
      </c>
      <c r="I100" s="36" t="s">
        <v>58</v>
      </c>
      <c r="J100" s="36" t="s">
        <v>58</v>
      </c>
      <c r="K100" s="36" t="s">
        <v>58</v>
      </c>
      <c r="L100" s="36" t="s">
        <v>58</v>
      </c>
      <c r="M100" s="36" t="s">
        <v>58</v>
      </c>
      <c r="N100" s="36" t="s">
        <v>58</v>
      </c>
      <c r="O100" s="36" t="s">
        <v>58</v>
      </c>
      <c r="P100" s="36" t="s">
        <v>58</v>
      </c>
      <c r="Q100" s="36" t="s">
        <v>58</v>
      </c>
      <c r="R100" s="36" t="s">
        <v>58</v>
      </c>
      <c r="S100" s="1238"/>
    </row>
    <row r="101" spans="1:19">
      <c r="A101" s="551" t="s">
        <v>820</v>
      </c>
      <c r="B101" s="123"/>
      <c r="C101" s="516" t="s">
        <v>649</v>
      </c>
      <c r="D101" s="49" t="s">
        <v>58</v>
      </c>
      <c r="E101" s="36" t="s">
        <v>58</v>
      </c>
      <c r="F101" s="36" t="s">
        <v>58</v>
      </c>
      <c r="G101" s="36" t="s">
        <v>58</v>
      </c>
      <c r="H101" s="36" t="s">
        <v>58</v>
      </c>
      <c r="I101" s="36" t="s">
        <v>58</v>
      </c>
      <c r="J101" s="36" t="s">
        <v>58</v>
      </c>
      <c r="K101" s="36" t="s">
        <v>58</v>
      </c>
      <c r="L101" s="36" t="s">
        <v>58</v>
      </c>
      <c r="M101" s="36" t="s">
        <v>58</v>
      </c>
      <c r="N101" s="36" t="s">
        <v>58</v>
      </c>
      <c r="O101" s="36" t="s">
        <v>58</v>
      </c>
      <c r="P101" s="36" t="s">
        <v>58</v>
      </c>
      <c r="Q101" s="36" t="s">
        <v>58</v>
      </c>
      <c r="R101" s="36" t="s">
        <v>58</v>
      </c>
      <c r="S101" s="1238"/>
    </row>
    <row r="102" spans="1:19">
      <c r="A102" s="551" t="s">
        <v>821</v>
      </c>
      <c r="B102" s="123"/>
      <c r="C102" s="516" t="s">
        <v>649</v>
      </c>
      <c r="D102" s="49" t="s">
        <v>58</v>
      </c>
      <c r="E102" s="36" t="s">
        <v>58</v>
      </c>
      <c r="F102" s="36" t="s">
        <v>58</v>
      </c>
      <c r="G102" s="36" t="s">
        <v>58</v>
      </c>
      <c r="H102" s="36" t="s">
        <v>58</v>
      </c>
      <c r="I102" s="36" t="s">
        <v>58</v>
      </c>
      <c r="J102" s="36" t="s">
        <v>58</v>
      </c>
      <c r="K102" s="36" t="s">
        <v>58</v>
      </c>
      <c r="L102" s="36" t="s">
        <v>58</v>
      </c>
      <c r="M102" s="36" t="s">
        <v>58</v>
      </c>
      <c r="N102" s="36" t="s">
        <v>58</v>
      </c>
      <c r="O102" s="36" t="s">
        <v>58</v>
      </c>
      <c r="P102" s="36" t="s">
        <v>58</v>
      </c>
      <c r="Q102" s="36" t="s">
        <v>58</v>
      </c>
      <c r="R102" s="36" t="s">
        <v>58</v>
      </c>
      <c r="S102" s="1238"/>
    </row>
    <row r="103" spans="1:19">
      <c r="A103" s="551" t="s">
        <v>777</v>
      </c>
      <c r="B103" s="497"/>
      <c r="C103" s="516" t="s">
        <v>649</v>
      </c>
      <c r="D103" s="51" t="s">
        <v>637</v>
      </c>
      <c r="E103" s="34" t="s">
        <v>637</v>
      </c>
      <c r="F103" s="34" t="s">
        <v>637</v>
      </c>
      <c r="G103" s="34" t="s">
        <v>637</v>
      </c>
      <c r="H103" s="34" t="s">
        <v>637</v>
      </c>
      <c r="I103" s="34" t="s">
        <v>637</v>
      </c>
      <c r="J103" s="34" t="s">
        <v>637</v>
      </c>
      <c r="K103" s="62" t="s">
        <v>637</v>
      </c>
      <c r="L103" s="34" t="s">
        <v>637</v>
      </c>
      <c r="M103" s="34" t="s">
        <v>637</v>
      </c>
      <c r="N103" s="34" t="s">
        <v>637</v>
      </c>
      <c r="O103" s="34" t="s">
        <v>637</v>
      </c>
      <c r="P103" s="34" t="s">
        <v>637</v>
      </c>
      <c r="Q103" s="34" t="s">
        <v>637</v>
      </c>
      <c r="R103" s="34" t="s">
        <v>637</v>
      </c>
      <c r="S103" s="1238"/>
    </row>
    <row r="104" spans="1:19">
      <c r="A104" s="551" t="s">
        <v>778</v>
      </c>
      <c r="B104" s="497"/>
      <c r="C104" s="516" t="s">
        <v>649</v>
      </c>
      <c r="D104" s="51" t="s">
        <v>637</v>
      </c>
      <c r="E104" s="34" t="s">
        <v>637</v>
      </c>
      <c r="F104" s="34" t="s">
        <v>637</v>
      </c>
      <c r="G104" s="34" t="s">
        <v>637</v>
      </c>
      <c r="H104" s="34" t="s">
        <v>637</v>
      </c>
      <c r="I104" s="34" t="s">
        <v>637</v>
      </c>
      <c r="J104" s="34" t="s">
        <v>637</v>
      </c>
      <c r="K104" s="62" t="s">
        <v>637</v>
      </c>
      <c r="L104" s="34" t="s">
        <v>637</v>
      </c>
      <c r="M104" s="34" t="s">
        <v>637</v>
      </c>
      <c r="N104" s="34" t="s">
        <v>637</v>
      </c>
      <c r="O104" s="34" t="s">
        <v>637</v>
      </c>
      <c r="P104" s="34" t="s">
        <v>637</v>
      </c>
      <c r="Q104" s="34" t="s">
        <v>637</v>
      </c>
      <c r="R104" s="34" t="s">
        <v>637</v>
      </c>
      <c r="S104" s="1238"/>
    </row>
    <row r="105" spans="1:19">
      <c r="A105" s="551" t="s">
        <v>779</v>
      </c>
      <c r="B105" s="496"/>
      <c r="C105" s="516" t="s">
        <v>649</v>
      </c>
      <c r="D105" s="51" t="s">
        <v>637</v>
      </c>
      <c r="E105" s="34" t="s">
        <v>637</v>
      </c>
      <c r="F105" s="34" t="s">
        <v>637</v>
      </c>
      <c r="G105" s="34" t="s">
        <v>637</v>
      </c>
      <c r="H105" s="34" t="s">
        <v>637</v>
      </c>
      <c r="I105" s="34" t="s">
        <v>637</v>
      </c>
      <c r="J105" s="34" t="s">
        <v>637</v>
      </c>
      <c r="K105" s="62" t="s">
        <v>637</v>
      </c>
      <c r="L105" s="34" t="s">
        <v>637</v>
      </c>
      <c r="M105" s="34" t="s">
        <v>637</v>
      </c>
      <c r="N105" s="34" t="s">
        <v>637</v>
      </c>
      <c r="O105" s="34" t="s">
        <v>637</v>
      </c>
      <c r="P105" s="34" t="s">
        <v>637</v>
      </c>
      <c r="Q105" s="34" t="s">
        <v>637</v>
      </c>
      <c r="R105" s="34" t="s">
        <v>637</v>
      </c>
      <c r="S105" s="1238"/>
    </row>
    <row r="106" spans="1:19">
      <c r="A106" s="551" t="s">
        <v>780</v>
      </c>
      <c r="B106" s="123"/>
      <c r="C106" s="516" t="s">
        <v>649</v>
      </c>
      <c r="D106" s="49" t="s">
        <v>58</v>
      </c>
      <c r="E106" s="36" t="s">
        <v>58</v>
      </c>
      <c r="F106" s="36" t="s">
        <v>58</v>
      </c>
      <c r="G106" s="36" t="s">
        <v>58</v>
      </c>
      <c r="H106" s="36" t="s">
        <v>58</v>
      </c>
      <c r="I106" s="36" t="s">
        <v>58</v>
      </c>
      <c r="J106" s="36" t="s">
        <v>58</v>
      </c>
      <c r="K106" s="36" t="s">
        <v>58</v>
      </c>
      <c r="L106" s="36" t="s">
        <v>58</v>
      </c>
      <c r="M106" s="36" t="s">
        <v>58</v>
      </c>
      <c r="N106" s="36" t="s">
        <v>58</v>
      </c>
      <c r="O106" s="36" t="s">
        <v>58</v>
      </c>
      <c r="P106" s="36" t="s">
        <v>58</v>
      </c>
      <c r="Q106" s="36" t="s">
        <v>58</v>
      </c>
      <c r="R106" s="36" t="s">
        <v>58</v>
      </c>
      <c r="S106" s="1238"/>
    </row>
    <row r="107" spans="1:19">
      <c r="A107" s="551" t="s">
        <v>781</v>
      </c>
      <c r="B107" s="123"/>
      <c r="C107" s="516" t="s">
        <v>649</v>
      </c>
      <c r="D107" s="49" t="s">
        <v>58</v>
      </c>
      <c r="E107" s="36" t="s">
        <v>58</v>
      </c>
      <c r="F107" s="36" t="s">
        <v>58</v>
      </c>
      <c r="G107" s="36" t="s">
        <v>58</v>
      </c>
      <c r="H107" s="36" t="s">
        <v>58</v>
      </c>
      <c r="I107" s="36" t="s">
        <v>58</v>
      </c>
      <c r="J107" s="36" t="s">
        <v>58</v>
      </c>
      <c r="K107" s="36" t="s">
        <v>58</v>
      </c>
      <c r="L107" s="36" t="s">
        <v>58</v>
      </c>
      <c r="M107" s="36" t="s">
        <v>58</v>
      </c>
      <c r="N107" s="36" t="s">
        <v>58</v>
      </c>
      <c r="O107" s="36" t="s">
        <v>58</v>
      </c>
      <c r="P107" s="36" t="s">
        <v>58</v>
      </c>
      <c r="Q107" s="36" t="s">
        <v>58</v>
      </c>
      <c r="R107" s="36" t="s">
        <v>58</v>
      </c>
      <c r="S107" s="1238"/>
    </row>
    <row r="108" spans="1:19">
      <c r="A108" s="551" t="s">
        <v>782</v>
      </c>
      <c r="B108" s="123"/>
      <c r="C108" s="516" t="s">
        <v>649</v>
      </c>
      <c r="D108" s="49" t="s">
        <v>58</v>
      </c>
      <c r="E108" s="36" t="s">
        <v>58</v>
      </c>
      <c r="F108" s="36" t="s">
        <v>58</v>
      </c>
      <c r="G108" s="36" t="s">
        <v>58</v>
      </c>
      <c r="H108" s="36" t="s">
        <v>58</v>
      </c>
      <c r="I108" s="36" t="s">
        <v>58</v>
      </c>
      <c r="J108" s="36" t="s">
        <v>58</v>
      </c>
      <c r="K108" s="36" t="s">
        <v>58</v>
      </c>
      <c r="L108" s="36" t="s">
        <v>58</v>
      </c>
      <c r="M108" s="36" t="s">
        <v>58</v>
      </c>
      <c r="N108" s="36" t="s">
        <v>58</v>
      </c>
      <c r="O108" s="36" t="s">
        <v>58</v>
      </c>
      <c r="P108" s="36" t="s">
        <v>58</v>
      </c>
      <c r="Q108" s="36" t="s">
        <v>58</v>
      </c>
      <c r="R108" s="36" t="s">
        <v>58</v>
      </c>
      <c r="S108" s="1238"/>
    </row>
    <row r="109" spans="1:19">
      <c r="A109" s="551" t="s">
        <v>830</v>
      </c>
      <c r="B109" s="123"/>
      <c r="C109" s="598" t="s">
        <v>838</v>
      </c>
      <c r="D109" s="49" t="s">
        <v>834</v>
      </c>
      <c r="E109" s="36" t="s">
        <v>834</v>
      </c>
      <c r="F109" s="36" t="s">
        <v>834</v>
      </c>
      <c r="G109" s="36" t="s">
        <v>834</v>
      </c>
      <c r="H109" s="36" t="s">
        <v>834</v>
      </c>
      <c r="I109" s="36" t="s">
        <v>834</v>
      </c>
      <c r="J109" s="36" t="s">
        <v>834</v>
      </c>
      <c r="K109" s="36" t="s">
        <v>834</v>
      </c>
      <c r="L109" s="36" t="s">
        <v>834</v>
      </c>
      <c r="M109" s="36" t="s">
        <v>834</v>
      </c>
      <c r="N109" s="36" t="s">
        <v>834</v>
      </c>
      <c r="O109" s="36" t="s">
        <v>834</v>
      </c>
      <c r="P109" s="36" t="s">
        <v>834</v>
      </c>
      <c r="Q109" s="36" t="s">
        <v>834</v>
      </c>
      <c r="R109" s="36" t="s">
        <v>834</v>
      </c>
      <c r="S109" s="1238"/>
    </row>
    <row r="110" spans="1:19">
      <c r="A110" s="551" t="s">
        <v>832</v>
      </c>
      <c r="B110" s="123"/>
      <c r="C110" s="598" t="s">
        <v>838</v>
      </c>
      <c r="D110" s="49" t="s">
        <v>834</v>
      </c>
      <c r="E110" s="36" t="s">
        <v>834</v>
      </c>
      <c r="F110" s="36" t="s">
        <v>834</v>
      </c>
      <c r="G110" s="36" t="s">
        <v>834</v>
      </c>
      <c r="H110" s="36" t="s">
        <v>834</v>
      </c>
      <c r="I110" s="36" t="s">
        <v>834</v>
      </c>
      <c r="J110" s="36" t="s">
        <v>834</v>
      </c>
      <c r="K110" s="36" t="s">
        <v>834</v>
      </c>
      <c r="L110" s="36" t="s">
        <v>834</v>
      </c>
      <c r="M110" s="36" t="s">
        <v>834</v>
      </c>
      <c r="N110" s="36" t="s">
        <v>834</v>
      </c>
      <c r="O110" s="36" t="s">
        <v>834</v>
      </c>
      <c r="P110" s="36" t="s">
        <v>834</v>
      </c>
      <c r="Q110" s="36" t="s">
        <v>834</v>
      </c>
      <c r="R110" s="36" t="s">
        <v>834</v>
      </c>
      <c r="S110" s="1238"/>
    </row>
    <row r="111" spans="1:19">
      <c r="A111" s="551" t="s">
        <v>783</v>
      </c>
      <c r="B111" s="123"/>
      <c r="C111" s="516" t="s">
        <v>649</v>
      </c>
      <c r="D111" s="49" t="s">
        <v>58</v>
      </c>
      <c r="E111" s="36" t="s">
        <v>58</v>
      </c>
      <c r="F111" s="36" t="s">
        <v>58</v>
      </c>
      <c r="G111" s="36" t="s">
        <v>58</v>
      </c>
      <c r="H111" s="36" t="s">
        <v>58</v>
      </c>
      <c r="I111" s="36" t="s">
        <v>58</v>
      </c>
      <c r="J111" s="36" t="s">
        <v>58</v>
      </c>
      <c r="K111" s="36" t="s">
        <v>58</v>
      </c>
      <c r="L111" s="36" t="s">
        <v>58</v>
      </c>
      <c r="M111" s="36" t="s">
        <v>58</v>
      </c>
      <c r="N111" s="36" t="s">
        <v>58</v>
      </c>
      <c r="O111" s="36" t="s">
        <v>58</v>
      </c>
      <c r="P111" s="36" t="s">
        <v>58</v>
      </c>
      <c r="Q111" s="36" t="s">
        <v>58</v>
      </c>
      <c r="R111" s="36" t="s">
        <v>58</v>
      </c>
      <c r="S111" s="1238"/>
    </row>
    <row r="112" spans="1:19">
      <c r="A112" s="551" t="s">
        <v>784</v>
      </c>
      <c r="B112" s="123"/>
      <c r="C112" s="516" t="s">
        <v>649</v>
      </c>
      <c r="D112" s="49" t="s">
        <v>58</v>
      </c>
      <c r="E112" s="36" t="s">
        <v>58</v>
      </c>
      <c r="F112" s="36" t="s">
        <v>58</v>
      </c>
      <c r="G112" s="36" t="s">
        <v>58</v>
      </c>
      <c r="H112" s="36" t="s">
        <v>58</v>
      </c>
      <c r="I112" s="36" t="s">
        <v>58</v>
      </c>
      <c r="J112" s="36" t="s">
        <v>58</v>
      </c>
      <c r="K112" s="36" t="s">
        <v>58</v>
      </c>
      <c r="L112" s="36" t="s">
        <v>58</v>
      </c>
      <c r="M112" s="36" t="s">
        <v>58</v>
      </c>
      <c r="N112" s="36" t="s">
        <v>58</v>
      </c>
      <c r="O112" s="36" t="s">
        <v>58</v>
      </c>
      <c r="P112" s="36" t="s">
        <v>58</v>
      </c>
      <c r="Q112" s="36" t="s">
        <v>58</v>
      </c>
      <c r="R112" s="36" t="s">
        <v>58</v>
      </c>
      <c r="S112" s="1238"/>
    </row>
    <row r="113" spans="1:19">
      <c r="A113" s="551" t="s">
        <v>785</v>
      </c>
      <c r="B113" s="123"/>
      <c r="C113" s="516" t="s">
        <v>649</v>
      </c>
      <c r="D113" s="49" t="s">
        <v>58</v>
      </c>
      <c r="E113" s="36" t="s">
        <v>58</v>
      </c>
      <c r="F113" s="36" t="s">
        <v>58</v>
      </c>
      <c r="G113" s="36" t="s">
        <v>58</v>
      </c>
      <c r="H113" s="36" t="s">
        <v>58</v>
      </c>
      <c r="I113" s="36" t="s">
        <v>58</v>
      </c>
      <c r="J113" s="36" t="s">
        <v>58</v>
      </c>
      <c r="K113" s="36" t="s">
        <v>58</v>
      </c>
      <c r="L113" s="36" t="s">
        <v>58</v>
      </c>
      <c r="M113" s="36" t="s">
        <v>58</v>
      </c>
      <c r="N113" s="36" t="s">
        <v>58</v>
      </c>
      <c r="O113" s="36" t="s">
        <v>58</v>
      </c>
      <c r="P113" s="36" t="s">
        <v>58</v>
      </c>
      <c r="Q113" s="36" t="s">
        <v>58</v>
      </c>
      <c r="R113" s="36" t="s">
        <v>58</v>
      </c>
      <c r="S113" s="1238"/>
    </row>
    <row r="114" spans="1:19" ht="14.25" thickBot="1">
      <c r="A114" s="551" t="s">
        <v>786</v>
      </c>
      <c r="B114" s="123"/>
      <c r="C114" s="516" t="s">
        <v>649</v>
      </c>
      <c r="D114" s="49" t="s">
        <v>58</v>
      </c>
      <c r="E114" s="36" t="s">
        <v>58</v>
      </c>
      <c r="F114" s="36" t="s">
        <v>58</v>
      </c>
      <c r="G114" s="36" t="s">
        <v>58</v>
      </c>
      <c r="H114" s="36" t="s">
        <v>58</v>
      </c>
      <c r="I114" s="36" t="s">
        <v>58</v>
      </c>
      <c r="J114" s="36" t="s">
        <v>58</v>
      </c>
      <c r="K114" s="36" t="s">
        <v>58</v>
      </c>
      <c r="L114" s="36" t="s">
        <v>58</v>
      </c>
      <c r="M114" s="36" t="s">
        <v>58</v>
      </c>
      <c r="N114" s="36" t="s">
        <v>58</v>
      </c>
      <c r="O114" s="36" t="s">
        <v>58</v>
      </c>
      <c r="P114" s="36" t="s">
        <v>58</v>
      </c>
      <c r="Q114" s="36" t="s">
        <v>58</v>
      </c>
      <c r="R114" s="36" t="s">
        <v>58</v>
      </c>
      <c r="S114" s="1239"/>
    </row>
    <row r="115" spans="1:19" ht="88.5" thickTop="1" thickBot="1">
      <c r="A115" s="1234" t="s">
        <v>1063</v>
      </c>
      <c r="B115" s="1235"/>
      <c r="C115" s="154"/>
      <c r="D115" s="112"/>
      <c r="E115" s="113"/>
      <c r="F115" s="113"/>
      <c r="G115" s="113"/>
      <c r="H115" s="113"/>
      <c r="I115" s="113"/>
      <c r="J115" s="113"/>
      <c r="K115" s="118"/>
      <c r="L115" s="118"/>
      <c r="M115" s="118"/>
      <c r="N115" s="118"/>
      <c r="O115" s="118"/>
      <c r="P115" s="118"/>
      <c r="Q115" s="118"/>
      <c r="R115" s="118"/>
      <c r="S115" s="670" t="s">
        <v>187</v>
      </c>
    </row>
  </sheetData>
  <mergeCells count="4">
    <mergeCell ref="D1:R1"/>
    <mergeCell ref="A115:B115"/>
    <mergeCell ref="S68:S114"/>
    <mergeCell ref="S47:S67"/>
  </mergeCells>
  <phoneticPr fontId="2"/>
  <dataValidations disablePrompts="1" count="1">
    <dataValidation type="list" allowBlank="1" showInputMessage="1" showErrorMessage="1" sqref="A4:A114" xr:uid="{00000000-0002-0000-0400-000000000000}">
      <formula1>対応表紙質範囲</formula1>
    </dataValidation>
  </dataValidations>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&amp;C&amp;9表A-4 用紙種類優先順位</oddHeader>
    <oddFooter>&amp;L&amp;9I.I IOT Device Functions&amp;C&amp;9&amp;P/&amp;N-1&amp;R&amp;9DDF-IOT-BotanPlus-Hisui-Apx-K1.0.8.xlsm</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O51"/>
  <sheetViews>
    <sheetView showGridLines="0" tabSelected="1" zoomScale="85" zoomScaleNormal="85" workbookViewId="0">
      <selection activeCell="L18" sqref="L18"/>
    </sheetView>
  </sheetViews>
  <sheetFormatPr defaultColWidth="9.140625" defaultRowHeight="13.5"/>
  <cols>
    <col min="1" max="1" width="25.42578125" style="78" customWidth="1"/>
    <col min="2" max="5" width="9.7109375" style="78" customWidth="1"/>
    <col min="6" max="6" width="9.7109375" style="536" hidden="1" customWidth="1"/>
    <col min="7" max="11" width="9.7109375" style="536" customWidth="1"/>
    <col min="12" max="12" width="66.7109375" style="78" customWidth="1"/>
    <col min="13" max="16384" width="9.140625" style="298"/>
  </cols>
  <sheetData>
    <row r="1" spans="1:15" s="518" customFormat="1" ht="32.25" customHeight="1">
      <c r="A1" s="164" t="s">
        <v>141</v>
      </c>
      <c r="B1" s="165" t="s">
        <v>566</v>
      </c>
      <c r="C1" s="166" t="s">
        <v>215</v>
      </c>
      <c r="D1" s="166" t="s">
        <v>149</v>
      </c>
      <c r="E1" s="654" t="s">
        <v>913</v>
      </c>
      <c r="F1" s="908" t="s">
        <v>266</v>
      </c>
      <c r="G1" s="654" t="s">
        <v>992</v>
      </c>
      <c r="H1" s="1242" t="s">
        <v>1078</v>
      </c>
      <c r="I1" s="1243"/>
      <c r="J1" s="1243"/>
      <c r="K1" s="1244"/>
      <c r="L1" s="100" t="s">
        <v>13</v>
      </c>
      <c r="O1" s="534"/>
    </row>
    <row r="2" spans="1:15" ht="24.75" thickBot="1">
      <c r="A2" s="198" t="s">
        <v>142</v>
      </c>
      <c r="B2" s="167"/>
      <c r="C2" s="168"/>
      <c r="D2" s="168"/>
      <c r="E2" s="200" t="s">
        <v>246</v>
      </c>
      <c r="F2" s="909" t="s">
        <v>246</v>
      </c>
      <c r="G2" s="880" t="s">
        <v>228</v>
      </c>
      <c r="H2" s="430" t="s">
        <v>312</v>
      </c>
      <c r="I2" s="430" t="s">
        <v>246</v>
      </c>
      <c r="J2" s="431" t="s">
        <v>229</v>
      </c>
      <c r="K2" s="432" t="s">
        <v>568</v>
      </c>
      <c r="L2" s="169"/>
    </row>
    <row r="3" spans="1:15">
      <c r="A3" s="170" t="s">
        <v>143</v>
      </c>
      <c r="B3" s="63" t="s">
        <v>637</v>
      </c>
      <c r="C3" s="60" t="s">
        <v>637</v>
      </c>
      <c r="D3" s="60" t="s">
        <v>637</v>
      </c>
      <c r="E3" s="60" t="s">
        <v>637</v>
      </c>
      <c r="F3" s="910" t="s">
        <v>637</v>
      </c>
      <c r="G3" s="879" t="s">
        <v>637</v>
      </c>
      <c r="H3" s="508" t="s">
        <v>637</v>
      </c>
      <c r="I3" s="508" t="s">
        <v>637</v>
      </c>
      <c r="J3" s="509" t="s">
        <v>637</v>
      </c>
      <c r="K3" s="510" t="s">
        <v>638</v>
      </c>
      <c r="L3" s="383"/>
    </row>
    <row r="4" spans="1:15" ht="13.5" customHeight="1">
      <c r="A4" s="201" t="s">
        <v>251</v>
      </c>
      <c r="B4" s="69" t="s">
        <v>8</v>
      </c>
      <c r="C4" s="56" t="s">
        <v>8</v>
      </c>
      <c r="D4" s="56" t="s">
        <v>8</v>
      </c>
      <c r="E4" s="56" t="s">
        <v>8</v>
      </c>
      <c r="F4" s="739" t="s">
        <v>8</v>
      </c>
      <c r="G4" s="739" t="s">
        <v>8</v>
      </c>
      <c r="H4" s="365" t="s">
        <v>8</v>
      </c>
      <c r="I4" s="365" t="s">
        <v>8</v>
      </c>
      <c r="J4" s="365" t="s">
        <v>8</v>
      </c>
      <c r="K4" s="375" t="s">
        <v>58</v>
      </c>
      <c r="L4" s="541"/>
    </row>
    <row r="5" spans="1:15" ht="13.5" customHeight="1">
      <c r="A5" s="201" t="s">
        <v>252</v>
      </c>
      <c r="B5" s="69" t="s">
        <v>8</v>
      </c>
      <c r="C5" s="56" t="s">
        <v>8</v>
      </c>
      <c r="D5" s="56" t="s">
        <v>8</v>
      </c>
      <c r="E5" s="56" t="s">
        <v>8</v>
      </c>
      <c r="F5" s="739" t="s">
        <v>8</v>
      </c>
      <c r="G5" s="739" t="s">
        <v>8</v>
      </c>
      <c r="H5" s="365" t="s">
        <v>8</v>
      </c>
      <c r="I5" s="365" t="s">
        <v>8</v>
      </c>
      <c r="J5" s="365" t="s">
        <v>8</v>
      </c>
      <c r="K5" s="375" t="s">
        <v>58</v>
      </c>
      <c r="L5" s="541"/>
    </row>
    <row r="6" spans="1:15">
      <c r="A6" s="172" t="s">
        <v>144</v>
      </c>
      <c r="B6" s="35" t="s">
        <v>150</v>
      </c>
      <c r="C6" s="32" t="s">
        <v>150</v>
      </c>
      <c r="D6" s="32" t="s">
        <v>637</v>
      </c>
      <c r="E6" s="32" t="s">
        <v>150</v>
      </c>
      <c r="F6" s="911" t="s">
        <v>150</v>
      </c>
      <c r="G6" s="486" t="s">
        <v>150</v>
      </c>
      <c r="H6" s="511" t="s">
        <v>637</v>
      </c>
      <c r="I6" s="511" t="s">
        <v>637</v>
      </c>
      <c r="J6" s="511" t="s">
        <v>637</v>
      </c>
      <c r="K6" s="512" t="s">
        <v>638</v>
      </c>
      <c r="L6" s="196"/>
    </row>
    <row r="7" spans="1:15">
      <c r="A7" s="172" t="s">
        <v>145</v>
      </c>
      <c r="B7" s="35" t="s">
        <v>637</v>
      </c>
      <c r="C7" s="32" t="s">
        <v>637</v>
      </c>
      <c r="D7" s="32" t="s">
        <v>150</v>
      </c>
      <c r="E7" s="32" t="s">
        <v>637</v>
      </c>
      <c r="F7" s="911" t="s">
        <v>637</v>
      </c>
      <c r="G7" s="486" t="s">
        <v>637</v>
      </c>
      <c r="H7" s="511" t="s">
        <v>637</v>
      </c>
      <c r="I7" s="511" t="s">
        <v>637</v>
      </c>
      <c r="J7" s="433" t="s">
        <v>637</v>
      </c>
      <c r="K7" s="512" t="s">
        <v>638</v>
      </c>
      <c r="L7" s="196"/>
    </row>
    <row r="8" spans="1:15">
      <c r="A8" s="173" t="s">
        <v>165</v>
      </c>
      <c r="B8" s="51" t="s">
        <v>637</v>
      </c>
      <c r="C8" s="32" t="s">
        <v>150</v>
      </c>
      <c r="D8" s="32" t="s">
        <v>150</v>
      </c>
      <c r="E8" s="34" t="s">
        <v>637</v>
      </c>
      <c r="F8" s="911" t="s">
        <v>637</v>
      </c>
      <c r="G8" s="486" t="s">
        <v>637</v>
      </c>
      <c r="H8" s="511" t="s">
        <v>637</v>
      </c>
      <c r="I8" s="511" t="s">
        <v>637</v>
      </c>
      <c r="J8" s="433" t="s">
        <v>637</v>
      </c>
      <c r="K8" s="512" t="s">
        <v>638</v>
      </c>
      <c r="L8" s="210" t="s">
        <v>216</v>
      </c>
    </row>
    <row r="9" spans="1:15">
      <c r="A9" s="173" t="s">
        <v>148</v>
      </c>
      <c r="B9" s="35" t="s">
        <v>150</v>
      </c>
      <c r="C9" s="32" t="s">
        <v>150</v>
      </c>
      <c r="D9" s="34" t="s">
        <v>639</v>
      </c>
      <c r="E9" s="34" t="s">
        <v>639</v>
      </c>
      <c r="F9" s="911" t="s">
        <v>639</v>
      </c>
      <c r="G9" s="486" t="s">
        <v>638</v>
      </c>
      <c r="H9" s="511" t="s">
        <v>639</v>
      </c>
      <c r="I9" s="511" t="s">
        <v>639</v>
      </c>
      <c r="J9" s="433" t="s">
        <v>639</v>
      </c>
      <c r="K9" s="512" t="s">
        <v>58</v>
      </c>
      <c r="L9" s="196"/>
    </row>
    <row r="10" spans="1:15">
      <c r="A10" s="173" t="s">
        <v>146</v>
      </c>
      <c r="B10" s="35" t="s">
        <v>637</v>
      </c>
      <c r="C10" s="32" t="s">
        <v>637</v>
      </c>
      <c r="D10" s="32" t="s">
        <v>151</v>
      </c>
      <c r="E10" s="32" t="s">
        <v>637</v>
      </c>
      <c r="F10" s="911" t="s">
        <v>640</v>
      </c>
      <c r="G10" s="486" t="s">
        <v>640</v>
      </c>
      <c r="H10" s="433" t="s">
        <v>151</v>
      </c>
      <c r="I10" s="511" t="s">
        <v>637</v>
      </c>
      <c r="J10" s="433" t="s">
        <v>151</v>
      </c>
      <c r="K10" s="512" t="s">
        <v>58</v>
      </c>
      <c r="L10" s="196"/>
    </row>
    <row r="11" spans="1:15">
      <c r="A11" s="985" t="s">
        <v>1101</v>
      </c>
      <c r="B11" s="986" t="s">
        <v>58</v>
      </c>
      <c r="C11" s="987" t="s">
        <v>58</v>
      </c>
      <c r="D11" s="987" t="s">
        <v>58</v>
      </c>
      <c r="E11" s="987" t="s">
        <v>637</v>
      </c>
      <c r="F11" s="988" t="s">
        <v>638</v>
      </c>
      <c r="G11" s="988" t="s">
        <v>638</v>
      </c>
      <c r="H11" s="989" t="s">
        <v>58</v>
      </c>
      <c r="I11" s="988" t="s">
        <v>638</v>
      </c>
      <c r="J11" s="988" t="s">
        <v>58</v>
      </c>
      <c r="K11" s="990" t="s">
        <v>58</v>
      </c>
      <c r="L11" s="991" t="s">
        <v>247</v>
      </c>
    </row>
    <row r="12" spans="1:15">
      <c r="A12" s="985" t="s">
        <v>1102</v>
      </c>
      <c r="B12" s="986" t="s">
        <v>151</v>
      </c>
      <c r="C12" s="987" t="s">
        <v>151</v>
      </c>
      <c r="D12" s="987" t="s">
        <v>151</v>
      </c>
      <c r="E12" s="987" t="s">
        <v>58</v>
      </c>
      <c r="F12" s="988" t="s">
        <v>638</v>
      </c>
      <c r="G12" s="988" t="s">
        <v>638</v>
      </c>
      <c r="H12" s="989" t="s">
        <v>151</v>
      </c>
      <c r="I12" s="988" t="s">
        <v>638</v>
      </c>
      <c r="J12" s="988" t="s">
        <v>151</v>
      </c>
      <c r="K12" s="990" t="s">
        <v>58</v>
      </c>
      <c r="L12" s="991" t="s">
        <v>247</v>
      </c>
    </row>
    <row r="13" spans="1:15">
      <c r="A13" s="172" t="s">
        <v>153</v>
      </c>
      <c r="B13" s="51" t="s">
        <v>151</v>
      </c>
      <c r="C13" s="34" t="s">
        <v>151</v>
      </c>
      <c r="D13" s="34" t="s">
        <v>151</v>
      </c>
      <c r="E13" s="34" t="s">
        <v>151</v>
      </c>
      <c r="F13" s="912" t="s">
        <v>637</v>
      </c>
      <c r="G13" s="441" t="s">
        <v>637</v>
      </c>
      <c r="H13" s="416" t="s">
        <v>637</v>
      </c>
      <c r="I13" s="433" t="s">
        <v>637</v>
      </c>
      <c r="J13" s="433" t="s">
        <v>151</v>
      </c>
      <c r="K13" s="512" t="s">
        <v>58</v>
      </c>
      <c r="L13" s="196"/>
    </row>
    <row r="14" spans="1:15" ht="39">
      <c r="A14" s="201" t="s">
        <v>541</v>
      </c>
      <c r="B14" s="69" t="s">
        <v>8</v>
      </c>
      <c r="C14" s="56" t="s">
        <v>8</v>
      </c>
      <c r="D14" s="31" t="s">
        <v>540</v>
      </c>
      <c r="E14" s="31" t="s">
        <v>540</v>
      </c>
      <c r="F14" s="706" t="s">
        <v>540</v>
      </c>
      <c r="G14" s="706" t="s">
        <v>150</v>
      </c>
      <c r="H14" s="360" t="s">
        <v>540</v>
      </c>
      <c r="I14" s="360" t="s">
        <v>540</v>
      </c>
      <c r="J14" s="360" t="s">
        <v>540</v>
      </c>
      <c r="K14" s="513" t="s">
        <v>58</v>
      </c>
      <c r="L14" s="542" t="s">
        <v>542</v>
      </c>
    </row>
    <row r="15" spans="1:15">
      <c r="A15" s="172" t="s">
        <v>154</v>
      </c>
      <c r="B15" s="51" t="s">
        <v>158</v>
      </c>
      <c r="C15" s="34" t="s">
        <v>158</v>
      </c>
      <c r="D15" s="34" t="s">
        <v>158</v>
      </c>
      <c r="E15" s="34" t="s">
        <v>158</v>
      </c>
      <c r="F15" s="912" t="s">
        <v>637</v>
      </c>
      <c r="G15" s="441" t="s">
        <v>637</v>
      </c>
      <c r="H15" s="434" t="s">
        <v>158</v>
      </c>
      <c r="I15" s="433" t="s">
        <v>158</v>
      </c>
      <c r="J15" s="433" t="s">
        <v>637</v>
      </c>
      <c r="K15" s="512" t="s">
        <v>58</v>
      </c>
      <c r="L15" s="210" t="s">
        <v>250</v>
      </c>
    </row>
    <row r="16" spans="1:15">
      <c r="A16" s="172" t="s">
        <v>155</v>
      </c>
      <c r="B16" s="51" t="s">
        <v>159</v>
      </c>
      <c r="C16" s="34" t="s">
        <v>159</v>
      </c>
      <c r="D16" s="34" t="s">
        <v>159</v>
      </c>
      <c r="E16" s="34" t="s">
        <v>159</v>
      </c>
      <c r="F16" s="912" t="s">
        <v>637</v>
      </c>
      <c r="G16" s="441" t="s">
        <v>637</v>
      </c>
      <c r="H16" s="434" t="s">
        <v>159</v>
      </c>
      <c r="I16" s="433" t="s">
        <v>159</v>
      </c>
      <c r="J16" s="433" t="s">
        <v>637</v>
      </c>
      <c r="K16" s="512" t="s">
        <v>58</v>
      </c>
      <c r="L16" s="196"/>
    </row>
    <row r="17" spans="1:12">
      <c r="A17" s="174" t="s">
        <v>543</v>
      </c>
      <c r="B17" s="69" t="s">
        <v>8</v>
      </c>
      <c r="C17" s="56" t="s">
        <v>8</v>
      </c>
      <c r="D17" s="31" t="s">
        <v>8</v>
      </c>
      <c r="E17" s="31" t="s">
        <v>8</v>
      </c>
      <c r="F17" s="706" t="s">
        <v>8</v>
      </c>
      <c r="G17" s="706" t="s">
        <v>8</v>
      </c>
      <c r="H17" s="360" t="s">
        <v>8</v>
      </c>
      <c r="I17" s="360" t="s">
        <v>544</v>
      </c>
      <c r="J17" s="360" t="s">
        <v>544</v>
      </c>
      <c r="K17" s="513" t="s">
        <v>58</v>
      </c>
      <c r="L17" s="381"/>
    </row>
    <row r="18" spans="1:12" ht="27">
      <c r="A18" s="174" t="s">
        <v>545</v>
      </c>
      <c r="B18" s="69" t="s">
        <v>8</v>
      </c>
      <c r="C18" s="56" t="s">
        <v>8</v>
      </c>
      <c r="D18" s="31" t="s">
        <v>8</v>
      </c>
      <c r="E18" s="31" t="s">
        <v>8</v>
      </c>
      <c r="F18" s="706" t="s">
        <v>8</v>
      </c>
      <c r="G18" s="706" t="s">
        <v>8</v>
      </c>
      <c r="H18" s="360" t="s">
        <v>8</v>
      </c>
      <c r="I18" s="360" t="s">
        <v>544</v>
      </c>
      <c r="J18" s="360" t="s">
        <v>544</v>
      </c>
      <c r="K18" s="513" t="s">
        <v>58</v>
      </c>
      <c r="L18" s="1024" t="s">
        <v>1125</v>
      </c>
    </row>
    <row r="19" spans="1:12">
      <c r="A19" s="443" t="s">
        <v>156</v>
      </c>
      <c r="B19" s="51" t="s">
        <v>58</v>
      </c>
      <c r="C19" s="34" t="s">
        <v>58</v>
      </c>
      <c r="D19" s="34" t="s">
        <v>58</v>
      </c>
      <c r="E19" s="34" t="s">
        <v>58</v>
      </c>
      <c r="F19" s="912" t="s">
        <v>58</v>
      </c>
      <c r="G19" s="441" t="s">
        <v>58</v>
      </c>
      <c r="H19" s="442" t="s">
        <v>58</v>
      </c>
      <c r="I19" s="441" t="s">
        <v>58</v>
      </c>
      <c r="J19" s="441" t="s">
        <v>58</v>
      </c>
      <c r="K19" s="487" t="s">
        <v>639</v>
      </c>
      <c r="L19" s="196" t="s">
        <v>582</v>
      </c>
    </row>
    <row r="20" spans="1:12">
      <c r="A20" s="444" t="s">
        <v>581</v>
      </c>
      <c r="B20" s="51" t="s">
        <v>58</v>
      </c>
      <c r="C20" s="34" t="s">
        <v>58</v>
      </c>
      <c r="D20" s="34" t="s">
        <v>58</v>
      </c>
      <c r="E20" s="34" t="s">
        <v>58</v>
      </c>
      <c r="F20" s="912" t="s">
        <v>58</v>
      </c>
      <c r="G20" s="441" t="s">
        <v>58</v>
      </c>
      <c r="H20" s="442" t="s">
        <v>639</v>
      </c>
      <c r="I20" s="441" t="s">
        <v>639</v>
      </c>
      <c r="J20" s="441" t="s">
        <v>58</v>
      </c>
      <c r="K20" s="487" t="s">
        <v>58</v>
      </c>
      <c r="L20" s="196" t="s">
        <v>583</v>
      </c>
    </row>
    <row r="21" spans="1:12" ht="14.25" thickBot="1">
      <c r="A21" s="175" t="s">
        <v>157</v>
      </c>
      <c r="B21" s="176" t="s">
        <v>151</v>
      </c>
      <c r="C21" s="177" t="s">
        <v>151</v>
      </c>
      <c r="D21" s="177" t="s">
        <v>151</v>
      </c>
      <c r="E21" s="177" t="s">
        <v>151</v>
      </c>
      <c r="F21" s="878" t="s">
        <v>151</v>
      </c>
      <c r="G21" s="878" t="s">
        <v>150</v>
      </c>
      <c r="H21" s="367" t="s">
        <v>151</v>
      </c>
      <c r="I21" s="368" t="s">
        <v>151</v>
      </c>
      <c r="J21" s="368" t="s">
        <v>151</v>
      </c>
      <c r="K21" s="514" t="s">
        <v>58</v>
      </c>
      <c r="L21" s="543"/>
    </row>
    <row r="22" spans="1:12" ht="117" customHeight="1" thickTop="1" thickBot="1">
      <c r="A22" s="178" t="s">
        <v>13</v>
      </c>
      <c r="B22" s="332" t="s">
        <v>536</v>
      </c>
      <c r="C22" s="179"/>
      <c r="D22" s="179"/>
      <c r="E22" s="179"/>
      <c r="F22" s="913" t="s">
        <v>520</v>
      </c>
      <c r="G22" s="314" t="s">
        <v>520</v>
      </c>
      <c r="H22" s="435"/>
      <c r="I22" s="435"/>
      <c r="J22" s="436" t="s">
        <v>314</v>
      </c>
      <c r="K22" s="437" t="s">
        <v>572</v>
      </c>
      <c r="L22" s="544" t="s">
        <v>315</v>
      </c>
    </row>
    <row r="51" spans="2:2">
      <c r="B51" s="535"/>
    </row>
  </sheetData>
  <mergeCells count="1">
    <mergeCell ref="H1:K1"/>
  </mergeCells>
  <phoneticPr fontId="2"/>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&amp;C&amp;9表A-5 排出先機能</oddHeader>
    <oddFooter>&amp;L&amp;9I.I IOT Device Functions&amp;C&amp;9&amp;P/&amp;N-1&amp;R&amp;9DDF-IOT-BotanPlus-Hisui-Apx-K1.0.8.xlsm</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R16"/>
  <sheetViews>
    <sheetView showGridLines="0" zoomScale="85" zoomScaleNormal="85" workbookViewId="0">
      <selection activeCell="AA91" sqref="AA91"/>
    </sheetView>
  </sheetViews>
  <sheetFormatPr defaultColWidth="9.140625" defaultRowHeight="13.5"/>
  <cols>
    <col min="1" max="1" width="15.42578125" style="1" customWidth="1"/>
    <col min="2" max="2" width="13.140625" style="1" customWidth="1"/>
    <col min="3" max="3" width="21.5703125" style="1" customWidth="1"/>
    <col min="4" max="6" width="11.7109375" style="1" customWidth="1"/>
    <col min="7" max="7" width="9.140625" style="1"/>
    <col min="8" max="8" width="31" style="1" customWidth="1"/>
    <col min="9" max="9" width="4" style="1" customWidth="1"/>
    <col min="10" max="10" width="16.85546875" style="1" customWidth="1"/>
    <col min="11" max="14" width="9.5703125" style="1" customWidth="1"/>
    <col min="15" max="16384" width="9.140625" style="1"/>
  </cols>
  <sheetData>
    <row r="1" spans="1:18">
      <c r="A1" s="1245" t="s">
        <v>964</v>
      </c>
      <c r="B1" s="1247" t="s">
        <v>965</v>
      </c>
      <c r="C1" s="1256" t="s">
        <v>966</v>
      </c>
      <c r="D1" s="1257"/>
      <c r="E1" s="1257"/>
      <c r="F1" s="1257"/>
      <c r="G1" s="1258"/>
      <c r="H1" s="716" t="s">
        <v>967</v>
      </c>
    </row>
    <row r="2" spans="1:18" ht="24.75" thickBot="1">
      <c r="A2" s="1246"/>
      <c r="B2" s="1248"/>
      <c r="C2" s="717" t="s">
        <v>968</v>
      </c>
      <c r="D2" s="718" t="s">
        <v>953</v>
      </c>
      <c r="E2" s="718" t="s">
        <v>959</v>
      </c>
      <c r="F2" s="718" t="s">
        <v>960</v>
      </c>
      <c r="G2" s="719" t="s">
        <v>954</v>
      </c>
      <c r="H2" s="720"/>
      <c r="J2" s="721" t="s">
        <v>969</v>
      </c>
      <c r="K2" s="722"/>
      <c r="L2" s="722"/>
      <c r="M2" s="722"/>
      <c r="N2" s="722"/>
      <c r="O2" s="722"/>
      <c r="P2" s="722"/>
      <c r="Q2" s="722"/>
      <c r="R2" s="722"/>
    </row>
    <row r="3" spans="1:18" ht="23.25" thickBot="1">
      <c r="A3" s="723"/>
      <c r="B3" s="724" t="s">
        <v>58</v>
      </c>
      <c r="C3" s="725" t="s">
        <v>61</v>
      </c>
      <c r="D3" s="725" t="s">
        <v>61</v>
      </c>
      <c r="E3" s="725" t="s">
        <v>61</v>
      </c>
      <c r="F3" s="725" t="s">
        <v>61</v>
      </c>
      <c r="G3" s="726" t="s">
        <v>61</v>
      </c>
      <c r="H3" s="727" t="s">
        <v>970</v>
      </c>
      <c r="J3" s="1249" t="s">
        <v>971</v>
      </c>
      <c r="K3" s="1249"/>
      <c r="L3" s="1249"/>
      <c r="M3" s="1249"/>
      <c r="N3" s="1249"/>
      <c r="O3" s="1249" t="s">
        <v>972</v>
      </c>
      <c r="P3" s="1249"/>
      <c r="Q3" s="1249"/>
      <c r="R3" s="1249"/>
    </row>
    <row r="4" spans="1:18" ht="25.5" thickTop="1" thickBot="1">
      <c r="A4" s="728" t="s">
        <v>973</v>
      </c>
      <c r="B4" s="729"/>
      <c r="C4" s="730" t="s">
        <v>974</v>
      </c>
      <c r="D4" s="731"/>
      <c r="E4" s="732"/>
      <c r="F4" s="732"/>
      <c r="G4" s="733"/>
      <c r="H4" s="734"/>
      <c r="J4" s="1253" t="s">
        <v>955</v>
      </c>
      <c r="K4" s="1250" t="s">
        <v>956</v>
      </c>
      <c r="L4" s="1251"/>
      <c r="M4" s="1252"/>
      <c r="N4" s="1253" t="s">
        <v>957</v>
      </c>
      <c r="O4" s="1249" t="s">
        <v>975</v>
      </c>
      <c r="P4" s="1249"/>
      <c r="Q4" s="1249"/>
      <c r="R4" s="1249" t="s">
        <v>976</v>
      </c>
    </row>
    <row r="5" spans="1:18" ht="14.25" thickBot="1">
      <c r="J5" s="1254"/>
      <c r="K5" s="886" t="s">
        <v>958</v>
      </c>
      <c r="L5" s="886" t="s">
        <v>961</v>
      </c>
      <c r="M5" s="886" t="s">
        <v>960</v>
      </c>
      <c r="N5" s="1254"/>
      <c r="O5" s="1255"/>
      <c r="P5" s="1255"/>
      <c r="Q5" s="1255"/>
      <c r="R5" s="1255"/>
    </row>
    <row r="6" spans="1:18" ht="14.25" thickTop="1">
      <c r="J6" s="735" t="s">
        <v>61</v>
      </c>
      <c r="K6" s="735" t="s">
        <v>977</v>
      </c>
      <c r="L6" s="735"/>
      <c r="M6" s="735"/>
      <c r="N6" s="736" t="s">
        <v>61</v>
      </c>
      <c r="O6" s="735" t="s">
        <v>61</v>
      </c>
      <c r="P6" s="735" t="s">
        <v>61</v>
      </c>
      <c r="Q6" s="735" t="s">
        <v>61</v>
      </c>
      <c r="R6" s="735" t="s">
        <v>61</v>
      </c>
    </row>
    <row r="7" spans="1:18">
      <c r="J7" s="736">
        <v>1</v>
      </c>
      <c r="K7" s="737" t="s">
        <v>978</v>
      </c>
      <c r="L7" s="737"/>
      <c r="M7" s="737"/>
      <c r="N7" s="736" t="s">
        <v>61</v>
      </c>
      <c r="O7" s="736" t="s">
        <v>61</v>
      </c>
      <c r="P7" s="736" t="s">
        <v>61</v>
      </c>
      <c r="Q7" s="736" t="s">
        <v>61</v>
      </c>
      <c r="R7" s="736" t="s">
        <v>61</v>
      </c>
    </row>
    <row r="8" spans="1:18">
      <c r="J8" s="736">
        <v>2</v>
      </c>
      <c r="K8" s="736" t="s">
        <v>979</v>
      </c>
      <c r="L8" s="736"/>
      <c r="M8" s="736"/>
      <c r="N8" s="736" t="s">
        <v>61</v>
      </c>
      <c r="O8" s="736" t="s">
        <v>61</v>
      </c>
      <c r="P8" s="736" t="s">
        <v>61</v>
      </c>
      <c r="Q8" s="736" t="s">
        <v>61</v>
      </c>
      <c r="R8" s="736" t="s">
        <v>61</v>
      </c>
    </row>
    <row r="9" spans="1:18">
      <c r="J9" s="736">
        <v>3</v>
      </c>
      <c r="K9" s="736" t="s">
        <v>980</v>
      </c>
      <c r="L9" s="736"/>
      <c r="M9" s="736"/>
      <c r="N9" s="736" t="s">
        <v>61</v>
      </c>
      <c r="O9" s="736" t="s">
        <v>61</v>
      </c>
      <c r="P9" s="736" t="s">
        <v>61</v>
      </c>
      <c r="Q9" s="736" t="s">
        <v>61</v>
      </c>
      <c r="R9" s="736" t="s">
        <v>61</v>
      </c>
    </row>
    <row r="10" spans="1:18">
      <c r="J10" s="737">
        <v>4</v>
      </c>
      <c r="K10" s="737" t="s">
        <v>981</v>
      </c>
      <c r="L10" s="737"/>
      <c r="M10" s="737"/>
      <c r="N10" s="736" t="s">
        <v>61</v>
      </c>
      <c r="O10" s="736" t="s">
        <v>61</v>
      </c>
      <c r="P10" s="736" t="s">
        <v>61</v>
      </c>
      <c r="Q10" s="736" t="s">
        <v>61</v>
      </c>
      <c r="R10" s="736" t="s">
        <v>61</v>
      </c>
    </row>
    <row r="11" spans="1:18">
      <c r="J11" s="736">
        <v>5</v>
      </c>
      <c r="K11" s="736" t="s">
        <v>982</v>
      </c>
      <c r="L11" s="736"/>
      <c r="M11" s="736"/>
      <c r="N11" s="736" t="s">
        <v>61</v>
      </c>
      <c r="O11" s="736" t="s">
        <v>61</v>
      </c>
      <c r="P11" s="736" t="s">
        <v>61</v>
      </c>
      <c r="Q11" s="736" t="s">
        <v>61</v>
      </c>
      <c r="R11" s="736" t="s">
        <v>61</v>
      </c>
    </row>
    <row r="12" spans="1:18">
      <c r="J12" s="736">
        <v>6</v>
      </c>
      <c r="K12" s="736" t="s">
        <v>983</v>
      </c>
      <c r="L12" s="736"/>
      <c r="M12" s="736"/>
      <c r="N12" s="736" t="s">
        <v>61</v>
      </c>
      <c r="O12" s="736" t="s">
        <v>61</v>
      </c>
      <c r="P12" s="736" t="s">
        <v>61</v>
      </c>
      <c r="Q12" s="736" t="s">
        <v>61</v>
      </c>
      <c r="R12" s="736" t="s">
        <v>61</v>
      </c>
    </row>
    <row r="13" spans="1:18">
      <c r="J13" s="736">
        <v>7</v>
      </c>
      <c r="K13" s="736" t="s">
        <v>984</v>
      </c>
      <c r="L13" s="736"/>
      <c r="M13" s="736"/>
      <c r="N13" s="736" t="s">
        <v>61</v>
      </c>
      <c r="O13" s="736" t="s">
        <v>61</v>
      </c>
      <c r="P13" s="736" t="s">
        <v>61</v>
      </c>
      <c r="Q13" s="736" t="s">
        <v>61</v>
      </c>
      <c r="R13" s="736" t="s">
        <v>61</v>
      </c>
    </row>
    <row r="14" spans="1:18">
      <c r="J14" s="736">
        <v>8</v>
      </c>
      <c r="K14" s="736" t="s">
        <v>985</v>
      </c>
      <c r="L14" s="736"/>
      <c r="M14" s="736"/>
      <c r="N14" s="736" t="s">
        <v>61</v>
      </c>
      <c r="O14" s="736" t="s">
        <v>61</v>
      </c>
      <c r="P14" s="736" t="s">
        <v>61</v>
      </c>
      <c r="Q14" s="736" t="s">
        <v>61</v>
      </c>
      <c r="R14" s="736" t="s">
        <v>61</v>
      </c>
    </row>
    <row r="15" spans="1:18">
      <c r="J15" s="736">
        <v>9</v>
      </c>
      <c r="K15" s="736" t="s">
        <v>986</v>
      </c>
      <c r="L15" s="736"/>
      <c r="M15" s="736"/>
      <c r="N15" s="736" t="s">
        <v>61</v>
      </c>
      <c r="O15" s="736" t="s">
        <v>61</v>
      </c>
      <c r="P15" s="736" t="s">
        <v>61</v>
      </c>
      <c r="Q15" s="736" t="s">
        <v>61</v>
      </c>
      <c r="R15" s="736" t="s">
        <v>61</v>
      </c>
    </row>
    <row r="16" spans="1:18">
      <c r="J16" s="736">
        <v>10</v>
      </c>
      <c r="K16" s="736" t="s">
        <v>987</v>
      </c>
      <c r="L16" s="736"/>
      <c r="M16" s="736"/>
      <c r="N16" s="736" t="s">
        <v>61</v>
      </c>
      <c r="O16" s="736" t="s">
        <v>61</v>
      </c>
      <c r="P16" s="736" t="s">
        <v>61</v>
      </c>
      <c r="Q16" s="736" t="s">
        <v>61</v>
      </c>
      <c r="R16" s="736" t="s">
        <v>61</v>
      </c>
    </row>
  </sheetData>
  <mergeCells count="10">
    <mergeCell ref="A1:A2"/>
    <mergeCell ref="B1:B2"/>
    <mergeCell ref="J3:N3"/>
    <mergeCell ref="O3:R3"/>
    <mergeCell ref="K4:M4"/>
    <mergeCell ref="J4:J5"/>
    <mergeCell ref="N4:N5"/>
    <mergeCell ref="O4:Q5"/>
    <mergeCell ref="R4:R5"/>
    <mergeCell ref="C1:G1"/>
  </mergeCells>
  <phoneticPr fontId="2"/>
  <dataValidations disablePrompts="1" count="1">
    <dataValidation type="list" allowBlank="1" showInputMessage="1" showErrorMessage="1" sqref="B3" xr:uid="{00000000-0002-0000-0600-000000000000}">
      <formula1>"コート,非コート,×"</formula1>
    </dataValidation>
  </dataValidations>
  <pageMargins left="0.39370078740157477" right="0.39370078740157477" top="0.39370078740157477" bottom="0.39370078740157477" header="0.11811023622047243" footer="0.11811023622047243"/>
  <pageSetup paperSize="9" scale="60" orientation="portrait" r:id="rId1"/>
  <headerFooter>
    <oddHeader>&amp;C&amp;9表A-6 坪量クラス分類</oddHeader>
    <oddFooter>&amp;L&amp;9I.I IOT Device Functions&amp;C&amp;9&amp;P/&amp;N-1&amp;R&amp;9DDF-IOT-BotanPlus-Hisui-Apx-K1.0.8.xlsm</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F6"/>
  <sheetViews>
    <sheetView showGridLines="0" zoomScale="85" zoomScaleNormal="85" workbookViewId="0">
      <selection activeCell="F20" sqref="F20"/>
    </sheetView>
  </sheetViews>
  <sheetFormatPr defaultColWidth="9.140625" defaultRowHeight="13.5"/>
  <cols>
    <col min="1" max="1" width="13" style="14" customWidth="1"/>
    <col min="2" max="2" width="17.42578125" style="11" bestFit="1" customWidth="1"/>
    <col min="3" max="3" width="10.42578125" style="11" customWidth="1"/>
    <col min="4" max="4" width="12.5703125" style="11" customWidth="1"/>
    <col min="5" max="5" width="22" style="9" customWidth="1"/>
    <col min="6" max="6" width="105.5703125" style="11" customWidth="1"/>
    <col min="7" max="16384" width="9.140625" style="11"/>
  </cols>
  <sheetData>
    <row r="1" spans="1:6" ht="14.25" thickBot="1">
      <c r="A1" s="139" t="s">
        <v>24</v>
      </c>
      <c r="B1" s="140" t="s">
        <v>27</v>
      </c>
      <c r="C1" s="140" t="s">
        <v>25</v>
      </c>
      <c r="D1" s="971" t="s">
        <v>1075</v>
      </c>
      <c r="E1" s="140" t="s">
        <v>147</v>
      </c>
      <c r="F1" s="141" t="s">
        <v>26</v>
      </c>
    </row>
    <row r="2" spans="1:6" s="359" customFormat="1">
      <c r="A2" s="671">
        <v>43913</v>
      </c>
      <c r="B2" s="671" t="s">
        <v>1064</v>
      </c>
      <c r="C2" s="671" t="s">
        <v>533</v>
      </c>
      <c r="D2" s="671" t="s">
        <v>61</v>
      </c>
      <c r="E2" s="938" t="s">
        <v>567</v>
      </c>
      <c r="F2" s="939" t="s">
        <v>1118</v>
      </c>
    </row>
    <row r="3" spans="1:6" s="359" customFormat="1">
      <c r="A3" s="438"/>
      <c r="B3" s="438"/>
      <c r="C3" s="438"/>
      <c r="D3" s="438"/>
      <c r="E3" s="356"/>
      <c r="F3" s="455"/>
    </row>
    <row r="4" spans="1:6" s="359" customFormat="1">
      <c r="A4" s="438"/>
      <c r="B4" s="438"/>
      <c r="C4" s="438"/>
      <c r="D4" s="438"/>
      <c r="E4" s="356"/>
      <c r="F4" s="455"/>
    </row>
    <row r="5" spans="1:6" s="359" customFormat="1">
      <c r="A5" s="438"/>
      <c r="B5" s="438"/>
      <c r="C5" s="438"/>
      <c r="D5" s="438"/>
      <c r="E5" s="356"/>
      <c r="F5" s="455"/>
    </row>
    <row r="6" spans="1:6">
      <c r="B6" s="359"/>
    </row>
  </sheetData>
  <phoneticPr fontId="2"/>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&amp;C&amp;9表A-7 変更履歴</oddHeader>
    <oddFooter>&amp;L&amp;9I.I IOT Device Functions&amp;C&amp;9&amp;P/&amp;N-1&amp;R&amp;9DDF-IOT-BotanPlus-Hisui-Apx-K1.0.8.xlsm</oddFooter>
  </headerFooter>
  <colBreaks count="1" manualBreakCount="1">
    <brk id="7" max="18" man="1"/>
  </colBreak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19"/>
  <sheetViews>
    <sheetView showGridLines="0" zoomScale="90" zoomScaleNormal="90" workbookViewId="0">
      <selection activeCell="E36" sqref="E36"/>
    </sheetView>
  </sheetViews>
  <sheetFormatPr defaultColWidth="9.140625" defaultRowHeight="13.5"/>
  <cols>
    <col min="1" max="1" width="24.42578125" style="1" customWidth="1"/>
    <col min="2" max="2" width="25.5703125" style="1" customWidth="1"/>
    <col min="3" max="4" width="9.140625" style="1"/>
    <col min="5" max="5" width="32.85546875" style="1" customWidth="1"/>
    <col min="6" max="6" width="24.85546875" style="1" customWidth="1"/>
    <col min="7" max="16384" width="9.140625" style="1"/>
  </cols>
  <sheetData>
    <row r="1" spans="1:9">
      <c r="A1" s="180" t="s">
        <v>138</v>
      </c>
      <c r="B1" s="10" t="s">
        <v>316</v>
      </c>
      <c r="E1" s="181" t="s">
        <v>23</v>
      </c>
      <c r="F1" s="10" t="s">
        <v>316</v>
      </c>
      <c r="H1" s="180" t="s">
        <v>64</v>
      </c>
      <c r="I1" s="10" t="s">
        <v>317</v>
      </c>
    </row>
    <row r="2" spans="1:9">
      <c r="A2" s="182" t="s">
        <v>28</v>
      </c>
      <c r="B2" s="6" t="s">
        <v>29</v>
      </c>
      <c r="E2" s="7" t="s">
        <v>318</v>
      </c>
      <c r="F2" s="4" t="s">
        <v>318</v>
      </c>
      <c r="H2" s="4" t="s">
        <v>319</v>
      </c>
      <c r="I2" s="4" t="s">
        <v>319</v>
      </c>
    </row>
    <row r="3" spans="1:9">
      <c r="A3" s="182" t="s">
        <v>21</v>
      </c>
      <c r="B3" s="6" t="s">
        <v>30</v>
      </c>
      <c r="E3" s="7" t="s">
        <v>320</v>
      </c>
      <c r="F3" s="4" t="s">
        <v>320</v>
      </c>
      <c r="H3" s="4" t="s">
        <v>321</v>
      </c>
      <c r="I3" s="4" t="s">
        <v>321</v>
      </c>
    </row>
    <row r="4" spans="1:9">
      <c r="A4" s="182" t="s">
        <v>322</v>
      </c>
      <c r="B4" s="6" t="s">
        <v>37</v>
      </c>
      <c r="E4" s="7" t="s">
        <v>323</v>
      </c>
      <c r="F4" s="4" t="s">
        <v>323</v>
      </c>
    </row>
    <row r="5" spans="1:9">
      <c r="A5" s="182" t="s">
        <v>22</v>
      </c>
      <c r="B5" s="6" t="s">
        <v>324</v>
      </c>
      <c r="E5" s="7" t="s">
        <v>325</v>
      </c>
      <c r="F5" s="4" t="s">
        <v>325</v>
      </c>
    </row>
    <row r="6" spans="1:9">
      <c r="A6" s="182" t="s">
        <v>326</v>
      </c>
      <c r="B6" s="6" t="s">
        <v>31</v>
      </c>
      <c r="E6" s="7" t="s">
        <v>327</v>
      </c>
      <c r="F6" s="4" t="s">
        <v>328</v>
      </c>
    </row>
    <row r="7" spans="1:9">
      <c r="A7" s="182" t="s">
        <v>329</v>
      </c>
      <c r="B7" s="6" t="s">
        <v>32</v>
      </c>
      <c r="E7" s="7" t="s">
        <v>16</v>
      </c>
      <c r="F7" s="4" t="s">
        <v>330</v>
      </c>
    </row>
    <row r="8" spans="1:9">
      <c r="A8" s="182" t="s">
        <v>331</v>
      </c>
      <c r="B8" s="6" t="s">
        <v>33</v>
      </c>
      <c r="E8" s="7" t="s">
        <v>17</v>
      </c>
      <c r="F8" s="4" t="s">
        <v>332</v>
      </c>
    </row>
    <row r="9" spans="1:9">
      <c r="A9" s="182" t="s">
        <v>333</v>
      </c>
      <c r="B9" s="6" t="s">
        <v>34</v>
      </c>
      <c r="E9" s="7" t="s">
        <v>110</v>
      </c>
      <c r="F9" s="4" t="s">
        <v>334</v>
      </c>
    </row>
    <row r="10" spans="1:9">
      <c r="A10" s="182" t="s">
        <v>335</v>
      </c>
      <c r="B10" s="6" t="s">
        <v>35</v>
      </c>
      <c r="E10" s="7" t="s">
        <v>111</v>
      </c>
      <c r="F10" s="4" t="s">
        <v>336</v>
      </c>
    </row>
    <row r="11" spans="1:9">
      <c r="A11" s="384" t="s">
        <v>576</v>
      </c>
      <c r="B11" s="6" t="s">
        <v>36</v>
      </c>
      <c r="E11" s="7" t="s">
        <v>112</v>
      </c>
      <c r="F11" s="4" t="s">
        <v>337</v>
      </c>
    </row>
    <row r="12" spans="1:9">
      <c r="A12" s="182" t="s">
        <v>488</v>
      </c>
      <c r="B12" s="6" t="s">
        <v>338</v>
      </c>
      <c r="E12" s="7" t="s">
        <v>113</v>
      </c>
      <c r="F12" s="4" t="s">
        <v>339</v>
      </c>
    </row>
    <row r="13" spans="1:9">
      <c r="A13" s="182" t="s">
        <v>489</v>
      </c>
      <c r="B13" s="6" t="s">
        <v>340</v>
      </c>
      <c r="E13" s="7" t="s">
        <v>114</v>
      </c>
      <c r="F13" s="4" t="s">
        <v>341</v>
      </c>
    </row>
    <row r="14" spans="1:9">
      <c r="A14" s="182" t="s">
        <v>490</v>
      </c>
      <c r="B14" s="6" t="s">
        <v>342</v>
      </c>
      <c r="E14" s="7" t="s">
        <v>115</v>
      </c>
      <c r="F14" s="4" t="s">
        <v>343</v>
      </c>
    </row>
    <row r="15" spans="1:9">
      <c r="A15" s="182" t="s">
        <v>90</v>
      </c>
      <c r="B15" s="6" t="s">
        <v>38</v>
      </c>
      <c r="E15" s="7" t="s">
        <v>344</v>
      </c>
      <c r="F15" s="4" t="s">
        <v>345</v>
      </c>
    </row>
    <row r="16" spans="1:9">
      <c r="A16" s="182" t="s">
        <v>50</v>
      </c>
      <c r="B16" s="6" t="s">
        <v>40</v>
      </c>
      <c r="E16" s="7" t="s">
        <v>116</v>
      </c>
      <c r="F16" s="4" t="s">
        <v>346</v>
      </c>
    </row>
    <row r="17" spans="1:6">
      <c r="A17" s="182" t="s">
        <v>347</v>
      </c>
      <c r="B17" s="6" t="s">
        <v>42</v>
      </c>
      <c r="E17" s="7" t="s">
        <v>117</v>
      </c>
      <c r="F17" s="4" t="s">
        <v>348</v>
      </c>
    </row>
    <row r="18" spans="1:6">
      <c r="A18" s="182" t="s">
        <v>349</v>
      </c>
      <c r="B18" s="6" t="s">
        <v>46</v>
      </c>
      <c r="E18" s="7" t="s">
        <v>118</v>
      </c>
      <c r="F18" s="4" t="s">
        <v>350</v>
      </c>
    </row>
    <row r="19" spans="1:6">
      <c r="A19" s="182" t="s">
        <v>351</v>
      </c>
      <c r="B19" s="6" t="s">
        <v>352</v>
      </c>
      <c r="E19" s="7" t="s">
        <v>353</v>
      </c>
      <c r="F19" s="4" t="s">
        <v>354</v>
      </c>
    </row>
    <row r="20" spans="1:6">
      <c r="A20" s="182" t="s">
        <v>55</v>
      </c>
      <c r="B20" s="6" t="s">
        <v>41</v>
      </c>
      <c r="E20" s="7" t="s">
        <v>355</v>
      </c>
      <c r="F20" s="4" t="s">
        <v>356</v>
      </c>
    </row>
    <row r="21" spans="1:6">
      <c r="A21" s="182" t="s">
        <v>91</v>
      </c>
      <c r="B21" s="6" t="s">
        <v>47</v>
      </c>
      <c r="E21" s="7" t="s">
        <v>357</v>
      </c>
      <c r="F21" s="7" t="s">
        <v>358</v>
      </c>
    </row>
    <row r="22" spans="1:6">
      <c r="A22" s="182" t="s">
        <v>217</v>
      </c>
      <c r="B22" s="6" t="s">
        <v>218</v>
      </c>
      <c r="E22" s="7" t="s">
        <v>359</v>
      </c>
      <c r="F22" s="7" t="s">
        <v>360</v>
      </c>
    </row>
    <row r="23" spans="1:6">
      <c r="A23" s="182" t="s">
        <v>491</v>
      </c>
      <c r="B23" s="6" t="s">
        <v>219</v>
      </c>
      <c r="E23" s="184" t="s">
        <v>129</v>
      </c>
      <c r="F23" s="7" t="s">
        <v>361</v>
      </c>
    </row>
    <row r="24" spans="1:6">
      <c r="A24" s="182" t="s">
        <v>220</v>
      </c>
      <c r="B24" s="6" t="s">
        <v>221</v>
      </c>
      <c r="E24" s="7" t="s">
        <v>362</v>
      </c>
      <c r="F24" s="7" t="s">
        <v>363</v>
      </c>
    </row>
    <row r="25" spans="1:6">
      <c r="A25" s="182" t="s">
        <v>492</v>
      </c>
      <c r="B25" s="6" t="s">
        <v>222</v>
      </c>
      <c r="E25" s="183" t="s">
        <v>130</v>
      </c>
      <c r="F25" s="13" t="s">
        <v>364</v>
      </c>
    </row>
    <row r="26" spans="1:6">
      <c r="A26" s="182" t="s">
        <v>493</v>
      </c>
      <c r="B26" s="6" t="s">
        <v>365</v>
      </c>
      <c r="E26" s="7" t="s">
        <v>119</v>
      </c>
      <c r="F26" s="4" t="s">
        <v>366</v>
      </c>
    </row>
    <row r="27" spans="1:6">
      <c r="A27" s="182" t="s">
        <v>549</v>
      </c>
      <c r="B27" s="6" t="s">
        <v>367</v>
      </c>
      <c r="E27" s="7" t="s">
        <v>368</v>
      </c>
      <c r="F27" s="3" t="s">
        <v>369</v>
      </c>
    </row>
    <row r="28" spans="1:6">
      <c r="A28" s="185" t="s">
        <v>539</v>
      </c>
      <c r="B28" s="12" t="s">
        <v>384</v>
      </c>
      <c r="E28" s="7" t="s">
        <v>120</v>
      </c>
      <c r="F28" s="7" t="s">
        <v>370</v>
      </c>
    </row>
    <row r="29" spans="1:6">
      <c r="A29" s="182" t="s">
        <v>51</v>
      </c>
      <c r="B29" s="6" t="s">
        <v>43</v>
      </c>
      <c r="E29" s="7" t="s">
        <v>121</v>
      </c>
      <c r="F29" s="4" t="s">
        <v>373</v>
      </c>
    </row>
    <row r="30" spans="1:6">
      <c r="A30" s="182" t="s">
        <v>371</v>
      </c>
      <c r="B30" s="6" t="s">
        <v>372</v>
      </c>
      <c r="E30" s="7" t="s">
        <v>122</v>
      </c>
      <c r="F30" s="4" t="s">
        <v>374</v>
      </c>
    </row>
    <row r="31" spans="1:6">
      <c r="A31" s="182" t="s">
        <v>100</v>
      </c>
      <c r="B31" s="6" t="s">
        <v>48</v>
      </c>
      <c r="E31" s="7" t="s">
        <v>123</v>
      </c>
      <c r="F31" s="4" t="s">
        <v>375</v>
      </c>
    </row>
    <row r="32" spans="1:6">
      <c r="A32" s="182" t="s">
        <v>52</v>
      </c>
      <c r="B32" s="6" t="s">
        <v>44</v>
      </c>
      <c r="E32" s="184" t="s">
        <v>376</v>
      </c>
      <c r="F32" s="4" t="s">
        <v>377</v>
      </c>
    </row>
    <row r="33" spans="1:6">
      <c r="A33" s="182" t="s">
        <v>101</v>
      </c>
      <c r="B33" s="6" t="s">
        <v>49</v>
      </c>
      <c r="E33" s="184" t="s">
        <v>378</v>
      </c>
      <c r="F33" s="4" t="s">
        <v>379</v>
      </c>
    </row>
    <row r="34" spans="1:6">
      <c r="A34" s="182" t="s">
        <v>241</v>
      </c>
      <c r="B34" s="6" t="s">
        <v>294</v>
      </c>
      <c r="E34" s="184" t="s">
        <v>380</v>
      </c>
      <c r="F34" s="4" t="s">
        <v>381</v>
      </c>
    </row>
    <row r="35" spans="1:6">
      <c r="A35" s="182" t="s">
        <v>242</v>
      </c>
      <c r="B35" s="6" t="s">
        <v>295</v>
      </c>
      <c r="E35" s="184" t="s">
        <v>382</v>
      </c>
      <c r="F35" s="4" t="s">
        <v>383</v>
      </c>
    </row>
    <row r="36" spans="1:6">
      <c r="A36" s="182" t="s">
        <v>243</v>
      </c>
      <c r="B36" s="6" t="s">
        <v>296</v>
      </c>
      <c r="E36" s="313" t="s">
        <v>521</v>
      </c>
      <c r="F36" s="4" t="s">
        <v>384</v>
      </c>
    </row>
    <row r="37" spans="1:6">
      <c r="A37" s="182" t="s">
        <v>244</v>
      </c>
      <c r="B37" s="6" t="s">
        <v>297</v>
      </c>
      <c r="E37" s="184" t="s">
        <v>18</v>
      </c>
      <c r="F37" s="4" t="s">
        <v>386</v>
      </c>
    </row>
    <row r="38" spans="1:6">
      <c r="A38" s="182" t="s">
        <v>385</v>
      </c>
      <c r="B38" s="6" t="s">
        <v>45</v>
      </c>
      <c r="E38" s="7" t="s">
        <v>124</v>
      </c>
      <c r="F38" s="4" t="s">
        <v>389</v>
      </c>
    </row>
    <row r="39" spans="1:6">
      <c r="A39" s="182" t="s">
        <v>387</v>
      </c>
      <c r="B39" s="6" t="s">
        <v>388</v>
      </c>
      <c r="E39" s="8" t="s">
        <v>392</v>
      </c>
      <c r="F39" s="4" t="s">
        <v>393</v>
      </c>
    </row>
    <row r="40" spans="1:6">
      <c r="A40" s="182" t="s">
        <v>390</v>
      </c>
      <c r="B40" s="6" t="s">
        <v>391</v>
      </c>
      <c r="E40" s="8" t="s">
        <v>395</v>
      </c>
      <c r="F40" s="4" t="s">
        <v>396</v>
      </c>
    </row>
    <row r="41" spans="1:6">
      <c r="A41" s="182" t="s">
        <v>133</v>
      </c>
      <c r="B41" s="6" t="s">
        <v>394</v>
      </c>
      <c r="E41" s="7" t="s">
        <v>127</v>
      </c>
      <c r="F41" s="4" t="s">
        <v>398</v>
      </c>
    </row>
    <row r="42" spans="1:6">
      <c r="A42" s="182" t="s">
        <v>134</v>
      </c>
      <c r="B42" s="6" t="s">
        <v>397</v>
      </c>
      <c r="E42" s="8" t="s">
        <v>128</v>
      </c>
      <c r="F42" s="4" t="s">
        <v>400</v>
      </c>
    </row>
    <row r="43" spans="1:6">
      <c r="A43" s="182" t="s">
        <v>223</v>
      </c>
      <c r="B43" s="6" t="s">
        <v>399</v>
      </c>
      <c r="E43" s="184" t="s">
        <v>402</v>
      </c>
      <c r="F43" s="4" t="s">
        <v>403</v>
      </c>
    </row>
    <row r="44" spans="1:6">
      <c r="A44" s="6" t="s">
        <v>401</v>
      </c>
      <c r="B44" s="6" t="s">
        <v>39</v>
      </c>
      <c r="E44" s="184" t="s">
        <v>406</v>
      </c>
      <c r="F44" s="4" t="s">
        <v>550</v>
      </c>
    </row>
    <row r="45" spans="1:6">
      <c r="A45" s="182" t="s">
        <v>404</v>
      </c>
      <c r="B45" s="6" t="s">
        <v>405</v>
      </c>
      <c r="E45" s="184" t="s">
        <v>409</v>
      </c>
      <c r="F45" s="3" t="s">
        <v>564</v>
      </c>
    </row>
    <row r="46" spans="1:6">
      <c r="A46" s="185" t="s">
        <v>592</v>
      </c>
      <c r="B46" s="12" t="s">
        <v>609</v>
      </c>
      <c r="E46" s="184" t="s">
        <v>413</v>
      </c>
      <c r="F46" s="3" t="s">
        <v>410</v>
      </c>
    </row>
    <row r="47" spans="1:6">
      <c r="A47" s="185" t="s">
        <v>593</v>
      </c>
      <c r="B47" s="12" t="s">
        <v>610</v>
      </c>
      <c r="E47" s="184" t="s">
        <v>65</v>
      </c>
      <c r="F47" s="4" t="s">
        <v>416</v>
      </c>
    </row>
    <row r="48" spans="1:6">
      <c r="A48" s="185" t="s">
        <v>407</v>
      </c>
      <c r="B48" s="12" t="s">
        <v>408</v>
      </c>
      <c r="E48" s="184" t="s">
        <v>66</v>
      </c>
      <c r="F48" s="4" t="s">
        <v>419</v>
      </c>
    </row>
    <row r="49" spans="1:6">
      <c r="A49" s="185" t="s">
        <v>411</v>
      </c>
      <c r="B49" s="12" t="s">
        <v>412</v>
      </c>
      <c r="E49" s="184" t="s">
        <v>67</v>
      </c>
      <c r="F49" s="4" t="s">
        <v>422</v>
      </c>
    </row>
    <row r="50" spans="1:6">
      <c r="A50" s="185" t="s">
        <v>414</v>
      </c>
      <c r="B50" s="12" t="s">
        <v>415</v>
      </c>
      <c r="E50" s="184" t="s">
        <v>919</v>
      </c>
      <c r="F50" s="4" t="s">
        <v>551</v>
      </c>
    </row>
    <row r="51" spans="1:6">
      <c r="A51" s="185" t="s">
        <v>417</v>
      </c>
      <c r="B51" s="12" t="s">
        <v>418</v>
      </c>
      <c r="E51" s="184" t="s">
        <v>920</v>
      </c>
      <c r="F51" s="4" t="s">
        <v>552</v>
      </c>
    </row>
    <row r="52" spans="1:6">
      <c r="A52" s="185" t="s">
        <v>420</v>
      </c>
      <c r="B52" s="12" t="s">
        <v>421</v>
      </c>
      <c r="E52" s="184" t="s">
        <v>921</v>
      </c>
      <c r="F52" s="3" t="s">
        <v>429</v>
      </c>
    </row>
    <row r="53" spans="1:6">
      <c r="A53" s="185" t="s">
        <v>423</v>
      </c>
      <c r="B53" s="12" t="s">
        <v>424</v>
      </c>
      <c r="E53" s="184" t="s">
        <v>922</v>
      </c>
      <c r="F53" s="4" t="s">
        <v>432</v>
      </c>
    </row>
    <row r="54" spans="1:6">
      <c r="A54" s="185" t="s">
        <v>425</v>
      </c>
      <c r="B54" s="12" t="s">
        <v>426</v>
      </c>
      <c r="E54" s="184" t="s">
        <v>435</v>
      </c>
      <c r="F54" s="4" t="s">
        <v>108</v>
      </c>
    </row>
    <row r="55" spans="1:6">
      <c r="A55" s="185" t="s">
        <v>427</v>
      </c>
      <c r="B55" s="12" t="s">
        <v>428</v>
      </c>
      <c r="E55" s="184" t="s">
        <v>438</v>
      </c>
      <c r="F55" s="4" t="s">
        <v>109</v>
      </c>
    </row>
    <row r="56" spans="1:6">
      <c r="A56" s="185" t="s">
        <v>430</v>
      </c>
      <c r="B56" s="12" t="s">
        <v>431</v>
      </c>
      <c r="E56" s="184" t="s">
        <v>923</v>
      </c>
      <c r="F56" s="4" t="s">
        <v>555</v>
      </c>
    </row>
    <row r="57" spans="1:6">
      <c r="A57" s="185" t="s">
        <v>433</v>
      </c>
      <c r="B57" s="12" t="s">
        <v>434</v>
      </c>
      <c r="E57" s="184" t="s">
        <v>924</v>
      </c>
      <c r="F57" s="4" t="s">
        <v>553</v>
      </c>
    </row>
    <row r="58" spans="1:6">
      <c r="A58" s="185" t="s">
        <v>587</v>
      </c>
      <c r="B58" s="12" t="s">
        <v>611</v>
      </c>
      <c r="E58" s="184" t="s">
        <v>925</v>
      </c>
      <c r="F58" s="4" t="s">
        <v>554</v>
      </c>
    </row>
    <row r="59" spans="1:6">
      <c r="A59" s="185" t="s">
        <v>588</v>
      </c>
      <c r="B59" s="12" t="s">
        <v>612</v>
      </c>
      <c r="E59" s="183" t="s">
        <v>926</v>
      </c>
      <c r="F59" s="347" t="s">
        <v>497</v>
      </c>
    </row>
    <row r="60" spans="1:6">
      <c r="A60" s="185" t="s">
        <v>589</v>
      </c>
      <c r="B60" s="12" t="s">
        <v>613</v>
      </c>
      <c r="E60" s="186" t="s">
        <v>180</v>
      </c>
      <c r="F60" s="4" t="s">
        <v>440</v>
      </c>
    </row>
    <row r="61" spans="1:6">
      <c r="A61" s="185" t="s">
        <v>590</v>
      </c>
      <c r="B61" s="12" t="s">
        <v>930</v>
      </c>
      <c r="E61" s="184" t="s">
        <v>182</v>
      </c>
      <c r="F61" s="4" t="s">
        <v>442</v>
      </c>
    </row>
    <row r="62" spans="1:6">
      <c r="A62" s="185" t="s">
        <v>591</v>
      </c>
      <c r="B62" s="12" t="s">
        <v>931</v>
      </c>
      <c r="E62" s="8" t="s">
        <v>444</v>
      </c>
      <c r="F62" s="3" t="s">
        <v>444</v>
      </c>
    </row>
    <row r="63" spans="1:6">
      <c r="A63" s="185" t="s">
        <v>436</v>
      </c>
      <c r="B63" s="12" t="s">
        <v>437</v>
      </c>
    </row>
    <row r="64" spans="1:6">
      <c r="A64" s="185" t="s">
        <v>135</v>
      </c>
      <c r="B64" s="12" t="s">
        <v>439</v>
      </c>
    </row>
    <row r="65" spans="1:2">
      <c r="A65" s="185" t="s">
        <v>136</v>
      </c>
      <c r="B65" s="12" t="s">
        <v>441</v>
      </c>
    </row>
    <row r="66" spans="1:2">
      <c r="A66" s="185" t="s">
        <v>597</v>
      </c>
      <c r="B66" s="12" t="s">
        <v>614</v>
      </c>
    </row>
    <row r="67" spans="1:2">
      <c r="A67" s="185" t="s">
        <v>598</v>
      </c>
      <c r="B67" s="12" t="s">
        <v>615</v>
      </c>
    </row>
    <row r="68" spans="1:2">
      <c r="A68" s="185" t="s">
        <v>224</v>
      </c>
      <c r="B68" s="12" t="s">
        <v>443</v>
      </c>
    </row>
    <row r="69" spans="1:2">
      <c r="A69" s="185" t="s">
        <v>77</v>
      </c>
      <c r="B69" s="12" t="s">
        <v>76</v>
      </c>
    </row>
    <row r="70" spans="1:2">
      <c r="A70" s="185" t="s">
        <v>78</v>
      </c>
      <c r="B70" s="12" t="s">
        <v>68</v>
      </c>
    </row>
    <row r="71" spans="1:2">
      <c r="A71" s="185" t="s">
        <v>79</v>
      </c>
      <c r="B71" s="12" t="s">
        <v>69</v>
      </c>
    </row>
    <row r="72" spans="1:2">
      <c r="A72" s="185" t="s">
        <v>80</v>
      </c>
      <c r="B72" s="12" t="s">
        <v>70</v>
      </c>
    </row>
    <row r="73" spans="1:2">
      <c r="A73" s="185" t="s">
        <v>445</v>
      </c>
      <c r="B73" s="12" t="s">
        <v>446</v>
      </c>
    </row>
    <row r="74" spans="1:2">
      <c r="A74" s="185" t="s">
        <v>447</v>
      </c>
      <c r="B74" s="12" t="s">
        <v>448</v>
      </c>
    </row>
    <row r="75" spans="1:2">
      <c r="A75" s="185" t="s">
        <v>449</v>
      </c>
      <c r="B75" s="12" t="s">
        <v>89</v>
      </c>
    </row>
    <row r="76" spans="1:2">
      <c r="A76" s="185" t="s">
        <v>450</v>
      </c>
      <c r="B76" s="12" t="s">
        <v>86</v>
      </c>
    </row>
    <row r="77" spans="1:2">
      <c r="A77" s="185" t="s">
        <v>451</v>
      </c>
      <c r="B77" s="12" t="s">
        <v>87</v>
      </c>
    </row>
    <row r="78" spans="1:2">
      <c r="A78" s="185" t="s">
        <v>452</v>
      </c>
      <c r="B78" s="12" t="s">
        <v>88</v>
      </c>
    </row>
    <row r="79" spans="1:2">
      <c r="A79" s="185" t="s">
        <v>92</v>
      </c>
      <c r="B79" s="12" t="s">
        <v>453</v>
      </c>
    </row>
    <row r="80" spans="1:2">
      <c r="A80" s="185" t="s">
        <v>93</v>
      </c>
      <c r="B80" s="12" t="s">
        <v>454</v>
      </c>
    </row>
    <row r="81" spans="1:6">
      <c r="A81" s="185" t="s">
        <v>94</v>
      </c>
      <c r="B81" s="12" t="s">
        <v>455</v>
      </c>
    </row>
    <row r="82" spans="1:6">
      <c r="A82" s="185" t="s">
        <v>95</v>
      </c>
      <c r="B82" s="12" t="s">
        <v>456</v>
      </c>
    </row>
    <row r="83" spans="1:6">
      <c r="A83" s="185" t="s">
        <v>457</v>
      </c>
      <c r="B83" s="12" t="s">
        <v>458</v>
      </c>
    </row>
    <row r="84" spans="1:6">
      <c r="A84" s="185" t="s">
        <v>459</v>
      </c>
      <c r="B84" s="12" t="s">
        <v>460</v>
      </c>
    </row>
    <row r="85" spans="1:6">
      <c r="A85" s="185" t="s">
        <v>81</v>
      </c>
      <c r="B85" s="12" t="s">
        <v>71</v>
      </c>
    </row>
    <row r="86" spans="1:6" s="5" customFormat="1">
      <c r="A86" s="185" t="s">
        <v>82</v>
      </c>
      <c r="B86" s="12" t="s">
        <v>72</v>
      </c>
      <c r="E86" s="1"/>
      <c r="F86" s="1"/>
    </row>
    <row r="87" spans="1:6">
      <c r="A87" s="185" t="s">
        <v>83</v>
      </c>
      <c r="B87" s="12" t="s">
        <v>73</v>
      </c>
    </row>
    <row r="88" spans="1:6">
      <c r="A88" s="185" t="s">
        <v>84</v>
      </c>
      <c r="B88" s="12" t="s">
        <v>74</v>
      </c>
    </row>
    <row r="89" spans="1:6">
      <c r="A89" s="185" t="s">
        <v>461</v>
      </c>
      <c r="B89" s="12" t="s">
        <v>462</v>
      </c>
    </row>
    <row r="90" spans="1:6">
      <c r="A90" s="185" t="s">
        <v>85</v>
      </c>
      <c r="B90" s="12" t="s">
        <v>75</v>
      </c>
    </row>
    <row r="91" spans="1:6">
      <c r="A91" s="185" t="s">
        <v>463</v>
      </c>
      <c r="B91" s="12" t="s">
        <v>464</v>
      </c>
    </row>
    <row r="92" spans="1:6">
      <c r="A92" s="185" t="s">
        <v>465</v>
      </c>
      <c r="B92" s="12" t="s">
        <v>466</v>
      </c>
    </row>
    <row r="93" spans="1:6">
      <c r="A93" s="185" t="s">
        <v>96</v>
      </c>
      <c r="B93" s="12" t="s">
        <v>467</v>
      </c>
    </row>
    <row r="94" spans="1:6">
      <c r="A94" s="185" t="s">
        <v>97</v>
      </c>
      <c r="B94" s="12" t="s">
        <v>468</v>
      </c>
    </row>
    <row r="95" spans="1:6">
      <c r="A95" s="185" t="s">
        <v>98</v>
      </c>
      <c r="B95" s="12" t="s">
        <v>469</v>
      </c>
    </row>
    <row r="96" spans="1:6">
      <c r="A96" s="185" t="s">
        <v>99</v>
      </c>
      <c r="B96" s="12" t="s">
        <v>470</v>
      </c>
    </row>
    <row r="97" spans="1:2">
      <c r="A97" s="185" t="s">
        <v>471</v>
      </c>
      <c r="B97" s="12" t="s">
        <v>472</v>
      </c>
    </row>
    <row r="98" spans="1:2">
      <c r="A98" s="185" t="s">
        <v>599</v>
      </c>
      <c r="B98" s="12" t="s">
        <v>473</v>
      </c>
    </row>
    <row r="99" spans="1:2">
      <c r="A99" s="185" t="s">
        <v>474</v>
      </c>
      <c r="B99" s="12" t="s">
        <v>475</v>
      </c>
    </row>
    <row r="100" spans="1:2">
      <c r="A100" s="185" t="s">
        <v>476</v>
      </c>
      <c r="B100" s="12" t="s">
        <v>477</v>
      </c>
    </row>
    <row r="101" spans="1:2">
      <c r="A101" s="185" t="s">
        <v>594</v>
      </c>
      <c r="B101" s="12" t="s">
        <v>616</v>
      </c>
    </row>
    <row r="102" spans="1:2">
      <c r="A102" s="185" t="s">
        <v>595</v>
      </c>
      <c r="B102" s="12" t="s">
        <v>617</v>
      </c>
    </row>
    <row r="103" spans="1:2">
      <c r="A103" s="185" t="s">
        <v>596</v>
      </c>
      <c r="B103" s="12" t="s">
        <v>618</v>
      </c>
    </row>
    <row r="104" spans="1:2">
      <c r="A104" s="185" t="s">
        <v>600</v>
      </c>
      <c r="B104" s="12" t="s">
        <v>619</v>
      </c>
    </row>
    <row r="105" spans="1:2">
      <c r="A105" s="185" t="s">
        <v>601</v>
      </c>
      <c r="B105" s="12" t="s">
        <v>620</v>
      </c>
    </row>
    <row r="106" spans="1:2">
      <c r="A106" s="185" t="s">
        <v>602</v>
      </c>
      <c r="B106" s="12" t="s">
        <v>621</v>
      </c>
    </row>
    <row r="107" spans="1:2">
      <c r="A107" s="182" t="s">
        <v>478</v>
      </c>
      <c r="B107" s="6" t="s">
        <v>479</v>
      </c>
    </row>
    <row r="108" spans="1:2">
      <c r="A108" s="182" t="s">
        <v>480</v>
      </c>
      <c r="B108" s="6" t="s">
        <v>481</v>
      </c>
    </row>
    <row r="109" spans="1:2">
      <c r="A109" s="185" t="s">
        <v>607</v>
      </c>
      <c r="B109" s="12" t="s">
        <v>622</v>
      </c>
    </row>
    <row r="110" spans="1:2">
      <c r="A110" s="182" t="s">
        <v>482</v>
      </c>
      <c r="B110" s="6" t="s">
        <v>483</v>
      </c>
    </row>
    <row r="111" spans="1:2">
      <c r="A111" s="182" t="s">
        <v>484</v>
      </c>
      <c r="B111" s="6" t="s">
        <v>485</v>
      </c>
    </row>
    <row r="112" spans="1:2">
      <c r="A112" s="185" t="s">
        <v>608</v>
      </c>
      <c r="B112" s="12" t="s">
        <v>623</v>
      </c>
    </row>
    <row r="113" spans="1:2">
      <c r="A113" s="12" t="s">
        <v>830</v>
      </c>
      <c r="B113" s="12" t="s">
        <v>831</v>
      </c>
    </row>
    <row r="114" spans="1:2">
      <c r="A114" s="12" t="s">
        <v>832</v>
      </c>
      <c r="B114" s="12" t="s">
        <v>833</v>
      </c>
    </row>
    <row r="115" spans="1:2">
      <c r="A115" s="185" t="s">
        <v>603</v>
      </c>
      <c r="B115" s="12" t="s">
        <v>624</v>
      </c>
    </row>
    <row r="116" spans="1:2">
      <c r="A116" s="185" t="s">
        <v>604</v>
      </c>
      <c r="B116" s="12" t="s">
        <v>625</v>
      </c>
    </row>
    <row r="117" spans="1:2">
      <c r="A117" s="185" t="s">
        <v>605</v>
      </c>
      <c r="B117" s="12" t="s">
        <v>626</v>
      </c>
    </row>
    <row r="118" spans="1:2">
      <c r="A118" s="185" t="s">
        <v>606</v>
      </c>
      <c r="B118" s="12" t="s">
        <v>627</v>
      </c>
    </row>
    <row r="119" spans="1:2">
      <c r="A119" s="3" t="s">
        <v>410</v>
      </c>
      <c r="B119" s="3" t="s">
        <v>410</v>
      </c>
    </row>
  </sheetData>
  <phoneticPr fontId="2"/>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&amp;C&amp;9表A-8 対応表</oddHeader>
    <oddFooter>&amp;C&amp;9&amp;P/&amp;N-1&amp;L&amp;9I.I IOT Device Functions&amp;R&amp;9DDF-IOT-Botan-Apx-K1.0.6.xlsm</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32</vt:i4>
      </vt:variant>
    </vt:vector>
  </HeadingPairs>
  <TitlesOfParts>
    <vt:vector size="41" baseType="lpstr">
      <vt:lpstr>表紙</vt:lpstr>
      <vt:lpstr>用紙サイズ</vt:lpstr>
      <vt:lpstr>用紙種類</vt:lpstr>
      <vt:lpstr>画質制御分類</vt:lpstr>
      <vt:lpstr>用紙種類優先順位</vt:lpstr>
      <vt:lpstr>排出先機能</vt:lpstr>
      <vt:lpstr>坪量クラス分類</vt:lpstr>
      <vt:lpstr>変更履歴</vt:lpstr>
      <vt:lpstr>対応表</vt:lpstr>
      <vt:lpstr>画質制御分類!Print_Area</vt:lpstr>
      <vt:lpstr>排出先機能!Print_Area</vt:lpstr>
      <vt:lpstr>表紙!Print_Area</vt:lpstr>
      <vt:lpstr>用紙サイズ!Print_Area</vt:lpstr>
      <vt:lpstr>用紙種類!Print_Area</vt:lpstr>
      <vt:lpstr>用紙種類優先順位!Print_Area</vt:lpstr>
      <vt:lpstr>画質制御分類!Print_Titles</vt:lpstr>
      <vt:lpstr>用紙サイズ!Print_Titles</vt:lpstr>
      <vt:lpstr>用紙種類!Print_Titles</vt:lpstr>
      <vt:lpstr>用紙種類優先順位!Print_Titles</vt:lpstr>
      <vt:lpstr>紙質bgn</vt:lpstr>
      <vt:lpstr>紙質cls</vt:lpstr>
      <vt:lpstr>紙質nam</vt:lpstr>
      <vt:lpstr>紙質sym</vt:lpstr>
      <vt:lpstr>制御分類bgn</vt:lpstr>
      <vt:lpstr>制御分類img</vt:lpstr>
      <vt:lpstr>制御分類nam</vt:lpstr>
      <vt:lpstr>制御分類変更可否bgn</vt:lpstr>
      <vt:lpstr>対応表サイズ範囲</vt:lpstr>
      <vt:lpstr>対応表紙質範囲</vt:lpstr>
      <vt:lpstr>対応表方向範囲</vt:lpstr>
      <vt:lpstr>坪量クラス行</vt:lpstr>
      <vt:lpstr>坪量クラス表中身</vt:lpstr>
      <vt:lpstr>坪量クラス列</vt:lpstr>
      <vt:lpstr>定型bgn</vt:lpstr>
      <vt:lpstr>定型cls</vt:lpstr>
      <vt:lpstr>定型dir</vt:lpstr>
      <vt:lpstr>定型nam</vt:lpstr>
      <vt:lpstr>定型sym</vt:lpstr>
      <vt:lpstr>優先順位bgn</vt:lpstr>
      <vt:lpstr>優先順位nam</vt:lpstr>
      <vt:lpstr>優先順位sym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fx NOMURA HIDEKI</cp:lastModifiedBy>
  <cp:lastPrinted>2020-01-30T05:14:32Z</cp:lastPrinted>
  <dcterms:created xsi:type="dcterms:W3CDTF">1997-01-08T22:48:59Z</dcterms:created>
  <dcterms:modified xsi:type="dcterms:W3CDTF">2020-03-23T23:44:21Z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579ef297-ea01-48db-86d1-67e5cc5898d7</vt:lpwstr>
  </property>
</Properties>
</file>